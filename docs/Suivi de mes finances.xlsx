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harts/chart4.xml" ContentType="application/vnd.openxmlformats-officedocument.drawingml.chart+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24226"/>
  <xr:revisionPtr revIDLastSave="0" documentId="13_ncr:1_{02144CEB-9215-4455-8B68-816C5041D4F4}" xr6:coauthVersionLast="47" xr6:coauthVersionMax="47" xr10:uidLastSave="{00000000-0000-0000-0000-000000000000}"/>
  <bookViews>
    <workbookView xWindow="-120" yWindow="-120" windowWidth="29040" windowHeight="15720" tabRatio="929" activeTab="10" xr2:uid="{00000000-000D-0000-FFFF-FFFF00000000}"/>
  </bookViews>
  <sheets>
    <sheet name="Tableau de bord - Portefeuille" sheetId="33" r:id="rId1"/>
    <sheet name="Titre et dividendes" sheetId="29" r:id="rId2"/>
    <sheet name="CRCD" sheetId="38" r:id="rId3"/>
    <sheet name="Watchlist" sheetId="34" r:id="rId4"/>
    <sheet name="Projection" sheetId="28" r:id="rId5"/>
    <sheet name="Cotisations" sheetId="7" r:id="rId6"/>
    <sheet name="RRMD" sheetId="6" r:id="rId7"/>
    <sheet name="Performance" sheetId="37" r:id="rId8"/>
    <sheet name="Pépites" sheetId="36" r:id="rId9"/>
    <sheet name="Prospection" sheetId="27" r:id="rId10"/>
    <sheet name="Ressources" sheetId="31" r:id="rId11"/>
  </sheets>
  <definedNames>
    <definedName name="Categorie">Ressources!$K$2:$K$5</definedName>
    <definedName name="Catégories">#REF!</definedName>
    <definedName name="Num_Compte">Ressources!$A$2:$A$6</definedName>
    <definedName name="Segment_Compte">#N/A</definedName>
    <definedName name="Type_Compte">Ressources!$B$2:$B$6</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I79" i="29" l="1"/>
  <c r="B78" i="29"/>
  <c r="E78" i="29" a="1"/>
  <c r="E78" i="29" s="1"/>
  <c r="F78" i="29" a="1"/>
  <c r="F78" i="29" s="1"/>
  <c r="G78" i="29" a="1"/>
  <c r="G78" i="29" s="1"/>
  <c r="I78" i="29" a="1"/>
  <c r="I78" i="29" s="1"/>
  <c r="L78" i="29"/>
  <c r="M78" i="29" a="1"/>
  <c r="M78" i="29" s="1"/>
  <c r="U78" i="29"/>
  <c r="V78" i="29" s="1"/>
  <c r="AA78" i="29"/>
  <c r="B15" i="29"/>
  <c r="G15" i="29" a="1"/>
  <c r="G15" i="29" s="1"/>
  <c r="L15" i="29"/>
  <c r="N15" i="29"/>
  <c r="Q15" i="29" s="1"/>
  <c r="U15" i="29"/>
  <c r="V15" i="29" s="1"/>
  <c r="AA15" i="29"/>
  <c r="B77" i="29"/>
  <c r="E77" i="29" a="1"/>
  <c r="E77" i="29" s="1"/>
  <c r="F77" i="29" a="1"/>
  <c r="F77" i="29" s="1"/>
  <c r="G77" i="29" a="1"/>
  <c r="G77" i="29" s="1"/>
  <c r="I77" i="29" a="1"/>
  <c r="I77" i="29" s="1"/>
  <c r="L77" i="29"/>
  <c r="M77" i="29" a="1"/>
  <c r="M77" i="29" s="1"/>
  <c r="U77" i="29"/>
  <c r="V77" i="29" s="1"/>
  <c r="AA77" i="29"/>
  <c r="DH79" i="29"/>
  <c r="O9" i="31" s="1"/>
  <c r="B23" i="29"/>
  <c r="B42" i="29"/>
  <c r="E23" i="29" a="1"/>
  <c r="E23" i="29" s="1"/>
  <c r="E42" i="29" a="1"/>
  <c r="E42" i="29" s="1"/>
  <c r="F23" i="29" a="1"/>
  <c r="F23" i="29" s="1"/>
  <c r="F42" i="29" a="1"/>
  <c r="F42" i="29" s="1"/>
  <c r="G23" i="29" a="1"/>
  <c r="G23" i="29" s="1"/>
  <c r="G42" i="29" a="1"/>
  <c r="G42" i="29" s="1"/>
  <c r="I23" i="29" a="1"/>
  <c r="I23" i="29" s="1"/>
  <c r="I42" i="29" a="1"/>
  <c r="I42" i="29" s="1"/>
  <c r="L23" i="29"/>
  <c r="L42" i="29"/>
  <c r="M23" i="29" a="1"/>
  <c r="M23" i="29" s="1"/>
  <c r="N23" i="29" s="1"/>
  <c r="M42" i="29" a="1"/>
  <c r="M42" i="29" s="1"/>
  <c r="N42" i="29" s="1"/>
  <c r="U23" i="29"/>
  <c r="U42" i="29"/>
  <c r="CE23" i="29"/>
  <c r="AA23" i="29" s="1"/>
  <c r="CE42" i="29"/>
  <c r="AA42" i="29" s="1"/>
  <c r="DG79" i="29"/>
  <c r="U30" i="7"/>
  <c r="J22" i="6"/>
  <c r="B70" i="29"/>
  <c r="E70" i="29" a="1"/>
  <c r="E70" i="29" s="1"/>
  <c r="F70" i="29" a="1"/>
  <c r="F70" i="29" s="1"/>
  <c r="G70" i="29" a="1"/>
  <c r="G70" i="29" s="1"/>
  <c r="I70" i="29" a="1"/>
  <c r="I70" i="29" s="1"/>
  <c r="L70" i="29"/>
  <c r="M70" i="29" a="1"/>
  <c r="M70" i="29" s="1"/>
  <c r="U70" i="29"/>
  <c r="CE70" i="29"/>
  <c r="AA70" i="29" s="1"/>
  <c r="DF79" i="29"/>
  <c r="DE79" i="29"/>
  <c r="DD79" i="29"/>
  <c r="U29" i="7"/>
  <c r="U28" i="7"/>
  <c r="U27" i="7"/>
  <c r="E6" i="38"/>
  <c r="G6" i="38"/>
  <c r="H6" i="38" s="1"/>
  <c r="O6" i="7"/>
  <c r="O7" i="7"/>
  <c r="O8" i="7"/>
  <c r="O9" i="7"/>
  <c r="O10" i="7"/>
  <c r="O11" i="7"/>
  <c r="O12" i="7"/>
  <c r="O13" i="7"/>
  <c r="O14" i="7"/>
  <c r="O17" i="7"/>
  <c r="O18" i="7"/>
  <c r="O19" i="7"/>
  <c r="O20" i="7"/>
  <c r="O23" i="7"/>
  <c r="O26" i="7"/>
  <c r="O31" i="7"/>
  <c r="O32" i="7"/>
  <c r="O33" i="7"/>
  <c r="O34" i="7"/>
  <c r="O35" i="7"/>
  <c r="O36" i="7"/>
  <c r="O37" i="7"/>
  <c r="O38" i="7"/>
  <c r="O39" i="7"/>
  <c r="O40" i="7"/>
  <c r="O41" i="7"/>
  <c r="O42" i="7"/>
  <c r="O43" i="7"/>
  <c r="O44" i="7"/>
  <c r="O45" i="7"/>
  <c r="O46" i="7"/>
  <c r="O47" i="7"/>
  <c r="O48" i="7"/>
  <c r="O49" i="7"/>
  <c r="K30" i="7"/>
  <c r="O30" i="7" s="1"/>
  <c r="DC79" i="29"/>
  <c r="DB79" i="29"/>
  <c r="DA79" i="29"/>
  <c r="CZ79" i="29"/>
  <c r="B73" i="29"/>
  <c r="E73" i="29" a="1"/>
  <c r="E73" i="29" s="1"/>
  <c r="F73" i="29" a="1"/>
  <c r="F73" i="29" s="1"/>
  <c r="G73" i="29" a="1"/>
  <c r="G73" i="29" s="1"/>
  <c r="I73" i="29" a="1"/>
  <c r="I73" i="29" s="1"/>
  <c r="L73" i="29"/>
  <c r="M73" i="29" a="1"/>
  <c r="M73" i="29" s="1"/>
  <c r="U73" i="29"/>
  <c r="X73" i="29" s="1"/>
  <c r="CE73" i="29"/>
  <c r="AA73" i="29" s="1"/>
  <c r="CY79" i="29"/>
  <c r="CX79" i="29"/>
  <c r="B58" i="29"/>
  <c r="E58" i="29" a="1"/>
  <c r="E58" i="29" s="1"/>
  <c r="F58" i="29" a="1"/>
  <c r="F58" i="29" s="1"/>
  <c r="G58" i="29" a="1"/>
  <c r="G58" i="29" s="1"/>
  <c r="I58" i="29" a="1"/>
  <c r="I58" i="29" s="1"/>
  <c r="L58" i="29"/>
  <c r="M58" i="29" a="1"/>
  <c r="M58" i="29" s="1"/>
  <c r="N58" i="29" s="1"/>
  <c r="U58" i="29"/>
  <c r="V58" i="29" s="1"/>
  <c r="CE58" i="29"/>
  <c r="AA58" i="29" s="1"/>
  <c r="CW79" i="29"/>
  <c r="B76" i="29"/>
  <c r="E76" i="29" a="1"/>
  <c r="E76" i="29" s="1"/>
  <c r="F76" i="29" a="1"/>
  <c r="F76" i="29" s="1"/>
  <c r="G76" i="29" a="1"/>
  <c r="G76" i="29" s="1"/>
  <c r="I76" i="29" a="1"/>
  <c r="I76" i="29" s="1"/>
  <c r="L76" i="29"/>
  <c r="M76" i="29" a="1"/>
  <c r="M76" i="29" s="1"/>
  <c r="U76" i="29"/>
  <c r="V76" i="29" s="1"/>
  <c r="CE76" i="29"/>
  <c r="AA76" i="29" s="1"/>
  <c r="E6" i="29" a="1"/>
  <c r="E6" i="29" s="1"/>
  <c r="E7" i="29" a="1"/>
  <c r="E7" i="29" s="1"/>
  <c r="E8" i="29" a="1"/>
  <c r="E8" i="29" s="1"/>
  <c r="E9" i="29" a="1"/>
  <c r="E9" i="29" s="1"/>
  <c r="E10" i="29" a="1"/>
  <c r="E10" i="29" s="1"/>
  <c r="E11" i="29" a="1"/>
  <c r="E11" i="29" s="1"/>
  <c r="E12" i="29" a="1"/>
  <c r="E12" i="29" s="1"/>
  <c r="E13" i="29" a="1"/>
  <c r="E13" i="29" s="1"/>
  <c r="E14" i="29" a="1"/>
  <c r="E14" i="29" s="1"/>
  <c r="E16" i="29" a="1"/>
  <c r="E16" i="29" s="1"/>
  <c r="E17" i="29" a="1"/>
  <c r="E17" i="29" s="1"/>
  <c r="E22" i="29" a="1"/>
  <c r="E22" i="29" s="1"/>
  <c r="E18" i="29" a="1"/>
  <c r="E18" i="29" s="1"/>
  <c r="E19" i="29" a="1"/>
  <c r="E19" i="29" s="1"/>
  <c r="E20" i="29" a="1"/>
  <c r="E20" i="29" s="1"/>
  <c r="E21" i="29" a="1"/>
  <c r="E21" i="29" s="1"/>
  <c r="E24" i="29" a="1"/>
  <c r="E24" i="29" s="1"/>
  <c r="E29" i="29" a="1"/>
  <c r="E29" i="29" s="1"/>
  <c r="E25" i="29" a="1"/>
  <c r="E25" i="29" s="1"/>
  <c r="E26" i="29" a="1"/>
  <c r="E26" i="29" s="1"/>
  <c r="E27" i="29" a="1"/>
  <c r="E27" i="29" s="1"/>
  <c r="E28" i="29" a="1"/>
  <c r="E28" i="29" s="1"/>
  <c r="E30" i="29" a="1"/>
  <c r="E30" i="29" s="1"/>
  <c r="E31" i="29" a="1"/>
  <c r="E31" i="29" s="1"/>
  <c r="E33" i="29" a="1"/>
  <c r="E33" i="29" s="1"/>
  <c r="E32" i="29" a="1"/>
  <c r="E32" i="29" s="1"/>
  <c r="E35" i="29" a="1"/>
  <c r="E35" i="29" s="1"/>
  <c r="E34" i="29" a="1"/>
  <c r="E34" i="29" s="1"/>
  <c r="E36" i="29" a="1"/>
  <c r="E36" i="29" s="1"/>
  <c r="E37" i="29" a="1"/>
  <c r="E37" i="29" s="1"/>
  <c r="E40" i="29" a="1"/>
  <c r="E40" i="29" s="1"/>
  <c r="E38" i="29" a="1"/>
  <c r="E38" i="29" s="1"/>
  <c r="E39" i="29" a="1"/>
  <c r="E39" i="29" s="1"/>
  <c r="E41" i="29" a="1"/>
  <c r="E41" i="29" s="1"/>
  <c r="E43" i="29" a="1"/>
  <c r="E43" i="29" s="1"/>
  <c r="E46" i="29" a="1"/>
  <c r="E46" i="29" s="1"/>
  <c r="E47" i="29" a="1"/>
  <c r="E47" i="29" s="1"/>
  <c r="E44" i="29" a="1"/>
  <c r="E44" i="29" s="1"/>
  <c r="E45" i="29" a="1"/>
  <c r="E45" i="29" s="1"/>
  <c r="E50" i="29" a="1"/>
  <c r="E50" i="29" s="1"/>
  <c r="E51" i="29" a="1"/>
  <c r="E51" i="29" s="1"/>
  <c r="E48" i="29" a="1"/>
  <c r="E48" i="29" s="1"/>
  <c r="E49" i="29" a="1"/>
  <c r="E49" i="29" s="1"/>
  <c r="E53" i="29" a="1"/>
  <c r="E53" i="29" s="1"/>
  <c r="E55" i="29" a="1"/>
  <c r="E55" i="29" s="1"/>
  <c r="E52" i="29" a="1"/>
  <c r="E52" i="29" s="1"/>
  <c r="E56" i="29" a="1"/>
  <c r="E56" i="29" s="1"/>
  <c r="E54" i="29" a="1"/>
  <c r="E54" i="29" s="1"/>
  <c r="E57" i="29" a="1"/>
  <c r="E57" i="29" s="1"/>
  <c r="E59" i="29" a="1"/>
  <c r="E59" i="29" s="1"/>
  <c r="E62" i="29" a="1"/>
  <c r="E62" i="29" s="1"/>
  <c r="E72" i="29" a="1"/>
  <c r="E72" i="29" s="1"/>
  <c r="E60" i="29" a="1"/>
  <c r="E60" i="29" s="1"/>
  <c r="E61" i="29" a="1"/>
  <c r="E61" i="29" s="1"/>
  <c r="E74" i="29" a="1"/>
  <c r="E74" i="29" s="1"/>
  <c r="E63" i="29" a="1"/>
  <c r="E63" i="29" s="1"/>
  <c r="E64" i="29" a="1"/>
  <c r="E64" i="29" s="1"/>
  <c r="E65" i="29" a="1"/>
  <c r="E65" i="29" s="1"/>
  <c r="E66" i="29" a="1"/>
  <c r="E66" i="29" s="1"/>
  <c r="E67" i="29" a="1"/>
  <c r="E67" i="29" s="1"/>
  <c r="E68" i="29" a="1"/>
  <c r="E68" i="29" s="1"/>
  <c r="E69" i="29" a="1"/>
  <c r="E69" i="29" s="1"/>
  <c r="E75" i="29" a="1"/>
  <c r="E75" i="29" s="1"/>
  <c r="E71" i="29" a="1"/>
  <c r="E71" i="29" s="1"/>
  <c r="F6" i="29" a="1"/>
  <c r="F6" i="29" s="1"/>
  <c r="F7" i="29" a="1"/>
  <c r="F7" i="29" s="1"/>
  <c r="F8" i="29" a="1"/>
  <c r="F8" i="29" s="1"/>
  <c r="F9" i="29" a="1"/>
  <c r="F9" i="29" s="1"/>
  <c r="F10" i="29" a="1"/>
  <c r="F10" i="29" s="1"/>
  <c r="F11" i="29" a="1"/>
  <c r="F11" i="29" s="1"/>
  <c r="F12" i="29" a="1"/>
  <c r="F12" i="29" s="1"/>
  <c r="F13" i="29" a="1"/>
  <c r="F13" i="29" s="1"/>
  <c r="F14" i="29" a="1"/>
  <c r="F14" i="29" s="1"/>
  <c r="F16" i="29" a="1"/>
  <c r="F16" i="29" s="1"/>
  <c r="F17" i="29" a="1"/>
  <c r="F17" i="29" s="1"/>
  <c r="F22" i="29" a="1"/>
  <c r="F22" i="29" s="1"/>
  <c r="F18" i="29" a="1"/>
  <c r="F18" i="29" s="1"/>
  <c r="F19" i="29" a="1"/>
  <c r="F19" i="29" s="1"/>
  <c r="F20" i="29" a="1"/>
  <c r="F20" i="29" s="1"/>
  <c r="F21" i="29" a="1"/>
  <c r="F21" i="29" s="1"/>
  <c r="F24" i="29" a="1"/>
  <c r="F24" i="29" s="1"/>
  <c r="F29" i="29" a="1"/>
  <c r="F29" i="29" s="1"/>
  <c r="F25" i="29" a="1"/>
  <c r="F25" i="29" s="1"/>
  <c r="F26" i="29" a="1"/>
  <c r="F26" i="29" s="1"/>
  <c r="F27" i="29" a="1"/>
  <c r="F27" i="29" s="1"/>
  <c r="F28" i="29" a="1"/>
  <c r="F28" i="29" s="1"/>
  <c r="F30" i="29" a="1"/>
  <c r="F30" i="29" s="1"/>
  <c r="F31" i="29" a="1"/>
  <c r="F31" i="29" s="1"/>
  <c r="F33" i="29" a="1"/>
  <c r="F33" i="29" s="1"/>
  <c r="F32" i="29" a="1"/>
  <c r="F32" i="29" s="1"/>
  <c r="F35" i="29" a="1"/>
  <c r="F35" i="29" s="1"/>
  <c r="F34" i="29" a="1"/>
  <c r="F34" i="29" s="1"/>
  <c r="F36" i="29" a="1"/>
  <c r="F36" i="29" s="1"/>
  <c r="F37" i="29" a="1"/>
  <c r="F37" i="29" s="1"/>
  <c r="F40" i="29" a="1"/>
  <c r="F40" i="29" s="1"/>
  <c r="F38" i="29" a="1"/>
  <c r="F38" i="29" s="1"/>
  <c r="F39" i="29" a="1"/>
  <c r="F39" i="29" s="1"/>
  <c r="F41" i="29" a="1"/>
  <c r="F41" i="29" s="1"/>
  <c r="F43" i="29" a="1"/>
  <c r="F43" i="29" s="1"/>
  <c r="F46" i="29" a="1"/>
  <c r="F46" i="29" s="1"/>
  <c r="F47" i="29" a="1"/>
  <c r="F47" i="29" s="1"/>
  <c r="F44" i="29" a="1"/>
  <c r="F44" i="29" s="1"/>
  <c r="F45" i="29" a="1"/>
  <c r="F45" i="29" s="1"/>
  <c r="F50" i="29" a="1"/>
  <c r="F50" i="29" s="1"/>
  <c r="F51" i="29" a="1"/>
  <c r="F51" i="29" s="1"/>
  <c r="F48" i="29" a="1"/>
  <c r="F48" i="29" s="1"/>
  <c r="F49" i="29" a="1"/>
  <c r="F49" i="29" s="1"/>
  <c r="F53" i="29" a="1"/>
  <c r="F53" i="29" s="1"/>
  <c r="F55" i="29" a="1"/>
  <c r="F55" i="29" s="1"/>
  <c r="F52" i="29" a="1"/>
  <c r="F52" i="29" s="1"/>
  <c r="F56" i="29" a="1"/>
  <c r="F56" i="29" s="1"/>
  <c r="F54" i="29" a="1"/>
  <c r="F54" i="29" s="1"/>
  <c r="F57" i="29" a="1"/>
  <c r="F57" i="29" s="1"/>
  <c r="F59" i="29" a="1"/>
  <c r="F59" i="29" s="1"/>
  <c r="F62" i="29" a="1"/>
  <c r="F62" i="29" s="1"/>
  <c r="F72" i="29" a="1"/>
  <c r="F72" i="29" s="1"/>
  <c r="F60" i="29" a="1"/>
  <c r="F60" i="29" s="1"/>
  <c r="F61" i="29" a="1"/>
  <c r="F61" i="29" s="1"/>
  <c r="F74" i="29" a="1"/>
  <c r="F74" i="29" s="1"/>
  <c r="F63" i="29" a="1"/>
  <c r="F63" i="29" s="1"/>
  <c r="F64" i="29" a="1"/>
  <c r="F64" i="29" s="1"/>
  <c r="F65" i="29" a="1"/>
  <c r="F65" i="29" s="1"/>
  <c r="F66" i="29" a="1"/>
  <c r="F66" i="29" s="1"/>
  <c r="F67" i="29" a="1"/>
  <c r="F67" i="29" s="1"/>
  <c r="F68" i="29" a="1"/>
  <c r="F68" i="29" s="1"/>
  <c r="F69" i="29" a="1"/>
  <c r="F69" i="29" s="1"/>
  <c r="F75" i="29" a="1"/>
  <c r="F75" i="29" s="1"/>
  <c r="F71" i="29" a="1"/>
  <c r="F71" i="29" s="1"/>
  <c r="CV79" i="29"/>
  <c r="CU79" i="29"/>
  <c r="CT79" i="29"/>
  <c r="CS79" i="29"/>
  <c r="CR79" i="29"/>
  <c r="E5" i="38"/>
  <c r="G5" i="38"/>
  <c r="H5" i="38" s="1"/>
  <c r="AA7" i="29"/>
  <c r="AA8" i="29"/>
  <c r="AA9" i="29"/>
  <c r="AA10" i="29"/>
  <c r="AA11" i="29"/>
  <c r="AA12" i="29"/>
  <c r="AA13" i="29"/>
  <c r="AA14" i="29"/>
  <c r="AA16" i="29"/>
  <c r="AA17" i="29"/>
  <c r="AA18" i="29"/>
  <c r="AA19" i="29"/>
  <c r="AA20" i="29"/>
  <c r="AA21" i="29"/>
  <c r="AA24" i="29"/>
  <c r="AA29" i="29"/>
  <c r="AA30" i="29"/>
  <c r="AA25" i="29"/>
  <c r="AA27" i="29"/>
  <c r="AA28" i="29"/>
  <c r="AA33" i="29"/>
  <c r="AA35" i="29"/>
  <c r="AA32" i="29"/>
  <c r="AA36" i="29"/>
  <c r="AA34" i="29"/>
  <c r="AA37" i="29"/>
  <c r="AA40" i="29"/>
  <c r="AA41" i="29"/>
  <c r="AA38" i="29"/>
  <c r="AA39" i="29"/>
  <c r="AA43" i="29"/>
  <c r="AA46" i="29"/>
  <c r="AA47" i="29"/>
  <c r="AA50" i="29"/>
  <c r="AA44" i="29"/>
  <c r="AA45" i="29"/>
  <c r="AA51" i="29"/>
  <c r="AA53" i="29"/>
  <c r="AA48" i="29"/>
  <c r="AA49" i="29"/>
  <c r="AA55" i="29"/>
  <c r="AA56" i="29"/>
  <c r="AA52" i="29"/>
  <c r="AA57" i="29"/>
  <c r="AA59" i="29"/>
  <c r="AA62" i="29"/>
  <c r="AA72" i="29"/>
  <c r="AA74" i="29"/>
  <c r="AA60" i="29"/>
  <c r="AA61" i="29"/>
  <c r="AA75" i="29"/>
  <c r="AA63" i="29"/>
  <c r="AA64" i="29"/>
  <c r="AA65" i="29"/>
  <c r="AA66" i="29"/>
  <c r="AA67" i="29"/>
  <c r="AA68" i="29"/>
  <c r="AA69" i="29"/>
  <c r="CQ79" i="29"/>
  <c r="G4" i="38"/>
  <c r="H4" i="38" s="1"/>
  <c r="B71" i="29"/>
  <c r="G71" i="29" a="1"/>
  <c r="G71" i="29" s="1"/>
  <c r="I71" i="29" a="1"/>
  <c r="I71" i="29" s="1"/>
  <c r="L71" i="29"/>
  <c r="M71" i="29" a="1"/>
  <c r="M71" i="29" s="1"/>
  <c r="U71" i="29"/>
  <c r="V71" i="29" s="1"/>
  <c r="CE71" i="29"/>
  <c r="AA71" i="29" s="1"/>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2" i="6"/>
  <c r="CP79" i="29"/>
  <c r="B22" i="29"/>
  <c r="G22" i="29" a="1"/>
  <c r="G22" i="29" s="1"/>
  <c r="I22" i="29" a="1"/>
  <c r="I22" i="29" s="1"/>
  <c r="L22" i="29"/>
  <c r="M22" i="29" a="1"/>
  <c r="M22" i="29" s="1"/>
  <c r="U22" i="29"/>
  <c r="V22" i="29" s="1"/>
  <c r="CE22" i="29"/>
  <c r="AA22" i="29" s="1"/>
  <c r="CO79" i="29"/>
  <c r="K29" i="7"/>
  <c r="O29" i="7" s="1"/>
  <c r="CN79" i="29"/>
  <c r="B54" i="29"/>
  <c r="G54" i="29" a="1"/>
  <c r="G54" i="29" s="1"/>
  <c r="I54" i="29" a="1"/>
  <c r="I54" i="29" s="1"/>
  <c r="L54" i="29"/>
  <c r="M54" i="29" a="1"/>
  <c r="M54" i="29" s="1"/>
  <c r="U54" i="29"/>
  <c r="V54" i="29" s="1"/>
  <c r="CE54" i="29"/>
  <c r="AA54" i="29" s="1"/>
  <c r="B26" i="29"/>
  <c r="G26" i="29" a="1"/>
  <c r="G26" i="29" s="1"/>
  <c r="I26" i="29" a="1"/>
  <c r="I26" i="29" s="1"/>
  <c r="L26" i="29"/>
  <c r="M26" i="29" a="1"/>
  <c r="M26" i="29" s="1"/>
  <c r="U26" i="29"/>
  <c r="V26" i="29" s="1"/>
  <c r="CE26" i="29"/>
  <c r="AA26" i="29" s="1"/>
  <c r="B21" i="29"/>
  <c r="G21" i="29" a="1"/>
  <c r="G21" i="29" s="1"/>
  <c r="I21" i="29" a="1"/>
  <c r="I21" i="29" s="1"/>
  <c r="L21" i="29"/>
  <c r="M21" i="29" a="1"/>
  <c r="M21" i="29" s="1"/>
  <c r="U21" i="29"/>
  <c r="V21" i="29" s="1"/>
  <c r="CK79" i="29"/>
  <c r="CL79" i="29"/>
  <c r="CM79" i="29"/>
  <c r="CJ79" i="29"/>
  <c r="G66" i="29" a="1"/>
  <c r="G66" i="29" s="1"/>
  <c r="S10" i="36"/>
  <c r="S11" i="36"/>
  <c r="S12" i="36"/>
  <c r="S13" i="36"/>
  <c r="T13" i="36" s="1"/>
  <c r="CI79" i="29"/>
  <c r="CH79" i="29"/>
  <c r="CG79" i="29"/>
  <c r="B31" i="29"/>
  <c r="G31" i="29" a="1"/>
  <c r="G31" i="29" s="1"/>
  <c r="I31" i="29" a="1"/>
  <c r="I31" i="29" s="1"/>
  <c r="L31" i="29"/>
  <c r="M31" i="29" a="1"/>
  <c r="M31" i="29" s="1"/>
  <c r="U31" i="29"/>
  <c r="V31" i="29" s="1"/>
  <c r="CE31" i="29"/>
  <c r="AA31" i="29" s="1"/>
  <c r="B6" i="29"/>
  <c r="G6" i="29" a="1"/>
  <c r="G6" i="29" s="1"/>
  <c r="I6" i="29" a="1"/>
  <c r="I6" i="29" s="1"/>
  <c r="L6" i="29"/>
  <c r="M6" i="29" a="1"/>
  <c r="M6" i="29" s="1"/>
  <c r="U6" i="29"/>
  <c r="V6" i="29" s="1"/>
  <c r="CE6" i="29"/>
  <c r="AA6" i="29" s="1"/>
  <c r="O5" i="28"/>
  <c r="K79" i="29"/>
  <c r="M23" i="33"/>
  <c r="K28" i="7"/>
  <c r="AD79" i="29"/>
  <c r="AE79" i="29"/>
  <c r="AF79" i="29"/>
  <c r="AG79" i="29"/>
  <c r="AH79" i="29"/>
  <c r="AI79" i="29"/>
  <c r="AJ79" i="29"/>
  <c r="AK79" i="29"/>
  <c r="AL79" i="29"/>
  <c r="AM79" i="29"/>
  <c r="AN79" i="29"/>
  <c r="AO79" i="29"/>
  <c r="AP79" i="29"/>
  <c r="AQ79" i="29"/>
  <c r="AR79" i="29"/>
  <c r="AS79" i="29"/>
  <c r="AT79" i="29"/>
  <c r="AU79" i="29"/>
  <c r="AV79" i="29"/>
  <c r="AW79" i="29"/>
  <c r="AX79" i="29"/>
  <c r="AY79" i="29"/>
  <c r="AC79" i="29"/>
  <c r="AB79" i="29"/>
  <c r="K20" i="33"/>
  <c r="T79" i="29"/>
  <c r="CF79" i="29"/>
  <c r="CD79" i="29"/>
  <c r="CC79" i="29"/>
  <c r="CB79" i="29"/>
  <c r="CA79" i="29"/>
  <c r="BZ79" i="29"/>
  <c r="C13" i="36" a="1"/>
  <c r="C13" i="36" s="1"/>
  <c r="D13" i="36" a="1"/>
  <c r="D13" i="36" s="1"/>
  <c r="G13" i="36"/>
  <c r="I13" i="36"/>
  <c r="J13" i="36" s="1"/>
  <c r="L13" i="36" a="1"/>
  <c r="L13" i="36" s="1"/>
  <c r="M13" i="36" a="1"/>
  <c r="M13" i="36" s="1"/>
  <c r="B7" i="27" a="1"/>
  <c r="B7" i="27" s="1"/>
  <c r="D7" i="27" a="1"/>
  <c r="D7" i="27" s="1"/>
  <c r="I7" i="27" a="1"/>
  <c r="I7" i="27" s="1"/>
  <c r="K7" i="27" s="1"/>
  <c r="L7" i="27" s="1"/>
  <c r="B14" i="27" a="1"/>
  <c r="B14" i="27" s="1"/>
  <c r="D14" i="27" a="1"/>
  <c r="D14" i="27" s="1"/>
  <c r="I14" i="27" a="1"/>
  <c r="I14" i="27" s="1"/>
  <c r="K14" i="27" s="1"/>
  <c r="L14" i="27" s="1"/>
  <c r="B9" i="27" a="1"/>
  <c r="B9" i="27" s="1"/>
  <c r="D9" i="27" a="1"/>
  <c r="D9" i="27" s="1"/>
  <c r="I9" i="27" a="1"/>
  <c r="I9" i="27" s="1"/>
  <c r="K9" i="27" s="1"/>
  <c r="L9" i="27" s="1"/>
  <c r="B12" i="27" a="1"/>
  <c r="B12" i="27" s="1"/>
  <c r="D12" i="27" a="1"/>
  <c r="D12" i="27" s="1"/>
  <c r="I12" i="27" a="1"/>
  <c r="I12" i="27" s="1"/>
  <c r="K12" i="27" s="1"/>
  <c r="L12" i="27" s="1"/>
  <c r="B16" i="27" a="1"/>
  <c r="B16" i="27" s="1"/>
  <c r="D16" i="27" a="1"/>
  <c r="D16" i="27" s="1"/>
  <c r="I16" i="27" a="1"/>
  <c r="I16" i="27" s="1"/>
  <c r="K16" i="27" s="1"/>
  <c r="L16" i="27" s="1"/>
  <c r="B10" i="27" a="1"/>
  <c r="B10" i="27" s="1"/>
  <c r="D10" i="27" a="1"/>
  <c r="D10" i="27" s="1"/>
  <c r="I10" i="27" a="1"/>
  <c r="I10" i="27" s="1"/>
  <c r="K10" i="27" s="1"/>
  <c r="L10" i="27" s="1"/>
  <c r="B17" i="27" a="1"/>
  <c r="B17" i="27" s="1"/>
  <c r="D17" i="27" a="1"/>
  <c r="D17" i="27" s="1"/>
  <c r="I17" i="27" a="1"/>
  <c r="I17" i="27" s="1"/>
  <c r="K17" i="27" s="1"/>
  <c r="L17" i="27" s="1"/>
  <c r="B13" i="27" a="1"/>
  <c r="B13" i="27" s="1"/>
  <c r="D13" i="27" a="1"/>
  <c r="D13" i="27" s="1"/>
  <c r="I13" i="27" a="1"/>
  <c r="I13" i="27" s="1"/>
  <c r="K13" i="27" s="1"/>
  <c r="L13" i="27" s="1"/>
  <c r="B20" i="27" a="1"/>
  <c r="B20" i="27" s="1"/>
  <c r="D20" i="27" a="1"/>
  <c r="D20" i="27" s="1"/>
  <c r="I20" i="27" a="1"/>
  <c r="I20" i="27" s="1"/>
  <c r="K20" i="27" s="1"/>
  <c r="L20" i="27" s="1"/>
  <c r="B18" i="27" a="1"/>
  <c r="B18" i="27" s="1"/>
  <c r="D18" i="27" a="1"/>
  <c r="D18" i="27" s="1"/>
  <c r="I18" i="27" a="1"/>
  <c r="I18" i="27" s="1"/>
  <c r="K18" i="27" s="1"/>
  <c r="L18" i="27" s="1"/>
  <c r="B19" i="27" a="1"/>
  <c r="B19" i="27" s="1"/>
  <c r="D19" i="27" a="1"/>
  <c r="D19" i="27" s="1"/>
  <c r="I19" i="27" a="1"/>
  <c r="I19" i="27" s="1"/>
  <c r="K19" i="27" s="1"/>
  <c r="L19" i="27" s="1"/>
  <c r="B15" i="27" a="1"/>
  <c r="B15" i="27" s="1"/>
  <c r="D15" i="27" a="1"/>
  <c r="D15" i="27" s="1"/>
  <c r="I15" i="27" a="1"/>
  <c r="I15" i="27" s="1"/>
  <c r="K15" i="27" s="1"/>
  <c r="L15" i="27" s="1"/>
  <c r="B11" i="27" a="1"/>
  <c r="B11" i="27" s="1"/>
  <c r="D11" i="27" a="1"/>
  <c r="D11" i="27" s="1"/>
  <c r="I11" i="27" a="1"/>
  <c r="I11" i="27" s="1"/>
  <c r="K11" i="27" s="1"/>
  <c r="L11" i="27" s="1"/>
  <c r="BY79" i="29"/>
  <c r="U52" i="29"/>
  <c r="V52" i="29" s="1"/>
  <c r="B52" i="29"/>
  <c r="G52" i="29" a="1"/>
  <c r="G52" i="29" s="1"/>
  <c r="I52" i="29" a="1"/>
  <c r="I52" i="29" s="1"/>
  <c r="L52" i="29"/>
  <c r="M52" i="29" a="1"/>
  <c r="M52" i="29" s="1"/>
  <c r="E4" i="38"/>
  <c r="B8" i="27" a="1"/>
  <c r="B8" i="27" s="1"/>
  <c r="I8" i="27" a="1"/>
  <c r="I8" i="27" s="1"/>
  <c r="D8" i="27" a="1"/>
  <c r="D8" i="27" s="1"/>
  <c r="K11" i="34"/>
  <c r="L11" i="34" s="1"/>
  <c r="E11" i="34" a="1"/>
  <c r="E11" i="34" s="1"/>
  <c r="F11" i="34" a="1"/>
  <c r="F11" i="34" s="1"/>
  <c r="G11" i="34" a="1"/>
  <c r="G11" i="34" s="1"/>
  <c r="H11" i="34" a="1"/>
  <c r="H11" i="34" s="1"/>
  <c r="I11" i="34" a="1"/>
  <c r="I11" i="34" s="1"/>
  <c r="O11" i="34" a="1"/>
  <c r="O11" i="34" s="1"/>
  <c r="P11" i="34" a="1"/>
  <c r="P11" i="34" s="1"/>
  <c r="Q11" i="34" a="1"/>
  <c r="Q11" i="34" s="1"/>
  <c r="G8" i="29" a="1"/>
  <c r="G8" i="29" s="1"/>
  <c r="G7" i="29" a="1"/>
  <c r="G7" i="29" s="1"/>
  <c r="G11" i="29" a="1"/>
  <c r="G11" i="29" s="1"/>
  <c r="G17" i="29" a="1"/>
  <c r="G17" i="29" s="1"/>
  <c r="G13" i="29" a="1"/>
  <c r="G13" i="29" s="1"/>
  <c r="G74" i="29" a="1"/>
  <c r="G74" i="29" s="1"/>
  <c r="G19" i="29" a="1"/>
  <c r="G19" i="29" s="1"/>
  <c r="G12" i="29" a="1"/>
  <c r="G12" i="29" s="1"/>
  <c r="G20" i="29" a="1"/>
  <c r="G20" i="29" s="1"/>
  <c r="G18" i="29" a="1"/>
  <c r="G18" i="29" s="1"/>
  <c r="G24" i="29" a="1"/>
  <c r="G24" i="29" s="1"/>
  <c r="G29" i="29" a="1"/>
  <c r="G29" i="29" s="1"/>
  <c r="G30" i="29" a="1"/>
  <c r="G30" i="29" s="1"/>
  <c r="G27" i="29" a="1"/>
  <c r="G27" i="29" s="1"/>
  <c r="G25" i="29" a="1"/>
  <c r="G25" i="29" s="1"/>
  <c r="G33" i="29" a="1"/>
  <c r="G33" i="29" s="1"/>
  <c r="G28" i="29" a="1"/>
  <c r="G28" i="29" s="1"/>
  <c r="G32" i="29" a="1"/>
  <c r="G32" i="29" s="1"/>
  <c r="G35" i="29" a="1"/>
  <c r="G35" i="29" s="1"/>
  <c r="G34" i="29" a="1"/>
  <c r="G34" i="29" s="1"/>
  <c r="G36" i="29" a="1"/>
  <c r="G36" i="29" s="1"/>
  <c r="G37" i="29" a="1"/>
  <c r="G37" i="29" s="1"/>
  <c r="G41" i="29" a="1"/>
  <c r="G41" i="29" s="1"/>
  <c r="G40" i="29" a="1"/>
  <c r="G40" i="29" s="1"/>
  <c r="G38" i="29" a="1"/>
  <c r="G38" i="29" s="1"/>
  <c r="G39" i="29" a="1"/>
  <c r="G39" i="29" s="1"/>
  <c r="G61" i="29" a="1"/>
  <c r="G61" i="29" s="1"/>
  <c r="G60" i="29" a="1"/>
  <c r="G60" i="29" s="1"/>
  <c r="G47" i="29" a="1"/>
  <c r="G47" i="29" s="1"/>
  <c r="G46" i="29" a="1"/>
  <c r="G46" i="29" s="1"/>
  <c r="G44" i="29" a="1"/>
  <c r="G44" i="29" s="1"/>
  <c r="G50" i="29" a="1"/>
  <c r="G50" i="29" s="1"/>
  <c r="G9" i="29" a="1"/>
  <c r="G9" i="29" s="1"/>
  <c r="G45" i="29" a="1"/>
  <c r="G45" i="29" s="1"/>
  <c r="G14" i="29" a="1"/>
  <c r="G14" i="29" s="1"/>
  <c r="G51" i="29" a="1"/>
  <c r="G51" i="29" s="1"/>
  <c r="G75" i="29" a="1"/>
  <c r="G75" i="29" s="1"/>
  <c r="G48" i="29" a="1"/>
  <c r="G48" i="29" s="1"/>
  <c r="G63" i="29" a="1"/>
  <c r="G63" i="29" s="1"/>
  <c r="G49" i="29" a="1"/>
  <c r="G49" i="29" s="1"/>
  <c r="G53" i="29" a="1"/>
  <c r="G53" i="29" s="1"/>
  <c r="G56" i="29" a="1"/>
  <c r="G56" i="29" s="1"/>
  <c r="G55" i="29" a="1"/>
  <c r="G55" i="29" s="1"/>
  <c r="G57" i="29" a="1"/>
  <c r="G57" i="29" s="1"/>
  <c r="G16" i="29" a="1"/>
  <c r="G16" i="29" s="1"/>
  <c r="G59" i="29" a="1"/>
  <c r="G59" i="29" s="1"/>
  <c r="G62" i="29" a="1"/>
  <c r="G62" i="29" s="1"/>
  <c r="G10" i="29" a="1"/>
  <c r="G10" i="29" s="1"/>
  <c r="G43" i="29" a="1"/>
  <c r="G43" i="29" s="1"/>
  <c r="G72" i="29" a="1"/>
  <c r="G72" i="29" s="1"/>
  <c r="G64" i="29" a="1"/>
  <c r="G64" i="29" s="1"/>
  <c r="G65" i="29" a="1"/>
  <c r="G65" i="29" s="1"/>
  <c r="G67" i="29" a="1"/>
  <c r="G67" i="29" s="1"/>
  <c r="G69" i="29" a="1"/>
  <c r="G69" i="29" s="1"/>
  <c r="G68" i="29" a="1"/>
  <c r="G68" i="29" s="1"/>
  <c r="G10" i="37"/>
  <c r="H10" i="37" s="1"/>
  <c r="I10" i="37" s="1"/>
  <c r="G58" i="37" a="1"/>
  <c r="G17" i="37" a="1"/>
  <c r="G65" i="37" a="1"/>
  <c r="G52" i="37" a="1"/>
  <c r="G45" i="33" a="1"/>
  <c r="Z15" i="29" l="1"/>
  <c r="N78" i="29"/>
  <c r="R78" i="29" s="1"/>
  <c r="S78" i="29" s="1"/>
  <c r="P78" i="29" a="1"/>
  <c r="P78" i="29" s="1"/>
  <c r="Q78" i="29" s="1"/>
  <c r="X78" i="29"/>
  <c r="W78" i="29"/>
  <c r="Z78" i="29"/>
  <c r="X77" i="29"/>
  <c r="X15" i="29"/>
  <c r="W15" i="29"/>
  <c r="R15" i="29"/>
  <c r="S15" i="29" s="1"/>
  <c r="P77" i="29" a="1"/>
  <c r="P77" i="29" s="1"/>
  <c r="W77" i="29"/>
  <c r="N77" i="29"/>
  <c r="X23" i="29"/>
  <c r="V23" i="29"/>
  <c r="V42" i="29"/>
  <c r="X42" i="29"/>
  <c r="O23" i="29"/>
  <c r="O42" i="29"/>
  <c r="W23" i="29"/>
  <c r="P23" i="29" a="1"/>
  <c r="P23" i="29" s="1"/>
  <c r="Q23" i="29" s="1"/>
  <c r="P42" i="29" a="1"/>
  <c r="P42" i="29" s="1"/>
  <c r="Q42" i="29" s="1"/>
  <c r="W42" i="29"/>
  <c r="R23" i="29"/>
  <c r="S23" i="29" s="1"/>
  <c r="Z23" i="29"/>
  <c r="R42" i="29"/>
  <c r="S42" i="29" s="1"/>
  <c r="Z42" i="29"/>
  <c r="V70" i="29"/>
  <c r="X70" i="29"/>
  <c r="N70" i="29"/>
  <c r="W70" i="29"/>
  <c r="P70" i="29" a="1"/>
  <c r="P70" i="29" s="1"/>
  <c r="I6" i="38"/>
  <c r="J6" i="38" s="1"/>
  <c r="O28" i="7"/>
  <c r="S28" i="7" s="1"/>
  <c r="V73" i="29"/>
  <c r="N73" i="29"/>
  <c r="R73" i="29" s="1"/>
  <c r="S73" i="29" s="1"/>
  <c r="P73" i="29" a="1"/>
  <c r="P73" i="29" s="1"/>
  <c r="W73" i="29"/>
  <c r="O8" i="31"/>
  <c r="R58" i="29"/>
  <c r="S58" i="29" s="1"/>
  <c r="O58" i="29"/>
  <c r="W58" i="29"/>
  <c r="P58" i="29" a="1"/>
  <c r="P58" i="29" s="1"/>
  <c r="Q58" i="29" s="1"/>
  <c r="Z58" i="29"/>
  <c r="X58" i="29"/>
  <c r="X76" i="29"/>
  <c r="N76" i="29"/>
  <c r="R76" i="29" s="1"/>
  <c r="S76" i="29" s="1"/>
  <c r="P76" i="29" a="1"/>
  <c r="P76" i="29" s="1"/>
  <c r="W76" i="29"/>
  <c r="E7" i="38"/>
  <c r="I5" i="38"/>
  <c r="J5" i="38" s="1"/>
  <c r="H7" i="38"/>
  <c r="E36" i="33" s="1"/>
  <c r="G45" i="33"/>
  <c r="N71" i="29"/>
  <c r="P71" i="29" a="1"/>
  <c r="P71" i="29" s="1"/>
  <c r="X71" i="29"/>
  <c r="W71" i="29"/>
  <c r="X22" i="29"/>
  <c r="N22" i="29"/>
  <c r="O22" i="29" s="1"/>
  <c r="P22" i="29" a="1"/>
  <c r="P22" i="29" s="1"/>
  <c r="W22" i="29"/>
  <c r="W54" i="29"/>
  <c r="N54" i="29"/>
  <c r="P54" i="29" a="1"/>
  <c r="P54" i="29" s="1"/>
  <c r="X54" i="29"/>
  <c r="O7" i="31"/>
  <c r="N26" i="29"/>
  <c r="P26" i="29" a="1"/>
  <c r="P26" i="29" s="1"/>
  <c r="X26" i="29"/>
  <c r="W26" i="29"/>
  <c r="W21" i="29"/>
  <c r="N21" i="29"/>
  <c r="O21" i="29" s="1"/>
  <c r="P21" i="29" a="1"/>
  <c r="P21" i="29" s="1"/>
  <c r="X21" i="29"/>
  <c r="O2" i="31"/>
  <c r="O3" i="31"/>
  <c r="CE79" i="29"/>
  <c r="P31" i="29" a="1"/>
  <c r="P31" i="29" s="1"/>
  <c r="N31" i="29"/>
  <c r="O31" i="29" s="1"/>
  <c r="X31" i="29"/>
  <c r="W31" i="29"/>
  <c r="N6" i="29"/>
  <c r="P6" i="29" a="1"/>
  <c r="P6" i="29" s="1"/>
  <c r="X6" i="29"/>
  <c r="W6" i="29"/>
  <c r="X52" i="29"/>
  <c r="N13" i="36"/>
  <c r="O13" i="36"/>
  <c r="I4" i="38"/>
  <c r="J4" i="38" s="1"/>
  <c r="N52" i="29"/>
  <c r="P52" i="29" a="1"/>
  <c r="P52" i="29" s="1"/>
  <c r="W52" i="29"/>
  <c r="M11" i="34"/>
  <c r="J10" i="37"/>
  <c r="G65" i="37"/>
  <c r="G58" i="37"/>
  <c r="G52" i="37"/>
  <c r="G17" i="37"/>
  <c r="F87" i="37"/>
  <c r="F86" i="37"/>
  <c r="F85" i="37"/>
  <c r="F84" i="37"/>
  <c r="F83" i="37"/>
  <c r="F82" i="37"/>
  <c r="F81" i="37"/>
  <c r="F80" i="37"/>
  <c r="F79" i="37"/>
  <c r="F78" i="37"/>
  <c r="F77" i="37"/>
  <c r="F76" i="37"/>
  <c r="F75" i="37"/>
  <c r="F74" i="37"/>
  <c r="F73" i="37"/>
  <c r="F72" i="37"/>
  <c r="F71" i="37"/>
  <c r="F70" i="37"/>
  <c r="F69" i="37"/>
  <c r="F68" i="37"/>
  <c r="F67" i="37"/>
  <c r="F62" i="37"/>
  <c r="F61" i="37"/>
  <c r="F60" i="37"/>
  <c r="F55" i="37"/>
  <c r="F54" i="37"/>
  <c r="F49" i="37"/>
  <c r="F48" i="37"/>
  <c r="F47" i="37"/>
  <c r="F46" i="37"/>
  <c r="F45" i="37"/>
  <c r="F44" i="37"/>
  <c r="F43" i="37"/>
  <c r="F42" i="37"/>
  <c r="F41" i="37"/>
  <c r="F40" i="37"/>
  <c r="F39" i="37"/>
  <c r="F38" i="37"/>
  <c r="F37" i="37"/>
  <c r="F36" i="37"/>
  <c r="F35" i="37"/>
  <c r="F34" i="37"/>
  <c r="F33" i="37"/>
  <c r="F32" i="37"/>
  <c r="F31" i="37"/>
  <c r="F30" i="37"/>
  <c r="F29" i="37"/>
  <c r="F28" i="37"/>
  <c r="F27" i="37"/>
  <c r="F26" i="37"/>
  <c r="F25" i="37"/>
  <c r="F24" i="37"/>
  <c r="F23" i="37"/>
  <c r="F22" i="37"/>
  <c r="F21" i="37"/>
  <c r="F20" i="37"/>
  <c r="F19" i="37"/>
  <c r="IY88" i="37"/>
  <c r="IZ88" i="37"/>
  <c r="JA88" i="37"/>
  <c r="JB88" i="37"/>
  <c r="JC88" i="37"/>
  <c r="JD88" i="37"/>
  <c r="JE88" i="37"/>
  <c r="JF88" i="37"/>
  <c r="JG88" i="37"/>
  <c r="IY63" i="37"/>
  <c r="IZ63" i="37"/>
  <c r="JA63" i="37"/>
  <c r="JB63" i="37"/>
  <c r="JC63" i="37"/>
  <c r="JD63" i="37"/>
  <c r="JE63" i="37"/>
  <c r="JF63" i="37"/>
  <c r="JG63" i="37"/>
  <c r="IY56" i="37"/>
  <c r="IZ56" i="37"/>
  <c r="JA56" i="37"/>
  <c r="JB56" i="37"/>
  <c r="JC56" i="37"/>
  <c r="JD56" i="37"/>
  <c r="JE56" i="37"/>
  <c r="JF56" i="37"/>
  <c r="JG56" i="37"/>
  <c r="IY50" i="37"/>
  <c r="IZ50" i="37"/>
  <c r="JA50" i="37"/>
  <c r="JB50" i="37"/>
  <c r="JC50" i="37"/>
  <c r="JD50" i="37"/>
  <c r="JE50" i="37"/>
  <c r="JF50" i="37"/>
  <c r="JG50" i="37"/>
  <c r="E87" i="37" a="1"/>
  <c r="E87" i="37" s="1"/>
  <c r="B87" i="37"/>
  <c r="E86" i="37" a="1"/>
  <c r="E86" i="37" s="1"/>
  <c r="B86" i="37"/>
  <c r="E55" i="37" a="1"/>
  <c r="E55" i="37" s="1"/>
  <c r="B55" i="37"/>
  <c r="E62" i="37" a="1"/>
  <c r="E62" i="37" s="1"/>
  <c r="B62" i="37"/>
  <c r="E54" i="37" a="1"/>
  <c r="E54" i="37" s="1"/>
  <c r="B54" i="37"/>
  <c r="E85" i="37" a="1"/>
  <c r="E85" i="37" s="1"/>
  <c r="B85" i="37"/>
  <c r="E49" i="37" a="1"/>
  <c r="E49" i="37" s="1"/>
  <c r="B49" i="37"/>
  <c r="E48" i="37" a="1"/>
  <c r="E48" i="37" s="1"/>
  <c r="B48" i="37"/>
  <c r="E84" i="37" a="1"/>
  <c r="E84" i="37" s="1"/>
  <c r="B84" i="37"/>
  <c r="E47" i="37" a="1"/>
  <c r="E47" i="37" s="1"/>
  <c r="B47" i="37"/>
  <c r="E46" i="37" a="1"/>
  <c r="E46" i="37" s="1"/>
  <c r="B46" i="37"/>
  <c r="E45" i="37" a="1"/>
  <c r="E45" i="37" s="1"/>
  <c r="B45" i="37"/>
  <c r="E44" i="37" a="1"/>
  <c r="E44" i="37" s="1"/>
  <c r="B44" i="37"/>
  <c r="E43" i="37" a="1"/>
  <c r="E43" i="37" s="1"/>
  <c r="B43" i="37"/>
  <c r="E42" i="37" a="1"/>
  <c r="E42" i="37" s="1"/>
  <c r="B42" i="37"/>
  <c r="E41" i="37" a="1"/>
  <c r="E41" i="37" s="1"/>
  <c r="B41" i="37"/>
  <c r="E61" i="37" a="1"/>
  <c r="E61" i="37" s="1"/>
  <c r="B61" i="37"/>
  <c r="E83" i="37" a="1"/>
  <c r="E83" i="37" s="1"/>
  <c r="B83" i="37"/>
  <c r="E82" i="37" a="1"/>
  <c r="E82" i="37" s="1"/>
  <c r="B82" i="37"/>
  <c r="E40" i="37" a="1"/>
  <c r="E40" i="37" s="1"/>
  <c r="B40" i="37"/>
  <c r="E39" i="37" a="1"/>
  <c r="E39" i="37" s="1"/>
  <c r="B39" i="37"/>
  <c r="E38" i="37" a="1"/>
  <c r="E38" i="37" s="1"/>
  <c r="B38" i="37"/>
  <c r="E81" i="37" a="1"/>
  <c r="E81" i="37" s="1"/>
  <c r="B81" i="37"/>
  <c r="E80" i="37" a="1"/>
  <c r="E80" i="37" s="1"/>
  <c r="B80" i="37"/>
  <c r="E37" i="37" a="1"/>
  <c r="E37" i="37" s="1"/>
  <c r="B37" i="37"/>
  <c r="E79" i="37" a="1"/>
  <c r="E79" i="37" s="1"/>
  <c r="B79" i="37"/>
  <c r="E36" i="37" a="1"/>
  <c r="E36" i="37" s="1"/>
  <c r="B36" i="37"/>
  <c r="E35" i="37" a="1"/>
  <c r="E35" i="37" s="1"/>
  <c r="B35" i="37"/>
  <c r="E78" i="37" a="1"/>
  <c r="E78" i="37" s="1"/>
  <c r="B78" i="37"/>
  <c r="E77" i="37" a="1"/>
  <c r="E77" i="37" s="1"/>
  <c r="B77" i="37"/>
  <c r="E76" i="37" a="1"/>
  <c r="E76" i="37" s="1"/>
  <c r="B76" i="37"/>
  <c r="E75" i="37" a="1"/>
  <c r="E75" i="37" s="1"/>
  <c r="B75" i="37"/>
  <c r="E34" i="37" a="1"/>
  <c r="E34" i="37" s="1"/>
  <c r="B34" i="37"/>
  <c r="E33" i="37" a="1"/>
  <c r="E33" i="37" s="1"/>
  <c r="B33" i="37"/>
  <c r="E32" i="37" a="1"/>
  <c r="E32" i="37" s="1"/>
  <c r="B32" i="37"/>
  <c r="E31" i="37" a="1"/>
  <c r="E31" i="37" s="1"/>
  <c r="B31" i="37"/>
  <c r="E74" i="37" a="1"/>
  <c r="E74" i="37" s="1"/>
  <c r="B74" i="37"/>
  <c r="E30" i="37" a="1"/>
  <c r="E30" i="37" s="1"/>
  <c r="B30" i="37"/>
  <c r="E73" i="37" a="1"/>
  <c r="E73" i="37" s="1"/>
  <c r="B73" i="37"/>
  <c r="E72" i="37" a="1"/>
  <c r="E72" i="37" s="1"/>
  <c r="B72" i="37"/>
  <c r="E29" i="37" a="1"/>
  <c r="E29" i="37" s="1"/>
  <c r="B29" i="37"/>
  <c r="E71" i="37" a="1"/>
  <c r="E71" i="37" s="1"/>
  <c r="B71" i="37"/>
  <c r="E70" i="37" a="1"/>
  <c r="E70" i="37" s="1"/>
  <c r="B70" i="37"/>
  <c r="E28" i="37" a="1"/>
  <c r="E28" i="37" s="1"/>
  <c r="B28" i="37"/>
  <c r="E27" i="37" a="1"/>
  <c r="E27" i="37" s="1"/>
  <c r="B27" i="37"/>
  <c r="E26" i="37" a="1"/>
  <c r="E26" i="37" s="1"/>
  <c r="B26" i="37"/>
  <c r="E25" i="37" a="1"/>
  <c r="E25" i="37" s="1"/>
  <c r="B25" i="37"/>
  <c r="E69" i="37" a="1"/>
  <c r="E69" i="37" s="1"/>
  <c r="B69" i="37"/>
  <c r="E60" i="37" a="1"/>
  <c r="E60" i="37" s="1"/>
  <c r="B60" i="37"/>
  <c r="E24" i="37" a="1"/>
  <c r="E24" i="37" s="1"/>
  <c r="B24" i="37"/>
  <c r="E68" i="37" a="1"/>
  <c r="E68" i="37" s="1"/>
  <c r="B68" i="37"/>
  <c r="E23" i="37" a="1"/>
  <c r="E23" i="37" s="1"/>
  <c r="B23" i="37"/>
  <c r="E22" i="37" a="1"/>
  <c r="E22" i="37" s="1"/>
  <c r="B22" i="37"/>
  <c r="E21" i="37" a="1"/>
  <c r="E21" i="37" s="1"/>
  <c r="B21" i="37"/>
  <c r="E67" i="37" a="1"/>
  <c r="E67" i="37" s="1"/>
  <c r="B67" i="37"/>
  <c r="E20" i="37" a="1"/>
  <c r="E20" i="37" s="1"/>
  <c r="B20" i="37"/>
  <c r="E19" i="37" a="1"/>
  <c r="E19" i="37" s="1"/>
  <c r="B19" i="37"/>
  <c r="G5" i="34" a="1"/>
  <c r="G5" i="34" s="1"/>
  <c r="G12" i="34" a="1"/>
  <c r="G12" i="34" s="1"/>
  <c r="G8" i="34" a="1"/>
  <c r="G8" i="34" s="1"/>
  <c r="G13" i="34" a="1"/>
  <c r="G13" i="34" s="1"/>
  <c r="G4" i="34" a="1"/>
  <c r="G4" i="34" s="1"/>
  <c r="G14" i="34" a="1"/>
  <c r="G14" i="34" s="1"/>
  <c r="G16" i="34" a="1"/>
  <c r="G16" i="34" s="1"/>
  <c r="G9" i="34" a="1"/>
  <c r="G9" i="34" s="1"/>
  <c r="G21" i="34" a="1"/>
  <c r="G21" i="34" s="1"/>
  <c r="G7" i="34" a="1"/>
  <c r="G7" i="34" s="1"/>
  <c r="G31" i="34" a="1"/>
  <c r="G31" i="34" s="1"/>
  <c r="G10" i="34" a="1"/>
  <c r="G10" i="34" s="1"/>
  <c r="G18" i="34" a="1"/>
  <c r="G18" i="34" s="1"/>
  <c r="G19" i="34" a="1"/>
  <c r="G19" i="34" s="1"/>
  <c r="G20" i="34" a="1"/>
  <c r="G20" i="34" s="1"/>
  <c r="G25" i="34" a="1"/>
  <c r="G25" i="34" s="1"/>
  <c r="G27" i="34" a="1"/>
  <c r="G27" i="34" s="1"/>
  <c r="G17" i="34" a="1"/>
  <c r="G17" i="34" s="1"/>
  <c r="G26" i="34" a="1"/>
  <c r="G26" i="34" s="1"/>
  <c r="G33" i="34" a="1"/>
  <c r="G33" i="34" s="1"/>
  <c r="G22" i="34" a="1"/>
  <c r="G22" i="34" s="1"/>
  <c r="G32" i="34" a="1"/>
  <c r="G32" i="34" s="1"/>
  <c r="G30" i="34" a="1"/>
  <c r="G30" i="34" s="1"/>
  <c r="G24" i="34" a="1"/>
  <c r="G24" i="34" s="1"/>
  <c r="G29" i="34" a="1"/>
  <c r="G29" i="34" s="1"/>
  <c r="G15" i="34" a="1"/>
  <c r="G15" i="34" s="1"/>
  <c r="G28" i="34" a="1"/>
  <c r="G28" i="34" s="1"/>
  <c r="G41" i="34" a="1"/>
  <c r="G41" i="34" s="1"/>
  <c r="G37" i="34" a="1"/>
  <c r="G37" i="34" s="1"/>
  <c r="G49" i="34" a="1"/>
  <c r="G49" i="34" s="1"/>
  <c r="G52" i="34" a="1"/>
  <c r="G52" i="34" s="1"/>
  <c r="G35" i="34" a="1"/>
  <c r="G35" i="34" s="1"/>
  <c r="G23" i="34" a="1"/>
  <c r="G23" i="34" s="1"/>
  <c r="G6" i="34" a="1"/>
  <c r="G6" i="34" s="1"/>
  <c r="G44" i="34" a="1"/>
  <c r="G44" i="34" s="1"/>
  <c r="G40" i="34" a="1"/>
  <c r="G40" i="34" s="1"/>
  <c r="G36" i="34" a="1"/>
  <c r="G36" i="34" s="1"/>
  <c r="G53" i="34" a="1"/>
  <c r="G53" i="34" s="1"/>
  <c r="G39" i="34" a="1"/>
  <c r="G39" i="34" s="1"/>
  <c r="G34" i="34" a="1"/>
  <c r="G34" i="34" s="1"/>
  <c r="G56" i="34" a="1"/>
  <c r="G56" i="34" s="1"/>
  <c r="G42" i="34" a="1"/>
  <c r="G42" i="34" s="1"/>
  <c r="G38" i="34" a="1"/>
  <c r="G38" i="34" s="1"/>
  <c r="G61" i="34" a="1"/>
  <c r="G61" i="34" s="1"/>
  <c r="G51" i="34" a="1"/>
  <c r="G51" i="34" s="1"/>
  <c r="G50" i="34" a="1"/>
  <c r="G50" i="34" s="1"/>
  <c r="G54" i="34" a="1"/>
  <c r="G54" i="34" s="1"/>
  <c r="G47" i="34" a="1"/>
  <c r="G47" i="34" s="1"/>
  <c r="G73" i="34" a="1"/>
  <c r="G73" i="34" s="1"/>
  <c r="G46" i="34" a="1"/>
  <c r="G46" i="34" s="1"/>
  <c r="G48" i="34" a="1"/>
  <c r="G48" i="34" s="1"/>
  <c r="G55" i="34" a="1"/>
  <c r="G55" i="34" s="1"/>
  <c r="G59" i="34" a="1"/>
  <c r="G59" i="34" s="1"/>
  <c r="G62" i="34" a="1"/>
  <c r="G62" i="34" s="1"/>
  <c r="G66" i="34" a="1"/>
  <c r="G66" i="34" s="1"/>
  <c r="G69" i="34" a="1"/>
  <c r="G69" i="34" s="1"/>
  <c r="G63" i="34" a="1"/>
  <c r="G63" i="34" s="1"/>
  <c r="G43" i="34" a="1"/>
  <c r="G43" i="34" s="1"/>
  <c r="G64" i="34" a="1"/>
  <c r="G64" i="34" s="1"/>
  <c r="G60" i="34" a="1"/>
  <c r="G60" i="34" s="1"/>
  <c r="G57" i="34" a="1"/>
  <c r="G57" i="34" s="1"/>
  <c r="G67" i="34" a="1"/>
  <c r="G67" i="34" s="1"/>
  <c r="G70" i="34" a="1"/>
  <c r="G70" i="34" s="1"/>
  <c r="G45" i="34" a="1"/>
  <c r="G45" i="34" s="1"/>
  <c r="G58" i="34" a="1"/>
  <c r="G58" i="34" s="1"/>
  <c r="G71" i="34" a="1"/>
  <c r="G71" i="34" s="1"/>
  <c r="G74" i="34" a="1"/>
  <c r="G74" i="34" s="1"/>
  <c r="G75" i="34" a="1"/>
  <c r="G75" i="34" s="1"/>
  <c r="G72" i="34" a="1"/>
  <c r="G72" i="34" s="1"/>
  <c r="G68" i="34" a="1"/>
  <c r="G68" i="34" s="1"/>
  <c r="G78" i="34" a="1"/>
  <c r="G78" i="34" s="1"/>
  <c r="G77" i="34" a="1"/>
  <c r="G77" i="34" s="1"/>
  <c r="G65" i="34" a="1"/>
  <c r="G65" i="34" s="1"/>
  <c r="G76" i="34" a="1"/>
  <c r="G76" i="34" s="1"/>
  <c r="G79" i="34" a="1"/>
  <c r="G79" i="34" s="1"/>
  <c r="G80" i="34" a="1"/>
  <c r="G80" i="34" s="1"/>
  <c r="E80" i="34" a="1"/>
  <c r="E80" i="34" s="1"/>
  <c r="F80" i="34" a="1"/>
  <c r="F80" i="34" s="1"/>
  <c r="H80" i="34" a="1"/>
  <c r="H80" i="34" s="1"/>
  <c r="I80" i="34" a="1"/>
  <c r="I80" i="34" s="1"/>
  <c r="L80" i="34"/>
  <c r="O80" i="34" a="1"/>
  <c r="O80" i="34" s="1"/>
  <c r="P80" i="34" a="1"/>
  <c r="P80" i="34" s="1"/>
  <c r="Q80" i="34" a="1"/>
  <c r="Q80" i="34" s="1"/>
  <c r="E37" i="34" a="1"/>
  <c r="E37" i="34" s="1"/>
  <c r="F37" i="34" a="1"/>
  <c r="F37" i="34" s="1"/>
  <c r="H37" i="34" a="1"/>
  <c r="H37" i="34" s="1"/>
  <c r="I37" i="34" a="1"/>
  <c r="I37" i="34" s="1"/>
  <c r="L37" i="34"/>
  <c r="O37" i="34" a="1"/>
  <c r="O37" i="34" s="1"/>
  <c r="P37" i="34" a="1"/>
  <c r="P37" i="34" s="1"/>
  <c r="Q37" i="34" a="1"/>
  <c r="Q37" i="34" s="1"/>
  <c r="E12" i="34" a="1"/>
  <c r="E12" i="34" s="1"/>
  <c r="F12" i="34" a="1"/>
  <c r="F12" i="34" s="1"/>
  <c r="H12" i="34" a="1"/>
  <c r="H12" i="34" s="1"/>
  <c r="I12" i="34" a="1"/>
  <c r="I12" i="34" s="1"/>
  <c r="L12" i="34"/>
  <c r="O12" i="34" a="1"/>
  <c r="O12" i="34" s="1"/>
  <c r="P12" i="34" a="1"/>
  <c r="P12" i="34" s="1"/>
  <c r="Q12" i="34" a="1"/>
  <c r="Q12" i="34" s="1"/>
  <c r="E19" i="34" a="1"/>
  <c r="E19" i="34" s="1"/>
  <c r="F19" i="34" a="1"/>
  <c r="F19" i="34" s="1"/>
  <c r="H19" i="34" a="1"/>
  <c r="H19" i="34" s="1"/>
  <c r="I19" i="34" a="1"/>
  <c r="I19" i="34" s="1"/>
  <c r="L19" i="34"/>
  <c r="O19" i="34" a="1"/>
  <c r="O19" i="34" s="1"/>
  <c r="P19" i="34" a="1"/>
  <c r="P19" i="34" s="1"/>
  <c r="Q19" i="34" a="1"/>
  <c r="Q19" i="34" s="1"/>
  <c r="E6" i="34" a="1"/>
  <c r="E6" i="34" s="1"/>
  <c r="F6" i="34" a="1"/>
  <c r="F6" i="34" s="1"/>
  <c r="H6" i="34" a="1"/>
  <c r="H6" i="34" s="1"/>
  <c r="I6" i="34" a="1"/>
  <c r="I6" i="34" s="1"/>
  <c r="L6" i="34"/>
  <c r="O6" i="34" a="1"/>
  <c r="O6" i="34" s="1"/>
  <c r="P6" i="34" a="1"/>
  <c r="P6" i="34" s="1"/>
  <c r="Q6" i="34" a="1"/>
  <c r="Q6" i="34" s="1"/>
  <c r="E78" i="34" a="1"/>
  <c r="E78" i="34" s="1"/>
  <c r="F78" i="34" a="1"/>
  <c r="F78" i="34" s="1"/>
  <c r="H78" i="34" a="1"/>
  <c r="H78" i="34" s="1"/>
  <c r="I78" i="34" a="1"/>
  <c r="I78" i="34" s="1"/>
  <c r="L78" i="34"/>
  <c r="O78" i="34" a="1"/>
  <c r="O78" i="34" s="1"/>
  <c r="P78" i="34" a="1"/>
  <c r="P78" i="34" s="1"/>
  <c r="Q78" i="34" a="1"/>
  <c r="Q78" i="34" s="1"/>
  <c r="E59" i="34" a="1"/>
  <c r="E59" i="34" s="1"/>
  <c r="F59" i="34" a="1"/>
  <c r="F59" i="34" s="1"/>
  <c r="H59" i="34" a="1"/>
  <c r="H59" i="34" s="1"/>
  <c r="I59" i="34" a="1"/>
  <c r="I59" i="34" s="1"/>
  <c r="L59" i="34"/>
  <c r="O59" i="34" a="1"/>
  <c r="O59" i="34" s="1"/>
  <c r="P59" i="34" a="1"/>
  <c r="P59" i="34" s="1"/>
  <c r="Q59" i="34" a="1"/>
  <c r="Q59" i="34" s="1"/>
  <c r="E79" i="34" a="1"/>
  <c r="E79" i="34" s="1"/>
  <c r="F79" i="34" a="1"/>
  <c r="F79" i="34" s="1"/>
  <c r="H79" i="34" a="1"/>
  <c r="H79" i="34" s="1"/>
  <c r="I79" i="34" a="1"/>
  <c r="I79" i="34" s="1"/>
  <c r="L79" i="34"/>
  <c r="O79" i="34" a="1"/>
  <c r="O79" i="34" s="1"/>
  <c r="P79" i="34" a="1"/>
  <c r="P79" i="34" s="1"/>
  <c r="Q79" i="34" a="1"/>
  <c r="Q79" i="34" s="1"/>
  <c r="E64" i="34" a="1"/>
  <c r="E64" i="34" s="1"/>
  <c r="F64" i="34" a="1"/>
  <c r="F64" i="34" s="1"/>
  <c r="H64" i="34" a="1"/>
  <c r="H64" i="34" s="1"/>
  <c r="I64" i="34" a="1"/>
  <c r="I64" i="34" s="1"/>
  <c r="L64" i="34"/>
  <c r="O64" i="34" a="1"/>
  <c r="O64" i="34" s="1"/>
  <c r="P64" i="34" a="1"/>
  <c r="P64" i="34" s="1"/>
  <c r="Q64" i="34" a="1"/>
  <c r="Q64" i="34" s="1"/>
  <c r="E71" i="34" a="1"/>
  <c r="E71" i="34" s="1"/>
  <c r="F71" i="34" a="1"/>
  <c r="F71" i="34" s="1"/>
  <c r="H71" i="34" a="1"/>
  <c r="H71" i="34" s="1"/>
  <c r="I71" i="34" a="1"/>
  <c r="I71" i="34" s="1"/>
  <c r="L71" i="34"/>
  <c r="O71" i="34" a="1"/>
  <c r="O71" i="34" s="1"/>
  <c r="P71" i="34" a="1"/>
  <c r="P71" i="34" s="1"/>
  <c r="Q71" i="34" a="1"/>
  <c r="Q71" i="34" s="1"/>
  <c r="E51" i="34" a="1"/>
  <c r="E51" i="34" s="1"/>
  <c r="F51" i="34" a="1"/>
  <c r="F51" i="34" s="1"/>
  <c r="H51" i="34" a="1"/>
  <c r="H51" i="34" s="1"/>
  <c r="I51" i="34" a="1"/>
  <c r="I51" i="34" s="1"/>
  <c r="L51" i="34"/>
  <c r="O51" i="34" a="1"/>
  <c r="O51" i="34" s="1"/>
  <c r="P51" i="34" a="1"/>
  <c r="P51" i="34" s="1"/>
  <c r="Q51" i="34" a="1"/>
  <c r="Q51" i="34" s="1"/>
  <c r="E21" i="34" a="1"/>
  <c r="E21" i="34" s="1"/>
  <c r="F21" i="34" a="1"/>
  <c r="F21" i="34" s="1"/>
  <c r="H21" i="34" a="1"/>
  <c r="H21" i="34" s="1"/>
  <c r="I21" i="34" a="1"/>
  <c r="I21" i="34" s="1"/>
  <c r="L21" i="34"/>
  <c r="O21" i="34" a="1"/>
  <c r="O21" i="34" s="1"/>
  <c r="P21" i="34" a="1"/>
  <c r="P21" i="34" s="1"/>
  <c r="Q21" i="34" a="1"/>
  <c r="Q21" i="34" s="1"/>
  <c r="E9" i="34" a="1"/>
  <c r="E9" i="34" s="1"/>
  <c r="F9" i="34" a="1"/>
  <c r="F9" i="34" s="1"/>
  <c r="H9" i="34" a="1"/>
  <c r="H9" i="34" s="1"/>
  <c r="I9" i="34" a="1"/>
  <c r="I9" i="34" s="1"/>
  <c r="L9" i="34"/>
  <c r="O9" i="34" a="1"/>
  <c r="O9" i="34" s="1"/>
  <c r="P9" i="34" a="1"/>
  <c r="P9" i="34" s="1"/>
  <c r="Q9" i="34" a="1"/>
  <c r="Q9" i="34" s="1"/>
  <c r="E62" i="34" a="1"/>
  <c r="E62" i="34" s="1"/>
  <c r="F62" i="34" a="1"/>
  <c r="F62" i="34" s="1"/>
  <c r="H62" i="34" a="1"/>
  <c r="H62" i="34" s="1"/>
  <c r="I62" i="34" a="1"/>
  <c r="I62" i="34" s="1"/>
  <c r="L62" i="34"/>
  <c r="O62" i="34" a="1"/>
  <c r="O62" i="34" s="1"/>
  <c r="P62" i="34" a="1"/>
  <c r="P62" i="34" s="1"/>
  <c r="Q62" i="34" a="1"/>
  <c r="Q62" i="34" s="1"/>
  <c r="E29" i="34" a="1"/>
  <c r="E29" i="34" s="1"/>
  <c r="F29" i="34" a="1"/>
  <c r="F29" i="34" s="1"/>
  <c r="H29" i="34" a="1"/>
  <c r="H29" i="34" s="1"/>
  <c r="I29" i="34" a="1"/>
  <c r="I29" i="34" s="1"/>
  <c r="L29" i="34"/>
  <c r="O29" i="34" a="1"/>
  <c r="O29" i="34" s="1"/>
  <c r="P29" i="34" a="1"/>
  <c r="P29" i="34" s="1"/>
  <c r="Q29" i="34" a="1"/>
  <c r="Q29" i="34" s="1"/>
  <c r="E74" i="34" a="1"/>
  <c r="E74" i="34" s="1"/>
  <c r="F74" i="34" a="1"/>
  <c r="F74" i="34" s="1"/>
  <c r="H74" i="34" a="1"/>
  <c r="H74" i="34" s="1"/>
  <c r="I74" i="34" a="1"/>
  <c r="I74" i="34" s="1"/>
  <c r="L74" i="34"/>
  <c r="O74" i="34" a="1"/>
  <c r="O74" i="34" s="1"/>
  <c r="P74" i="34" a="1"/>
  <c r="P74" i="34" s="1"/>
  <c r="Q74" i="34" a="1"/>
  <c r="Q74" i="34" s="1"/>
  <c r="E39" i="34" a="1"/>
  <c r="E39" i="34" s="1"/>
  <c r="F39" i="34" a="1"/>
  <c r="F39" i="34" s="1"/>
  <c r="H39" i="34" a="1"/>
  <c r="H39" i="34" s="1"/>
  <c r="I39" i="34" a="1"/>
  <c r="I39" i="34" s="1"/>
  <c r="L39" i="34"/>
  <c r="O39" i="34" a="1"/>
  <c r="O39" i="34" s="1"/>
  <c r="P39" i="34" a="1"/>
  <c r="P39" i="34" s="1"/>
  <c r="Q39" i="34" a="1"/>
  <c r="Q39" i="34" s="1"/>
  <c r="E60" i="34" a="1"/>
  <c r="E60" i="34" s="1"/>
  <c r="F60" i="34" a="1"/>
  <c r="F60" i="34" s="1"/>
  <c r="H60" i="34" a="1"/>
  <c r="H60" i="34" s="1"/>
  <c r="I60" i="34" a="1"/>
  <c r="I60" i="34" s="1"/>
  <c r="L60" i="34"/>
  <c r="O60" i="34" a="1"/>
  <c r="O60" i="34" s="1"/>
  <c r="P60" i="34" a="1"/>
  <c r="P60" i="34" s="1"/>
  <c r="Q60" i="34" a="1"/>
  <c r="Q60" i="34" s="1"/>
  <c r="E63" i="34" a="1"/>
  <c r="E63" i="34" s="1"/>
  <c r="F63" i="34" a="1"/>
  <c r="F63" i="34" s="1"/>
  <c r="H63" i="34" a="1"/>
  <c r="H63" i="34" s="1"/>
  <c r="I63" i="34" a="1"/>
  <c r="I63" i="34" s="1"/>
  <c r="L63" i="34"/>
  <c r="O63" i="34" a="1"/>
  <c r="O63" i="34" s="1"/>
  <c r="P63" i="34" a="1"/>
  <c r="P63" i="34" s="1"/>
  <c r="Q63" i="34" a="1"/>
  <c r="Q63" i="34" s="1"/>
  <c r="E15" i="34" a="1"/>
  <c r="E15" i="34" s="1"/>
  <c r="F15" i="34" a="1"/>
  <c r="F15" i="34" s="1"/>
  <c r="H15" i="34" a="1"/>
  <c r="H15" i="34" s="1"/>
  <c r="I15" i="34" a="1"/>
  <c r="I15" i="34" s="1"/>
  <c r="L15" i="34"/>
  <c r="O15" i="34" a="1"/>
  <c r="O15" i="34" s="1"/>
  <c r="P15" i="34" a="1"/>
  <c r="P15" i="34" s="1"/>
  <c r="Q15" i="34" a="1"/>
  <c r="Q15" i="34" s="1"/>
  <c r="E13" i="34" a="1"/>
  <c r="E13" i="34" s="1"/>
  <c r="F13" i="34" a="1"/>
  <c r="F13" i="34" s="1"/>
  <c r="H13" i="34" a="1"/>
  <c r="H13" i="34" s="1"/>
  <c r="I13" i="34" a="1"/>
  <c r="I13" i="34" s="1"/>
  <c r="L13" i="34"/>
  <c r="O13" i="34" a="1"/>
  <c r="O13" i="34" s="1"/>
  <c r="P13" i="34" a="1"/>
  <c r="P13" i="34" s="1"/>
  <c r="Q13" i="34" a="1"/>
  <c r="Q13" i="34" s="1"/>
  <c r="E33" i="34" a="1"/>
  <c r="E33" i="34" s="1"/>
  <c r="F33" i="34" a="1"/>
  <c r="F33" i="34" s="1"/>
  <c r="H33" i="34" a="1"/>
  <c r="H33" i="34" s="1"/>
  <c r="I33" i="34" a="1"/>
  <c r="I33" i="34" s="1"/>
  <c r="L33" i="34"/>
  <c r="O33" i="34" a="1"/>
  <c r="O33" i="34" s="1"/>
  <c r="P33" i="34" a="1"/>
  <c r="P33" i="34" s="1"/>
  <c r="Q33" i="34" a="1"/>
  <c r="Q33" i="34" s="1"/>
  <c r="E52" i="34" a="1"/>
  <c r="E52" i="34" s="1"/>
  <c r="F52" i="34" a="1"/>
  <c r="F52" i="34" s="1"/>
  <c r="H52" i="34" a="1"/>
  <c r="H52" i="34" s="1"/>
  <c r="I52" i="34" a="1"/>
  <c r="I52" i="34" s="1"/>
  <c r="L52" i="34"/>
  <c r="O52" i="34" a="1"/>
  <c r="O52" i="34" s="1"/>
  <c r="P52" i="34" a="1"/>
  <c r="P52" i="34" s="1"/>
  <c r="Q52" i="34" a="1"/>
  <c r="Q52" i="34" s="1"/>
  <c r="E24" i="34" a="1"/>
  <c r="E24" i="34" s="1"/>
  <c r="F24" i="34" a="1"/>
  <c r="F24" i="34" s="1"/>
  <c r="H24" i="34" a="1"/>
  <c r="H24" i="34" s="1"/>
  <c r="I24" i="34" a="1"/>
  <c r="I24" i="34" s="1"/>
  <c r="L24" i="34"/>
  <c r="O24" i="34" a="1"/>
  <c r="O24" i="34" s="1"/>
  <c r="P24" i="34" a="1"/>
  <c r="P24" i="34" s="1"/>
  <c r="Q24" i="34" a="1"/>
  <c r="Q24" i="34" s="1"/>
  <c r="E77" i="34" a="1"/>
  <c r="E77" i="34" s="1"/>
  <c r="F77" i="34" a="1"/>
  <c r="F77" i="34" s="1"/>
  <c r="H77" i="34" a="1"/>
  <c r="H77" i="34" s="1"/>
  <c r="I77" i="34" a="1"/>
  <c r="I77" i="34" s="1"/>
  <c r="L77" i="34"/>
  <c r="O77" i="34" a="1"/>
  <c r="O77" i="34" s="1"/>
  <c r="P77" i="34" a="1"/>
  <c r="P77" i="34" s="1"/>
  <c r="Q77" i="34" a="1"/>
  <c r="Q77" i="34" s="1"/>
  <c r="E69" i="34" a="1"/>
  <c r="E69" i="34" s="1"/>
  <c r="F69" i="34" a="1"/>
  <c r="F69" i="34" s="1"/>
  <c r="H69" i="34" a="1"/>
  <c r="H69" i="34" s="1"/>
  <c r="I69" i="34" a="1"/>
  <c r="I69" i="34" s="1"/>
  <c r="L69" i="34"/>
  <c r="O69" i="34" a="1"/>
  <c r="O69" i="34" s="1"/>
  <c r="P69" i="34" a="1"/>
  <c r="P69" i="34" s="1"/>
  <c r="Q69" i="34" a="1"/>
  <c r="Q69" i="34" s="1"/>
  <c r="E7" i="34" a="1"/>
  <c r="E7" i="34" s="1"/>
  <c r="F7" i="34" a="1"/>
  <c r="F7" i="34" s="1"/>
  <c r="H7" i="34" a="1"/>
  <c r="H7" i="34" s="1"/>
  <c r="I7" i="34" a="1"/>
  <c r="I7" i="34" s="1"/>
  <c r="L7" i="34"/>
  <c r="O7" i="34" a="1"/>
  <c r="O7" i="34" s="1"/>
  <c r="P7" i="34" a="1"/>
  <c r="P7" i="34" s="1"/>
  <c r="Q7" i="34" a="1"/>
  <c r="Q7" i="34" s="1"/>
  <c r="E76" i="34" a="1"/>
  <c r="E76" i="34" s="1"/>
  <c r="F76" i="34" a="1"/>
  <c r="F76" i="34" s="1"/>
  <c r="H76" i="34" a="1"/>
  <c r="H76" i="34" s="1"/>
  <c r="I76" i="34" a="1"/>
  <c r="I76" i="34" s="1"/>
  <c r="L76" i="34"/>
  <c r="O76" i="34" a="1"/>
  <c r="O76" i="34" s="1"/>
  <c r="P76" i="34" a="1"/>
  <c r="P76" i="34" s="1"/>
  <c r="Q76" i="34" a="1"/>
  <c r="Q76" i="34" s="1"/>
  <c r="E47" i="34" a="1"/>
  <c r="E47" i="34" s="1"/>
  <c r="F47" i="34" a="1"/>
  <c r="F47" i="34" s="1"/>
  <c r="H47" i="34" a="1"/>
  <c r="H47" i="34" s="1"/>
  <c r="I47" i="34" a="1"/>
  <c r="I47" i="34" s="1"/>
  <c r="L47" i="34"/>
  <c r="O47" i="34" a="1"/>
  <c r="O47" i="34" s="1"/>
  <c r="P47" i="34" a="1"/>
  <c r="P47" i="34" s="1"/>
  <c r="Q47" i="34" a="1"/>
  <c r="Q47" i="34" s="1"/>
  <c r="Q5" i="34" a="1"/>
  <c r="Q5" i="34" s="1"/>
  <c r="Q8" i="34" a="1"/>
  <c r="Q8" i="34" s="1"/>
  <c r="Q4" i="34" a="1"/>
  <c r="Q4" i="34" s="1"/>
  <c r="Q14" i="34" a="1"/>
  <c r="Q14" i="34" s="1"/>
  <c r="Q16" i="34" a="1"/>
  <c r="Q16" i="34" s="1"/>
  <c r="Q31" i="34" a="1"/>
  <c r="Q31" i="34" s="1"/>
  <c r="Q10" i="34" a="1"/>
  <c r="Q10" i="34" s="1"/>
  <c r="Q18" i="34" a="1"/>
  <c r="Q18" i="34" s="1"/>
  <c r="Q20" i="34" a="1"/>
  <c r="Q20" i="34" s="1"/>
  <c r="Q25" i="34" a="1"/>
  <c r="Q25" i="34" s="1"/>
  <c r="Q27" i="34" a="1"/>
  <c r="Q27" i="34" s="1"/>
  <c r="Q17" i="34" a="1"/>
  <c r="Q17" i="34" s="1"/>
  <c r="Q26" i="34" a="1"/>
  <c r="Q26" i="34" s="1"/>
  <c r="Q22" i="34" a="1"/>
  <c r="Q22" i="34" s="1"/>
  <c r="Q32" i="34" a="1"/>
  <c r="Q32" i="34" s="1"/>
  <c r="Q30" i="34" a="1"/>
  <c r="Q30" i="34" s="1"/>
  <c r="Q28" i="34" a="1"/>
  <c r="Q28" i="34" s="1"/>
  <c r="Q41" i="34" a="1"/>
  <c r="Q41" i="34" s="1"/>
  <c r="Q49" i="34" a="1"/>
  <c r="Q49" i="34" s="1"/>
  <c r="Q35" i="34" a="1"/>
  <c r="Q35" i="34" s="1"/>
  <c r="Q23" i="34" a="1"/>
  <c r="Q23" i="34" s="1"/>
  <c r="Q44" i="34" a="1"/>
  <c r="Q44" i="34" s="1"/>
  <c r="Q40" i="34" a="1"/>
  <c r="Q40" i="34" s="1"/>
  <c r="Q36" i="34" a="1"/>
  <c r="Q36" i="34" s="1"/>
  <c r="Q53" i="34" a="1"/>
  <c r="Q53" i="34" s="1"/>
  <c r="Q34" i="34" a="1"/>
  <c r="Q34" i="34" s="1"/>
  <c r="Q56" i="34" a="1"/>
  <c r="Q56" i="34" s="1"/>
  <c r="Q42" i="34" a="1"/>
  <c r="Q42" i="34" s="1"/>
  <c r="Q38" i="34" a="1"/>
  <c r="Q38" i="34" s="1"/>
  <c r="Q61" i="34" a="1"/>
  <c r="Q61" i="34" s="1"/>
  <c r="Q50" i="34" a="1"/>
  <c r="Q50" i="34" s="1"/>
  <c r="Q54" i="34" a="1"/>
  <c r="Q54" i="34" s="1"/>
  <c r="Q73" i="34" a="1"/>
  <c r="Q73" i="34" s="1"/>
  <c r="Q46" i="34" a="1"/>
  <c r="Q46" i="34" s="1"/>
  <c r="Q48" i="34" a="1"/>
  <c r="Q48" i="34" s="1"/>
  <c r="Q55" i="34" a="1"/>
  <c r="Q55" i="34" s="1"/>
  <c r="Q66" i="34" a="1"/>
  <c r="Q66" i="34" s="1"/>
  <c r="Q43" i="34" a="1"/>
  <c r="Q43" i="34" s="1"/>
  <c r="Q57" i="34" a="1"/>
  <c r="Q57" i="34" s="1"/>
  <c r="Q67" i="34" a="1"/>
  <c r="Q67" i="34" s="1"/>
  <c r="Q70" i="34" a="1"/>
  <c r="Q70" i="34" s="1"/>
  <c r="Q45" i="34" a="1"/>
  <c r="Q45" i="34" s="1"/>
  <c r="Q58" i="34" a="1"/>
  <c r="Q58" i="34" s="1"/>
  <c r="Q75" i="34" a="1"/>
  <c r="Q75" i="34" s="1"/>
  <c r="Q72" i="34" a="1"/>
  <c r="Q72" i="34" s="1"/>
  <c r="Q68" i="34" a="1"/>
  <c r="Q68" i="34" s="1"/>
  <c r="Q65" i="34" a="1"/>
  <c r="Q65" i="34" s="1"/>
  <c r="D10" i="36" a="1"/>
  <c r="D10" i="36" s="1"/>
  <c r="D11" i="36" a="1"/>
  <c r="D11" i="36" s="1"/>
  <c r="D12" i="36" a="1"/>
  <c r="D12" i="36" s="1"/>
  <c r="M10" i="36" a="1"/>
  <c r="M10" i="36" s="1"/>
  <c r="M11" i="36" a="1"/>
  <c r="M11" i="36" s="1"/>
  <c r="M12" i="36" a="1"/>
  <c r="M12" i="36" s="1"/>
  <c r="I3" i="31" a="1"/>
  <c r="I3" i="31" s="1"/>
  <c r="C10" i="36" a="1"/>
  <c r="C10" i="36" s="1"/>
  <c r="C11" i="36" a="1"/>
  <c r="C11" i="36" s="1"/>
  <c r="C12" i="36" a="1"/>
  <c r="C12" i="36" s="1"/>
  <c r="L10" i="36" a="1"/>
  <c r="L10" i="36" s="1"/>
  <c r="N10" i="36" s="1"/>
  <c r="L11" i="36" a="1"/>
  <c r="L11" i="36" s="1"/>
  <c r="N11" i="36" s="1"/>
  <c r="L12" i="36" a="1"/>
  <c r="L12" i="36" s="1"/>
  <c r="N12" i="36" s="1"/>
  <c r="I10" i="36"/>
  <c r="J10" i="36" s="1"/>
  <c r="T10" i="36" s="1"/>
  <c r="I11" i="36"/>
  <c r="J11" i="36" s="1"/>
  <c r="T11" i="36" s="1"/>
  <c r="I12" i="36"/>
  <c r="J12" i="36" s="1"/>
  <c r="T12" i="36" s="1"/>
  <c r="G11" i="36"/>
  <c r="G12" i="36"/>
  <c r="G10" i="36"/>
  <c r="Q6" i="36"/>
  <c r="P6" i="36"/>
  <c r="Q5" i="36"/>
  <c r="P5" i="36"/>
  <c r="Q4" i="36"/>
  <c r="P4" i="36"/>
  <c r="F4" i="36"/>
  <c r="F5" i="36" s="1"/>
  <c r="F6" i="36" s="1"/>
  <c r="B53" i="29"/>
  <c r="I53" i="29" a="1"/>
  <c r="I53" i="29" s="1"/>
  <c r="L53" i="29"/>
  <c r="M53" i="29" a="1"/>
  <c r="M53" i="29" s="1"/>
  <c r="U53" i="29"/>
  <c r="G32" i="33"/>
  <c r="P31" i="34" a="1"/>
  <c r="P31" i="34" s="1"/>
  <c r="P56" i="34" a="1"/>
  <c r="P56" i="34" s="1"/>
  <c r="P50" i="34" a="1"/>
  <c r="P50" i="34" s="1"/>
  <c r="P46" i="34" a="1"/>
  <c r="P46" i="34" s="1"/>
  <c r="P57" i="34" a="1"/>
  <c r="P57" i="34" s="1"/>
  <c r="P17" i="34" a="1"/>
  <c r="P17" i="34" s="1"/>
  <c r="P55" i="34" a="1"/>
  <c r="P55" i="34" s="1"/>
  <c r="P41" i="34" a="1"/>
  <c r="P41" i="34" s="1"/>
  <c r="P48" i="34" a="1"/>
  <c r="P48" i="34" s="1"/>
  <c r="P67" i="34" a="1"/>
  <c r="P67" i="34" s="1"/>
  <c r="P44" i="34" a="1"/>
  <c r="P44" i="34" s="1"/>
  <c r="P22" i="34" a="1"/>
  <c r="P22" i="34" s="1"/>
  <c r="P18" i="34" a="1"/>
  <c r="P18" i="34" s="1"/>
  <c r="P72" i="34" a="1"/>
  <c r="P72" i="34" s="1"/>
  <c r="P36" i="34" a="1"/>
  <c r="P36" i="34" s="1"/>
  <c r="P49" i="34" a="1"/>
  <c r="P49" i="34" s="1"/>
  <c r="P75" i="34" a="1"/>
  <c r="P75" i="34" s="1"/>
  <c r="P23" i="34" a="1"/>
  <c r="P23" i="34" s="1"/>
  <c r="P40" i="34" a="1"/>
  <c r="P40" i="34" s="1"/>
  <c r="P5" i="34" a="1"/>
  <c r="P5" i="34" s="1"/>
  <c r="P26" i="34" a="1"/>
  <c r="P26" i="34" s="1"/>
  <c r="P54" i="34" a="1"/>
  <c r="P54" i="34" s="1"/>
  <c r="P4" i="34" a="1"/>
  <c r="P4" i="34" s="1"/>
  <c r="P53" i="34" a="1"/>
  <c r="P53" i="34" s="1"/>
  <c r="P14" i="34" a="1"/>
  <c r="P14" i="34" s="1"/>
  <c r="P70" i="34" a="1"/>
  <c r="P70" i="34" s="1"/>
  <c r="P43" i="34" a="1"/>
  <c r="P43" i="34" s="1"/>
  <c r="P68" i="34" a="1"/>
  <c r="P68" i="34" s="1"/>
  <c r="P30" i="34" a="1"/>
  <c r="P30" i="34" s="1"/>
  <c r="P58" i="34" a="1"/>
  <c r="P58" i="34" s="1"/>
  <c r="P10" i="34" a="1"/>
  <c r="P10" i="34" s="1"/>
  <c r="P73" i="34" a="1"/>
  <c r="P73" i="34" s="1"/>
  <c r="P42" i="34" a="1"/>
  <c r="P42" i="34" s="1"/>
  <c r="P16" i="34" a="1"/>
  <c r="P16" i="34" s="1"/>
  <c r="P34" i="34" a="1"/>
  <c r="P34" i="34" s="1"/>
  <c r="P20" i="34" a="1"/>
  <c r="P20" i="34" s="1"/>
  <c r="P45" i="34" a="1"/>
  <c r="P45" i="34" s="1"/>
  <c r="P38" i="34" a="1"/>
  <c r="P38" i="34" s="1"/>
  <c r="P25" i="34" a="1"/>
  <c r="P25" i="34" s="1"/>
  <c r="P35" i="34" a="1"/>
  <c r="P35" i="34" s="1"/>
  <c r="P28" i="34" a="1"/>
  <c r="P28" i="34" s="1"/>
  <c r="P66" i="34" a="1"/>
  <c r="P66" i="34" s="1"/>
  <c r="P65" i="34" a="1"/>
  <c r="P65" i="34" s="1"/>
  <c r="P8" i="34" a="1"/>
  <c r="P8" i="34" s="1"/>
  <c r="P61" i="34" a="1"/>
  <c r="P61" i="34" s="1"/>
  <c r="P27" i="34" a="1"/>
  <c r="P27" i="34" s="1"/>
  <c r="P32" i="34" a="1"/>
  <c r="P32" i="34" s="1"/>
  <c r="E38" i="34" a="1"/>
  <c r="E38" i="34" s="1"/>
  <c r="F38" i="34" a="1"/>
  <c r="F38" i="34" s="1"/>
  <c r="H38" i="34" a="1"/>
  <c r="H38" i="34" s="1"/>
  <c r="I38" i="34" a="1"/>
  <c r="I38" i="34" s="1"/>
  <c r="L38" i="34"/>
  <c r="O38" i="34" a="1"/>
  <c r="O38" i="34" s="1"/>
  <c r="E10" i="34" a="1"/>
  <c r="E10" i="34" s="1"/>
  <c r="F10" i="34" a="1"/>
  <c r="F10" i="34" s="1"/>
  <c r="H10" i="34" a="1"/>
  <c r="H10" i="34" s="1"/>
  <c r="I10" i="34" a="1"/>
  <c r="I10" i="34" s="1"/>
  <c r="L10" i="34"/>
  <c r="O10" i="34" a="1"/>
  <c r="O10" i="34" s="1"/>
  <c r="E43" i="34" a="1"/>
  <c r="E43" i="34" s="1"/>
  <c r="F43" i="34" a="1"/>
  <c r="F43" i="34" s="1"/>
  <c r="H43" i="34" a="1"/>
  <c r="H43" i="34" s="1"/>
  <c r="I43" i="34" a="1"/>
  <c r="I43" i="34" s="1"/>
  <c r="L43" i="34"/>
  <c r="O43" i="34" a="1"/>
  <c r="O43" i="34" s="1"/>
  <c r="E48" i="34" a="1"/>
  <c r="E48" i="34" s="1"/>
  <c r="F48" i="34" a="1"/>
  <c r="F48" i="34" s="1"/>
  <c r="H48" i="34" a="1"/>
  <c r="H48" i="34" s="1"/>
  <c r="I48" i="34" a="1"/>
  <c r="I48" i="34" s="1"/>
  <c r="L48" i="34"/>
  <c r="O48" i="34" a="1"/>
  <c r="O48" i="34" s="1"/>
  <c r="E17" i="34" a="1"/>
  <c r="E17" i="34" s="1"/>
  <c r="F17" i="34" a="1"/>
  <c r="F17" i="34" s="1"/>
  <c r="H17" i="34" a="1"/>
  <c r="H17" i="34" s="1"/>
  <c r="I17" i="34" a="1"/>
  <c r="I17" i="34" s="1"/>
  <c r="L17" i="34"/>
  <c r="O17" i="34" a="1"/>
  <c r="O17" i="34" s="1"/>
  <c r="E46" i="34" a="1"/>
  <c r="E46" i="34" s="1"/>
  <c r="F46" i="34" a="1"/>
  <c r="F46" i="34" s="1"/>
  <c r="H46" i="34" a="1"/>
  <c r="H46" i="34" s="1"/>
  <c r="I46" i="34" a="1"/>
  <c r="I46" i="34" s="1"/>
  <c r="L46" i="34"/>
  <c r="O46" i="34" a="1"/>
  <c r="O46" i="34" s="1"/>
  <c r="E18" i="34" a="1"/>
  <c r="E18" i="34" s="1"/>
  <c r="F18" i="34" a="1"/>
  <c r="F18" i="34" s="1"/>
  <c r="H18" i="34" a="1"/>
  <c r="H18" i="34" s="1"/>
  <c r="I18" i="34" a="1"/>
  <c r="I18" i="34" s="1"/>
  <c r="L18" i="34"/>
  <c r="O18" i="34" a="1"/>
  <c r="O18" i="34" s="1"/>
  <c r="E66" i="34" a="1"/>
  <c r="E66" i="34" s="1"/>
  <c r="F66" i="34" a="1"/>
  <c r="F66" i="34" s="1"/>
  <c r="H66" i="34" a="1"/>
  <c r="H66" i="34" s="1"/>
  <c r="I66" i="34" a="1"/>
  <c r="I66" i="34" s="1"/>
  <c r="L66" i="34"/>
  <c r="O66" i="34" a="1"/>
  <c r="O66" i="34" s="1"/>
  <c r="E25" i="34" a="1"/>
  <c r="E25" i="34" s="1"/>
  <c r="F25" i="34" a="1"/>
  <c r="F25" i="34" s="1"/>
  <c r="H25" i="34" a="1"/>
  <c r="H25" i="34" s="1"/>
  <c r="I25" i="34" a="1"/>
  <c r="I25" i="34" s="1"/>
  <c r="L25" i="34"/>
  <c r="O25" i="34" a="1"/>
  <c r="O25" i="34" s="1"/>
  <c r="E73" i="34" a="1"/>
  <c r="E73" i="34" s="1"/>
  <c r="F73" i="34" a="1"/>
  <c r="F73" i="34" s="1"/>
  <c r="H73" i="34" a="1"/>
  <c r="H73" i="34" s="1"/>
  <c r="I73" i="34" a="1"/>
  <c r="I73" i="34" s="1"/>
  <c r="L73" i="34"/>
  <c r="O73" i="34" a="1"/>
  <c r="O73" i="34" s="1"/>
  <c r="E68" i="34" a="1"/>
  <c r="E68" i="34" s="1"/>
  <c r="F68" i="34" a="1"/>
  <c r="F68" i="34" s="1"/>
  <c r="H68" i="34" a="1"/>
  <c r="H68" i="34" s="1"/>
  <c r="I68" i="34" a="1"/>
  <c r="I68" i="34" s="1"/>
  <c r="L68" i="34"/>
  <c r="O68" i="34" a="1"/>
  <c r="O68" i="34" s="1"/>
  <c r="E70" i="34" a="1"/>
  <c r="E70" i="34" s="1"/>
  <c r="F70" i="34" a="1"/>
  <c r="F70" i="34" s="1"/>
  <c r="H70" i="34" a="1"/>
  <c r="H70" i="34" s="1"/>
  <c r="I70" i="34" a="1"/>
  <c r="I70" i="34" s="1"/>
  <c r="L70" i="34"/>
  <c r="O70" i="34" a="1"/>
  <c r="O70" i="34" s="1"/>
  <c r="E40" i="34" a="1"/>
  <c r="E40" i="34" s="1"/>
  <c r="F40" i="34" a="1"/>
  <c r="F40" i="34" s="1"/>
  <c r="H40" i="34" a="1"/>
  <c r="H40" i="34" s="1"/>
  <c r="I40" i="34" a="1"/>
  <c r="I40" i="34" s="1"/>
  <c r="L40" i="34"/>
  <c r="O40" i="34" a="1"/>
  <c r="O40" i="34" s="1"/>
  <c r="E75" i="34" a="1"/>
  <c r="E75" i="34" s="1"/>
  <c r="F75" i="34" a="1"/>
  <c r="F75" i="34" s="1"/>
  <c r="H75" i="34" a="1"/>
  <c r="H75" i="34" s="1"/>
  <c r="I75" i="34" a="1"/>
  <c r="I75" i="34" s="1"/>
  <c r="L75" i="34"/>
  <c r="O75" i="34" a="1"/>
  <c r="O75" i="34" s="1"/>
  <c r="E49" i="34" a="1"/>
  <c r="E49" i="34" s="1"/>
  <c r="F49" i="34" a="1"/>
  <c r="F49" i="34" s="1"/>
  <c r="H49" i="34" a="1"/>
  <c r="H49" i="34" s="1"/>
  <c r="I49" i="34" a="1"/>
  <c r="I49" i="34" s="1"/>
  <c r="L49" i="34"/>
  <c r="O49" i="34" a="1"/>
  <c r="O49" i="34" s="1"/>
  <c r="E44" i="34" a="1"/>
  <c r="E44" i="34" s="1"/>
  <c r="F44" i="34" a="1"/>
  <c r="F44" i="34" s="1"/>
  <c r="H44" i="34" a="1"/>
  <c r="H44" i="34" s="1"/>
  <c r="I44" i="34" a="1"/>
  <c r="I44" i="34" s="1"/>
  <c r="L44" i="34"/>
  <c r="O44" i="34" a="1"/>
  <c r="O44" i="34" s="1"/>
  <c r="E67" i="34" a="1"/>
  <c r="E67" i="34" s="1"/>
  <c r="F67" i="34" a="1"/>
  <c r="F67" i="34" s="1"/>
  <c r="H67" i="34" a="1"/>
  <c r="H67" i="34" s="1"/>
  <c r="I67" i="34" a="1"/>
  <c r="I67" i="34" s="1"/>
  <c r="L67" i="34"/>
  <c r="O67" i="34" a="1"/>
  <c r="O67" i="34" s="1"/>
  <c r="E57" i="34" a="1"/>
  <c r="E57" i="34" s="1"/>
  <c r="F57" i="34" a="1"/>
  <c r="F57" i="34" s="1"/>
  <c r="H57" i="34" a="1"/>
  <c r="H57" i="34" s="1"/>
  <c r="I57" i="34" a="1"/>
  <c r="I57" i="34" s="1"/>
  <c r="L57" i="34"/>
  <c r="O57" i="34" a="1"/>
  <c r="O57" i="34" s="1"/>
  <c r="E55" i="34" a="1"/>
  <c r="E55" i="34" s="1"/>
  <c r="F55" i="34" a="1"/>
  <c r="F55" i="34" s="1"/>
  <c r="H55" i="34" a="1"/>
  <c r="H55" i="34" s="1"/>
  <c r="I55" i="34" a="1"/>
  <c r="I55" i="34" s="1"/>
  <c r="L55" i="34"/>
  <c r="O55" i="34" a="1"/>
  <c r="O55" i="34" s="1"/>
  <c r="E22" i="34" a="1"/>
  <c r="E22" i="34" s="1"/>
  <c r="F22" i="34" a="1"/>
  <c r="F22" i="34" s="1"/>
  <c r="H22" i="34" a="1"/>
  <c r="H22" i="34" s="1"/>
  <c r="I22" i="34" a="1"/>
  <c r="I22" i="34" s="1"/>
  <c r="L22" i="34"/>
  <c r="O22" i="34" a="1"/>
  <c r="O22" i="34" s="1"/>
  <c r="E41" i="34" a="1"/>
  <c r="E41" i="34" s="1"/>
  <c r="F41" i="34" a="1"/>
  <c r="F41" i="34" s="1"/>
  <c r="H41" i="34" a="1"/>
  <c r="H41" i="34" s="1"/>
  <c r="I41" i="34" a="1"/>
  <c r="I41" i="34" s="1"/>
  <c r="L41" i="34"/>
  <c r="O41" i="34" a="1"/>
  <c r="O41" i="34" s="1"/>
  <c r="E30" i="34" a="1"/>
  <c r="E30" i="34" s="1"/>
  <c r="F30" i="34" a="1"/>
  <c r="F30" i="34" s="1"/>
  <c r="H30" i="34" a="1"/>
  <c r="H30" i="34" s="1"/>
  <c r="I30" i="34" a="1"/>
  <c r="I30" i="34" s="1"/>
  <c r="L30" i="34"/>
  <c r="O30" i="34" a="1"/>
  <c r="O30" i="34" s="1"/>
  <c r="E8" i="34" a="1"/>
  <c r="E8" i="34" s="1"/>
  <c r="F8" i="34" a="1"/>
  <c r="F8" i="34" s="1"/>
  <c r="H8" i="34" a="1"/>
  <c r="H8" i="34" s="1"/>
  <c r="I8" i="34" a="1"/>
  <c r="I8" i="34" s="1"/>
  <c r="L8" i="34"/>
  <c r="O8" i="34" a="1"/>
  <c r="O8" i="34" s="1"/>
  <c r="E65" i="34" a="1"/>
  <c r="E65" i="34" s="1"/>
  <c r="F65" i="34" a="1"/>
  <c r="F65" i="34" s="1"/>
  <c r="H65" i="34" a="1"/>
  <c r="H65" i="34" s="1"/>
  <c r="I65" i="34" a="1"/>
  <c r="I65" i="34" s="1"/>
  <c r="L65" i="34"/>
  <c r="O65" i="34" a="1"/>
  <c r="O65" i="34" s="1"/>
  <c r="E35" i="34" a="1"/>
  <c r="E35" i="34" s="1"/>
  <c r="F35" i="34" a="1"/>
  <c r="F35" i="34" s="1"/>
  <c r="H35" i="34" a="1"/>
  <c r="H35" i="34" s="1"/>
  <c r="I35" i="34" a="1"/>
  <c r="I35" i="34" s="1"/>
  <c r="L35" i="34"/>
  <c r="O35" i="34" a="1"/>
  <c r="O35" i="34" s="1"/>
  <c r="E54" i="34" a="1"/>
  <c r="E54" i="34" s="1"/>
  <c r="F54" i="34" a="1"/>
  <c r="F54" i="34" s="1"/>
  <c r="H54" i="34" a="1"/>
  <c r="H54" i="34" s="1"/>
  <c r="I54" i="34" a="1"/>
  <c r="I54" i="34" s="1"/>
  <c r="L54" i="34"/>
  <c r="O54" i="34" a="1"/>
  <c r="O54" i="34" s="1"/>
  <c r="E26" i="34" a="1"/>
  <c r="E26" i="34" s="1"/>
  <c r="F26" i="34" a="1"/>
  <c r="F26" i="34" s="1"/>
  <c r="H26" i="34" a="1"/>
  <c r="H26" i="34" s="1"/>
  <c r="I26" i="34" a="1"/>
  <c r="I26" i="34" s="1"/>
  <c r="L26" i="34"/>
  <c r="O26" i="34" a="1"/>
  <c r="O26" i="34" s="1"/>
  <c r="E23" i="34" a="1"/>
  <c r="E23" i="34" s="1"/>
  <c r="F23" i="34" a="1"/>
  <c r="F23" i="34" s="1"/>
  <c r="H23" i="34" a="1"/>
  <c r="H23" i="34" s="1"/>
  <c r="I23" i="34" a="1"/>
  <c r="I23" i="34" s="1"/>
  <c r="L23" i="34"/>
  <c r="O23" i="34" a="1"/>
  <c r="O23" i="34" s="1"/>
  <c r="E4" i="34" a="1"/>
  <c r="E4" i="34" s="1"/>
  <c r="F4" i="34" a="1"/>
  <c r="F4" i="34" s="1"/>
  <c r="H4" i="34" a="1"/>
  <c r="H4" i="34" s="1"/>
  <c r="I4" i="34" a="1"/>
  <c r="I4" i="34" s="1"/>
  <c r="L4" i="34"/>
  <c r="O4" i="34" a="1"/>
  <c r="O4" i="34" s="1"/>
  <c r="E36" i="34" a="1"/>
  <c r="E36" i="34" s="1"/>
  <c r="F36" i="34" a="1"/>
  <c r="F36" i="34" s="1"/>
  <c r="H36" i="34" a="1"/>
  <c r="H36" i="34" s="1"/>
  <c r="I36" i="34" a="1"/>
  <c r="I36" i="34" s="1"/>
  <c r="L36" i="34"/>
  <c r="O36" i="34" a="1"/>
  <c r="O36" i="34" s="1"/>
  <c r="E58" i="34" a="1"/>
  <c r="E58" i="34" s="1"/>
  <c r="F58" i="34" a="1"/>
  <c r="F58" i="34" s="1"/>
  <c r="H58" i="34" a="1"/>
  <c r="H58" i="34" s="1"/>
  <c r="I58" i="34" a="1"/>
  <c r="I58" i="34" s="1"/>
  <c r="L58" i="34"/>
  <c r="O58" i="34" a="1"/>
  <c r="O58" i="34" s="1"/>
  <c r="E42" i="34" a="1"/>
  <c r="E42" i="34" s="1"/>
  <c r="F42" i="34" a="1"/>
  <c r="F42" i="34" s="1"/>
  <c r="H42" i="34" a="1"/>
  <c r="H42" i="34" s="1"/>
  <c r="I42" i="34" a="1"/>
  <c r="I42" i="34" s="1"/>
  <c r="L42" i="34"/>
  <c r="O42" i="34" a="1"/>
  <c r="O42" i="34" s="1"/>
  <c r="E72" i="34" a="1"/>
  <c r="E72" i="34" s="1"/>
  <c r="F72" i="34" a="1"/>
  <c r="F72" i="34" s="1"/>
  <c r="H72" i="34" a="1"/>
  <c r="H72" i="34" s="1"/>
  <c r="I72" i="34" a="1"/>
  <c r="I72" i="34" s="1"/>
  <c r="L72" i="34"/>
  <c r="O72" i="34" a="1"/>
  <c r="O72" i="34" s="1"/>
  <c r="E45" i="34" a="1"/>
  <c r="E45" i="34" s="1"/>
  <c r="F45" i="34" a="1"/>
  <c r="F45" i="34" s="1"/>
  <c r="H45" i="34" a="1"/>
  <c r="H45" i="34" s="1"/>
  <c r="I45" i="34" a="1"/>
  <c r="I45" i="34" s="1"/>
  <c r="L45" i="34"/>
  <c r="O45" i="34" a="1"/>
  <c r="O45" i="34" s="1"/>
  <c r="E14" i="34" a="1"/>
  <c r="E14" i="34" s="1"/>
  <c r="F14" i="34" a="1"/>
  <c r="F14" i="34" s="1"/>
  <c r="H14" i="34" a="1"/>
  <c r="H14" i="34" s="1"/>
  <c r="I14" i="34" a="1"/>
  <c r="I14" i="34" s="1"/>
  <c r="L14" i="34"/>
  <c r="O14" i="34" a="1"/>
  <c r="O14" i="34" s="1"/>
  <c r="E56" i="34" a="1"/>
  <c r="E56" i="34" s="1"/>
  <c r="F56" i="34" a="1"/>
  <c r="F56" i="34" s="1"/>
  <c r="H56" i="34" a="1"/>
  <c r="H56" i="34" s="1"/>
  <c r="I56" i="34" a="1"/>
  <c r="I56" i="34" s="1"/>
  <c r="L56" i="34"/>
  <c r="O56" i="34" a="1"/>
  <c r="O56" i="34" s="1"/>
  <c r="O31" i="34" a="1"/>
  <c r="O31" i="34" s="1"/>
  <c r="O50" i="34" a="1"/>
  <c r="O50" i="34" s="1"/>
  <c r="O32" i="34" a="1"/>
  <c r="O32" i="34" s="1"/>
  <c r="O28" i="34" a="1"/>
  <c r="O28" i="34" s="1"/>
  <c r="O16" i="34" a="1"/>
  <c r="O16" i="34" s="1"/>
  <c r="O34" i="34" a="1"/>
  <c r="O34" i="34" s="1"/>
  <c r="O53" i="34" a="1"/>
  <c r="O53" i="34" s="1"/>
  <c r="O61" i="34" a="1"/>
  <c r="O61" i="34" s="1"/>
  <c r="O20" i="34" a="1"/>
  <c r="O20" i="34" s="1"/>
  <c r="O5" i="34" a="1"/>
  <c r="O5" i="34" s="1"/>
  <c r="O27" i="34" a="1"/>
  <c r="O27" i="34" s="1"/>
  <c r="G38" i="33"/>
  <c r="F12" i="28"/>
  <c r="C12" i="28" s="1"/>
  <c r="E27" i="34" a="1"/>
  <c r="E27" i="34" s="1"/>
  <c r="F27" i="34" a="1"/>
  <c r="F27" i="34" s="1"/>
  <c r="H27" i="34" a="1"/>
  <c r="H27" i="34" s="1"/>
  <c r="I27" i="34" a="1"/>
  <c r="I27" i="34" s="1"/>
  <c r="L27" i="34"/>
  <c r="G31" i="33"/>
  <c r="G30" i="33"/>
  <c r="G29" i="33"/>
  <c r="G28" i="33"/>
  <c r="G27" i="33"/>
  <c r="G26" i="33"/>
  <c r="E5" i="34" a="1"/>
  <c r="E5" i="34" s="1"/>
  <c r="F5" i="34" a="1"/>
  <c r="F5" i="34" s="1"/>
  <c r="H5" i="34" a="1"/>
  <c r="H5" i="34" s="1"/>
  <c r="I5" i="34" a="1"/>
  <c r="I5" i="34" s="1"/>
  <c r="L5" i="34"/>
  <c r="E20" i="34" a="1"/>
  <c r="E20" i="34" s="1"/>
  <c r="F20" i="34" a="1"/>
  <c r="F20" i="34" s="1"/>
  <c r="H20" i="34" a="1"/>
  <c r="H20" i="34" s="1"/>
  <c r="I20" i="34" a="1"/>
  <c r="I20" i="34" s="1"/>
  <c r="L20" i="34"/>
  <c r="E61" i="34" a="1"/>
  <c r="E61" i="34" s="1"/>
  <c r="F61" i="34" a="1"/>
  <c r="F61" i="34" s="1"/>
  <c r="H61" i="34" a="1"/>
  <c r="H61" i="34" s="1"/>
  <c r="I61" i="34" a="1"/>
  <c r="I61" i="34" s="1"/>
  <c r="L61" i="34"/>
  <c r="E53" i="34" a="1"/>
  <c r="E53" i="34" s="1"/>
  <c r="F53" i="34" a="1"/>
  <c r="F53" i="34" s="1"/>
  <c r="H53" i="34" a="1"/>
  <c r="H53" i="34" s="1"/>
  <c r="I53" i="34" a="1"/>
  <c r="I53" i="34" s="1"/>
  <c r="L53" i="34"/>
  <c r="E34" i="34" a="1"/>
  <c r="E34" i="34" s="1"/>
  <c r="F34" i="34" a="1"/>
  <c r="F34" i="34" s="1"/>
  <c r="H34" i="34" a="1"/>
  <c r="H34" i="34" s="1"/>
  <c r="I34" i="34" a="1"/>
  <c r="I34" i="34" s="1"/>
  <c r="L34" i="34"/>
  <c r="E16" i="34" a="1"/>
  <c r="E16" i="34" s="1"/>
  <c r="F16" i="34" a="1"/>
  <c r="F16" i="34" s="1"/>
  <c r="H16" i="34" a="1"/>
  <c r="H16" i="34" s="1"/>
  <c r="I16" i="34" a="1"/>
  <c r="I16" i="34" s="1"/>
  <c r="L16" i="34"/>
  <c r="E28" i="34" a="1"/>
  <c r="E28" i="34" s="1"/>
  <c r="F28" i="34" a="1"/>
  <c r="F28" i="34" s="1"/>
  <c r="H28" i="34" a="1"/>
  <c r="H28" i="34" s="1"/>
  <c r="I28" i="34" a="1"/>
  <c r="I28" i="34" s="1"/>
  <c r="L28" i="34"/>
  <c r="E50" i="34" a="1"/>
  <c r="E50" i="34" s="1"/>
  <c r="F50" i="34" a="1"/>
  <c r="F50" i="34" s="1"/>
  <c r="H50" i="34" a="1"/>
  <c r="H50" i="34" s="1"/>
  <c r="I50" i="34" a="1"/>
  <c r="I50" i="34" s="1"/>
  <c r="L50" i="34"/>
  <c r="L31" i="34"/>
  <c r="L32" i="34"/>
  <c r="E32" i="34" a="1"/>
  <c r="E32" i="34" s="1"/>
  <c r="F32" i="34" a="1"/>
  <c r="F32" i="34" s="1"/>
  <c r="H32" i="34" a="1"/>
  <c r="H32" i="34" s="1"/>
  <c r="I32" i="34" a="1"/>
  <c r="I32" i="34" s="1"/>
  <c r="E31" i="34" a="1"/>
  <c r="E31" i="34" s="1"/>
  <c r="F31" i="34" a="1"/>
  <c r="F31" i="34" s="1"/>
  <c r="H31" i="34" a="1"/>
  <c r="H31" i="34" s="1"/>
  <c r="I31" i="34" a="1"/>
  <c r="I31" i="34" s="1"/>
  <c r="I16" i="33" a="1"/>
  <c r="I16" i="33" s="1"/>
  <c r="I17" i="33" s="1" a="1"/>
  <c r="I17" i="33" s="1"/>
  <c r="I18" i="33" s="1"/>
  <c r="I11" i="33" a="1"/>
  <c r="I11" i="33" s="1"/>
  <c r="I12" i="33" s="1" a="1"/>
  <c r="I12" i="33" s="1"/>
  <c r="I13" i="33" s="1"/>
  <c r="BW79" i="29"/>
  <c r="BV79" i="29"/>
  <c r="BU79" i="29"/>
  <c r="BT79" i="29"/>
  <c r="BS79" i="29"/>
  <c r="BR79" i="29"/>
  <c r="BQ79" i="29"/>
  <c r="BP79" i="29"/>
  <c r="BO79" i="29"/>
  <c r="BN79" i="29"/>
  <c r="BM79" i="29"/>
  <c r="BL79" i="29"/>
  <c r="BK79" i="29"/>
  <c r="BJ79" i="29"/>
  <c r="BI79" i="29"/>
  <c r="BH79" i="29"/>
  <c r="BG79" i="29"/>
  <c r="BF79" i="29"/>
  <c r="BE79" i="29"/>
  <c r="BD79" i="29"/>
  <c r="BC79" i="29"/>
  <c r="BB79" i="29"/>
  <c r="BA79" i="29"/>
  <c r="AZ79" i="29"/>
  <c r="BX79" i="29"/>
  <c r="B28" i="29"/>
  <c r="I28" i="29" a="1"/>
  <c r="I28" i="29" s="1"/>
  <c r="L28" i="29"/>
  <c r="M28" i="29" a="1"/>
  <c r="M28" i="29" s="1"/>
  <c r="N28" i="29" s="1"/>
  <c r="U28" i="29"/>
  <c r="B68" i="29"/>
  <c r="I68" i="29" a="1"/>
  <c r="I68" i="29" s="1"/>
  <c r="L68" i="29"/>
  <c r="M68" i="29" a="1"/>
  <c r="M68" i="29" s="1"/>
  <c r="N68" i="29" s="1"/>
  <c r="U68" i="29"/>
  <c r="B69" i="29"/>
  <c r="I69" i="29" a="1"/>
  <c r="I69" i="29" s="1"/>
  <c r="L69" i="29"/>
  <c r="M69" i="29" a="1"/>
  <c r="M69" i="29" s="1"/>
  <c r="N69" i="29" s="1"/>
  <c r="U69" i="29"/>
  <c r="B64" i="29"/>
  <c r="I64" i="29" a="1"/>
  <c r="I64" i="29" s="1"/>
  <c r="L64" i="29"/>
  <c r="M64" i="29" a="1"/>
  <c r="M64" i="29" s="1"/>
  <c r="N64" i="29" s="1"/>
  <c r="U64" i="29"/>
  <c r="B10" i="29"/>
  <c r="I10" i="29" a="1"/>
  <c r="I10" i="29" s="1"/>
  <c r="L10" i="29"/>
  <c r="M10" i="29" a="1"/>
  <c r="M10" i="29" s="1"/>
  <c r="N10" i="29" s="1"/>
  <c r="U10" i="29"/>
  <c r="B63" i="29"/>
  <c r="I63" i="29" a="1"/>
  <c r="I63" i="29" s="1"/>
  <c r="L63" i="29"/>
  <c r="M63" i="29" a="1"/>
  <c r="M63" i="29" s="1"/>
  <c r="N63" i="29" s="1"/>
  <c r="U63" i="29"/>
  <c r="B48" i="29"/>
  <c r="I48" i="29" a="1"/>
  <c r="I48" i="29" s="1"/>
  <c r="L48" i="29"/>
  <c r="M48" i="29" a="1"/>
  <c r="M48" i="29" s="1"/>
  <c r="N48" i="29" s="1"/>
  <c r="U48" i="29"/>
  <c r="B45" i="29"/>
  <c r="I45" i="29" a="1"/>
  <c r="I45" i="29" s="1"/>
  <c r="L45" i="29"/>
  <c r="M45" i="29" a="1"/>
  <c r="M45" i="29" s="1"/>
  <c r="P45" i="29" s="1" a="1"/>
  <c r="P45" i="29" s="1"/>
  <c r="U45" i="29"/>
  <c r="B9" i="29"/>
  <c r="I9" i="29" a="1"/>
  <c r="I9" i="29" s="1"/>
  <c r="L9" i="29"/>
  <c r="M9" i="29" a="1"/>
  <c r="M9" i="29" s="1"/>
  <c r="N9" i="29" s="1"/>
  <c r="U9" i="29"/>
  <c r="B44" i="29"/>
  <c r="I44" i="29" a="1"/>
  <c r="I44" i="29" s="1"/>
  <c r="L44" i="29"/>
  <c r="M44" i="29" a="1"/>
  <c r="M44" i="29" s="1"/>
  <c r="N44" i="29" s="1"/>
  <c r="U44" i="29"/>
  <c r="B60" i="29"/>
  <c r="I60" i="29" a="1"/>
  <c r="I60" i="29" s="1"/>
  <c r="L60" i="29"/>
  <c r="M60" i="29" a="1"/>
  <c r="M60" i="29" s="1"/>
  <c r="N60" i="29" s="1"/>
  <c r="U60" i="29"/>
  <c r="B61" i="29"/>
  <c r="I61" i="29" a="1"/>
  <c r="I61" i="29" s="1"/>
  <c r="L61" i="29"/>
  <c r="M61" i="29" a="1"/>
  <c r="M61" i="29" s="1"/>
  <c r="N61" i="29" s="1"/>
  <c r="U61" i="29"/>
  <c r="B39" i="29"/>
  <c r="I39" i="29" a="1"/>
  <c r="I39" i="29" s="1"/>
  <c r="L39" i="29"/>
  <c r="M39" i="29" a="1"/>
  <c r="M39" i="29" s="1"/>
  <c r="N39" i="29" s="1"/>
  <c r="U39" i="29"/>
  <c r="B38" i="29"/>
  <c r="I38" i="29" a="1"/>
  <c r="I38" i="29" s="1"/>
  <c r="L38" i="29"/>
  <c r="M38" i="29" a="1"/>
  <c r="M38" i="29" s="1"/>
  <c r="N38" i="29" s="1"/>
  <c r="U38" i="29"/>
  <c r="B34" i="29"/>
  <c r="I34" i="29" a="1"/>
  <c r="I34" i="29" s="1"/>
  <c r="L34" i="29"/>
  <c r="M34" i="29" a="1"/>
  <c r="M34" i="29" s="1"/>
  <c r="P34" i="29" s="1" a="1"/>
  <c r="P34" i="29" s="1"/>
  <c r="U34" i="29"/>
  <c r="B32" i="29"/>
  <c r="I32" i="29" a="1"/>
  <c r="I32" i="29" s="1"/>
  <c r="L32" i="29"/>
  <c r="M32" i="29" a="1"/>
  <c r="M32" i="29" s="1"/>
  <c r="P32" i="29" s="1" a="1"/>
  <c r="P32" i="29" s="1"/>
  <c r="U32" i="29"/>
  <c r="B25" i="29"/>
  <c r="I25" i="29" a="1"/>
  <c r="I25" i="29" s="1"/>
  <c r="L25" i="29"/>
  <c r="M25" i="29" a="1"/>
  <c r="M25" i="29" s="1"/>
  <c r="N25" i="29" s="1"/>
  <c r="U25" i="29"/>
  <c r="B27" i="29"/>
  <c r="I27" i="29" a="1"/>
  <c r="I27" i="29" s="1"/>
  <c r="L27" i="29"/>
  <c r="M27" i="29" a="1"/>
  <c r="M27" i="29" s="1"/>
  <c r="N27" i="29" s="1"/>
  <c r="U27" i="29"/>
  <c r="B18" i="29"/>
  <c r="I18" i="29" a="1"/>
  <c r="I18" i="29" s="1"/>
  <c r="L18" i="29"/>
  <c r="M18" i="29" a="1"/>
  <c r="M18" i="29" s="1"/>
  <c r="N18" i="29" s="1"/>
  <c r="U18" i="29"/>
  <c r="B19" i="29"/>
  <c r="I19" i="29" a="1"/>
  <c r="I19" i="29" s="1"/>
  <c r="L19" i="29"/>
  <c r="M19" i="29" a="1"/>
  <c r="M19" i="29" s="1"/>
  <c r="N19" i="29" s="1"/>
  <c r="U19" i="29"/>
  <c r="B11" i="29"/>
  <c r="I11" i="29" a="1"/>
  <c r="I11" i="29" s="1"/>
  <c r="L11" i="29"/>
  <c r="M11" i="29" a="1"/>
  <c r="M11" i="29" s="1"/>
  <c r="N11" i="29" s="1"/>
  <c r="U11" i="29"/>
  <c r="B65" i="29"/>
  <c r="I65" i="29" a="1"/>
  <c r="I65" i="29" s="1"/>
  <c r="L65" i="29"/>
  <c r="M65" i="29" a="1"/>
  <c r="M65" i="29" s="1"/>
  <c r="N65" i="29" s="1"/>
  <c r="U65" i="29"/>
  <c r="B49" i="29"/>
  <c r="I49" i="29" a="1"/>
  <c r="I49" i="29" s="1"/>
  <c r="L49" i="29"/>
  <c r="M49" i="29" a="1"/>
  <c r="M49" i="29" s="1"/>
  <c r="N49" i="29" s="1"/>
  <c r="U49" i="29"/>
  <c r="B20" i="29"/>
  <c r="I20" i="29" a="1"/>
  <c r="I20" i="29" s="1"/>
  <c r="L20" i="29"/>
  <c r="M20" i="29" a="1"/>
  <c r="M20" i="29" s="1"/>
  <c r="N20" i="29" s="1"/>
  <c r="U20" i="29"/>
  <c r="B67" i="29"/>
  <c r="I67" i="29" a="1"/>
  <c r="I67" i="29" s="1"/>
  <c r="L67" i="29"/>
  <c r="M67" i="29" a="1"/>
  <c r="M67" i="29" s="1"/>
  <c r="N67" i="29" s="1"/>
  <c r="U67" i="29"/>
  <c r="B66" i="29"/>
  <c r="I66" i="29" a="1"/>
  <c r="I66" i="29" s="1"/>
  <c r="L66" i="29"/>
  <c r="M66" i="29" a="1"/>
  <c r="M66" i="29" s="1"/>
  <c r="N66" i="29" s="1"/>
  <c r="U66" i="29"/>
  <c r="B72" i="29"/>
  <c r="I72" i="29" a="1"/>
  <c r="I72" i="29" s="1"/>
  <c r="L72" i="29"/>
  <c r="M72" i="29" a="1"/>
  <c r="M72" i="29" s="1"/>
  <c r="N72" i="29" s="1"/>
  <c r="U72" i="29"/>
  <c r="B43" i="29"/>
  <c r="I43" i="29" a="1"/>
  <c r="I43" i="29" s="1"/>
  <c r="L43" i="29"/>
  <c r="M43" i="29" a="1"/>
  <c r="M43" i="29" s="1"/>
  <c r="P43" i="29" s="1" a="1"/>
  <c r="P43" i="29" s="1"/>
  <c r="U43" i="29"/>
  <c r="B62" i="29"/>
  <c r="I62" i="29" a="1"/>
  <c r="I62" i="29" s="1"/>
  <c r="L62" i="29"/>
  <c r="M62" i="29" a="1"/>
  <c r="M62" i="29" s="1"/>
  <c r="N62" i="29" s="1"/>
  <c r="U62" i="29"/>
  <c r="B59" i="29"/>
  <c r="I59" i="29" a="1"/>
  <c r="I59" i="29" s="1"/>
  <c r="L59" i="29"/>
  <c r="M59" i="29" a="1"/>
  <c r="M59" i="29" s="1"/>
  <c r="P59" i="29" s="1" a="1"/>
  <c r="P59" i="29" s="1"/>
  <c r="U59" i="29"/>
  <c r="B16" i="29"/>
  <c r="I16" i="29" a="1"/>
  <c r="I16" i="29" s="1"/>
  <c r="L16" i="29"/>
  <c r="M16" i="29" a="1"/>
  <c r="M16" i="29" s="1"/>
  <c r="N16" i="29" s="1"/>
  <c r="U16" i="29"/>
  <c r="B57" i="29"/>
  <c r="I57" i="29" a="1"/>
  <c r="I57" i="29" s="1"/>
  <c r="L57" i="29"/>
  <c r="M57" i="29" a="1"/>
  <c r="M57" i="29" s="1"/>
  <c r="N57" i="29" s="1"/>
  <c r="U57" i="29"/>
  <c r="B55" i="29"/>
  <c r="I55" i="29" a="1"/>
  <c r="I55" i="29" s="1"/>
  <c r="L55" i="29"/>
  <c r="M55" i="29" a="1"/>
  <c r="M55" i="29" s="1"/>
  <c r="P55" i="29" s="1" a="1"/>
  <c r="P55" i="29" s="1"/>
  <c r="U55" i="29"/>
  <c r="B56" i="29"/>
  <c r="I56" i="29" a="1"/>
  <c r="I56" i="29" s="1"/>
  <c r="L56" i="29"/>
  <c r="M56" i="29" a="1"/>
  <c r="M56" i="29" s="1"/>
  <c r="N56" i="29" s="1"/>
  <c r="U56" i="29"/>
  <c r="B75" i="29"/>
  <c r="I75" i="29" a="1"/>
  <c r="I75" i="29" s="1"/>
  <c r="L75" i="29"/>
  <c r="M75" i="29" a="1"/>
  <c r="M75" i="29" s="1"/>
  <c r="P75" i="29" s="1" a="1"/>
  <c r="P75" i="29" s="1"/>
  <c r="U75" i="29"/>
  <c r="B51" i="29"/>
  <c r="I51" i="29" a="1"/>
  <c r="I51" i="29" s="1"/>
  <c r="L51" i="29"/>
  <c r="M51" i="29" a="1"/>
  <c r="M51" i="29" s="1"/>
  <c r="N51" i="29" s="1"/>
  <c r="U51" i="29"/>
  <c r="B14" i="29"/>
  <c r="I14" i="29" a="1"/>
  <c r="I14" i="29" s="1"/>
  <c r="L14" i="29"/>
  <c r="M14" i="29" a="1"/>
  <c r="M14" i="29" s="1"/>
  <c r="N14" i="29" s="1"/>
  <c r="U14" i="29"/>
  <c r="B50" i="29"/>
  <c r="I50" i="29" a="1"/>
  <c r="I50" i="29" s="1"/>
  <c r="L50" i="29"/>
  <c r="M50" i="29" a="1"/>
  <c r="M50" i="29" s="1"/>
  <c r="N50" i="29" s="1"/>
  <c r="U50" i="29"/>
  <c r="B46" i="29"/>
  <c r="I46" i="29" a="1"/>
  <c r="I46" i="29" s="1"/>
  <c r="L46" i="29"/>
  <c r="M46" i="29" a="1"/>
  <c r="M46" i="29" s="1"/>
  <c r="N46" i="29" s="1"/>
  <c r="U46" i="29"/>
  <c r="B47" i="29"/>
  <c r="I47" i="29" a="1"/>
  <c r="I47" i="29" s="1"/>
  <c r="L47" i="29"/>
  <c r="M47" i="29" a="1"/>
  <c r="M47" i="29" s="1"/>
  <c r="N47" i="29" s="1"/>
  <c r="U47" i="29"/>
  <c r="B40" i="29"/>
  <c r="I40" i="29" a="1"/>
  <c r="I40" i="29" s="1"/>
  <c r="L40" i="29"/>
  <c r="M40" i="29" a="1"/>
  <c r="M40" i="29" s="1"/>
  <c r="N40" i="29" s="1"/>
  <c r="U40" i="29"/>
  <c r="B41" i="29"/>
  <c r="I41" i="29" a="1"/>
  <c r="I41" i="29" s="1"/>
  <c r="L41" i="29"/>
  <c r="M41" i="29" a="1"/>
  <c r="M41" i="29" s="1"/>
  <c r="N41" i="29" s="1"/>
  <c r="U41" i="29"/>
  <c r="B37" i="29"/>
  <c r="I37" i="29" a="1"/>
  <c r="I37" i="29" s="1"/>
  <c r="L37" i="29"/>
  <c r="M37" i="29" a="1"/>
  <c r="M37" i="29" s="1"/>
  <c r="P37" i="29" s="1" a="1"/>
  <c r="P37" i="29" s="1"/>
  <c r="U37" i="29"/>
  <c r="B36" i="29"/>
  <c r="I36" i="29" a="1"/>
  <c r="I36" i="29" s="1"/>
  <c r="L36" i="29"/>
  <c r="M36" i="29" a="1"/>
  <c r="M36" i="29" s="1"/>
  <c r="P36" i="29" s="1" a="1"/>
  <c r="P36" i="29" s="1"/>
  <c r="U36" i="29"/>
  <c r="B35" i="29"/>
  <c r="I35" i="29" a="1"/>
  <c r="I35" i="29" s="1"/>
  <c r="L35" i="29"/>
  <c r="M35" i="29" a="1"/>
  <c r="M35" i="29" s="1"/>
  <c r="N35" i="29" s="1"/>
  <c r="U35" i="29"/>
  <c r="B33" i="29"/>
  <c r="I33" i="29" a="1"/>
  <c r="I33" i="29" s="1"/>
  <c r="L33" i="29"/>
  <c r="M33" i="29" a="1"/>
  <c r="M33" i="29" s="1"/>
  <c r="P33" i="29" s="1" a="1"/>
  <c r="P33" i="29" s="1"/>
  <c r="U33" i="29"/>
  <c r="B30" i="29"/>
  <c r="I30" i="29" a="1"/>
  <c r="I30" i="29" s="1"/>
  <c r="L30" i="29"/>
  <c r="M30" i="29" a="1"/>
  <c r="M30" i="29" s="1"/>
  <c r="P30" i="29" s="1" a="1"/>
  <c r="P30" i="29" s="1"/>
  <c r="U30" i="29"/>
  <c r="B29" i="29"/>
  <c r="I29" i="29" a="1"/>
  <c r="I29" i="29" s="1"/>
  <c r="L29" i="29"/>
  <c r="M29" i="29" a="1"/>
  <c r="M29" i="29" s="1"/>
  <c r="N29" i="29" s="1"/>
  <c r="U29" i="29"/>
  <c r="B24" i="29"/>
  <c r="I24" i="29" a="1"/>
  <c r="I24" i="29" s="1"/>
  <c r="L24" i="29"/>
  <c r="M24" i="29" a="1"/>
  <c r="M24" i="29" s="1"/>
  <c r="N24" i="29" s="1"/>
  <c r="U24" i="29"/>
  <c r="B12" i="29"/>
  <c r="I12" i="29" a="1"/>
  <c r="I12" i="29" s="1"/>
  <c r="L12" i="29"/>
  <c r="M12" i="29" a="1"/>
  <c r="M12" i="29" s="1"/>
  <c r="P12" i="29" s="1" a="1"/>
  <c r="P12" i="29" s="1"/>
  <c r="U12" i="29"/>
  <c r="B74" i="29"/>
  <c r="I74" i="29" a="1"/>
  <c r="I74" i="29" s="1"/>
  <c r="L74" i="29"/>
  <c r="M74" i="29" a="1"/>
  <c r="M74" i="29" s="1"/>
  <c r="P74" i="29" s="1" a="1"/>
  <c r="P74" i="29" s="1"/>
  <c r="U74" i="29"/>
  <c r="B13" i="29"/>
  <c r="I13" i="29" a="1"/>
  <c r="I13" i="29" s="1"/>
  <c r="L13" i="29"/>
  <c r="M13" i="29" a="1"/>
  <c r="M13" i="29" s="1"/>
  <c r="N13" i="29" s="1"/>
  <c r="U13" i="29"/>
  <c r="B17" i="29"/>
  <c r="I17" i="29" a="1"/>
  <c r="I17" i="29" s="1"/>
  <c r="L17" i="29"/>
  <c r="M17" i="29" a="1"/>
  <c r="M17" i="29" s="1"/>
  <c r="P17" i="29" s="1" a="1"/>
  <c r="P17" i="29" s="1"/>
  <c r="U17" i="29"/>
  <c r="B8" i="29"/>
  <c r="I8" i="29" a="1"/>
  <c r="I8" i="29" s="1"/>
  <c r="L8" i="29"/>
  <c r="M8" i="29" a="1"/>
  <c r="M8" i="29" s="1"/>
  <c r="P8" i="29" s="1" a="1"/>
  <c r="P8" i="29" s="1"/>
  <c r="U8" i="29"/>
  <c r="U7" i="29"/>
  <c r="I7" i="29" a="1"/>
  <c r="I7" i="29" s="1"/>
  <c r="B7" i="29"/>
  <c r="L7" i="29"/>
  <c r="M7" i="29" a="1"/>
  <c r="M7" i="29" s="1"/>
  <c r="N7" i="29" s="1"/>
  <c r="H397" i="28"/>
  <c r="H398" i="28"/>
  <c r="H399" i="28"/>
  <c r="H400" i="28"/>
  <c r="H401" i="28"/>
  <c r="H402" i="28"/>
  <c r="H403" i="28"/>
  <c r="H404" i="28"/>
  <c r="H405" i="28"/>
  <c r="H406" i="28"/>
  <c r="H407" i="28"/>
  <c r="H408" i="28"/>
  <c r="H409" i="28"/>
  <c r="H410" i="28"/>
  <c r="H411" i="28"/>
  <c r="H412" i="28"/>
  <c r="H413" i="28"/>
  <c r="H414" i="28"/>
  <c r="H415" i="28"/>
  <c r="H416" i="28"/>
  <c r="H417" i="28"/>
  <c r="H418" i="28"/>
  <c r="H419" i="28"/>
  <c r="H420" i="28"/>
  <c r="H421" i="28"/>
  <c r="H422" i="28"/>
  <c r="H423" i="28"/>
  <c r="H424" i="28"/>
  <c r="H425" i="28"/>
  <c r="H426" i="28"/>
  <c r="H427" i="28"/>
  <c r="H428" i="28"/>
  <c r="H429" i="28"/>
  <c r="H430" i="28"/>
  <c r="H431" i="28"/>
  <c r="H432" i="28"/>
  <c r="H433" i="28"/>
  <c r="H434" i="28"/>
  <c r="H435" i="28"/>
  <c r="H436" i="28"/>
  <c r="H437" i="28"/>
  <c r="H438" i="28"/>
  <c r="H439" i="28"/>
  <c r="H440" i="28"/>
  <c r="H441" i="28"/>
  <c r="H442" i="28"/>
  <c r="H443" i="28"/>
  <c r="H444" i="28"/>
  <c r="H445" i="28"/>
  <c r="H446" i="28"/>
  <c r="H447" i="28"/>
  <c r="H448" i="28"/>
  <c r="H449" i="28"/>
  <c r="H450" i="28"/>
  <c r="H451" i="28"/>
  <c r="H452" i="28"/>
  <c r="H453" i="28"/>
  <c r="H454" i="28"/>
  <c r="H455" i="28"/>
  <c r="H456" i="28"/>
  <c r="H457" i="28"/>
  <c r="H458" i="28"/>
  <c r="H459" i="28"/>
  <c r="H460" i="28"/>
  <c r="H461" i="28"/>
  <c r="H462" i="28"/>
  <c r="H463" i="28"/>
  <c r="H464" i="28"/>
  <c r="H465" i="28"/>
  <c r="H466" i="28"/>
  <c r="H467" i="28"/>
  <c r="H468" i="28"/>
  <c r="H469" i="28"/>
  <c r="H470" i="28"/>
  <c r="H471" i="28"/>
  <c r="H472" i="28"/>
  <c r="H473" i="28"/>
  <c r="H474" i="28"/>
  <c r="H475" i="28"/>
  <c r="H476" i="28"/>
  <c r="H477" i="28"/>
  <c r="H478" i="28"/>
  <c r="H479" i="28"/>
  <c r="H480" i="28"/>
  <c r="H481" i="28"/>
  <c r="H482" i="28"/>
  <c r="H483" i="28"/>
  <c r="H484" i="28"/>
  <c r="H485" i="28"/>
  <c r="H486" i="28"/>
  <c r="H487" i="28"/>
  <c r="H488" i="28"/>
  <c r="H489" i="28"/>
  <c r="H490" i="28"/>
  <c r="H491" i="28"/>
  <c r="H492" i="28"/>
  <c r="H493" i="28"/>
  <c r="H494" i="28"/>
  <c r="H495" i="28"/>
  <c r="H496" i="28"/>
  <c r="H497" i="28"/>
  <c r="H498" i="28"/>
  <c r="H499" i="28"/>
  <c r="H500" i="28"/>
  <c r="H501" i="28"/>
  <c r="H502" i="28"/>
  <c r="H503" i="28"/>
  <c r="H261" i="28"/>
  <c r="H262" i="28"/>
  <c r="H263" i="28"/>
  <c r="H264" i="28"/>
  <c r="H265" i="28"/>
  <c r="H266" i="28"/>
  <c r="H267" i="28"/>
  <c r="H268" i="28"/>
  <c r="H269" i="28"/>
  <c r="H270" i="28"/>
  <c r="H271" i="28"/>
  <c r="H272" i="28"/>
  <c r="H273" i="28"/>
  <c r="H274" i="28"/>
  <c r="H275" i="28"/>
  <c r="H276" i="28"/>
  <c r="H277" i="28"/>
  <c r="H278" i="28"/>
  <c r="H279" i="28"/>
  <c r="H280" i="28"/>
  <c r="H281" i="28"/>
  <c r="H282" i="28"/>
  <c r="H283" i="28"/>
  <c r="H284" i="28"/>
  <c r="H285" i="28"/>
  <c r="H286" i="28"/>
  <c r="H287" i="28"/>
  <c r="H288" i="28"/>
  <c r="H289" i="28"/>
  <c r="H290" i="28"/>
  <c r="H291" i="28"/>
  <c r="H292" i="28"/>
  <c r="H293" i="28"/>
  <c r="H294" i="28"/>
  <c r="H295" i="28"/>
  <c r="H296" i="28"/>
  <c r="H297" i="28"/>
  <c r="H298" i="28"/>
  <c r="H299" i="28"/>
  <c r="H300" i="28"/>
  <c r="H301" i="28"/>
  <c r="H302" i="28"/>
  <c r="H303" i="28"/>
  <c r="H304" i="28"/>
  <c r="H305" i="28"/>
  <c r="H306" i="28"/>
  <c r="H307" i="28"/>
  <c r="H308" i="28"/>
  <c r="H309" i="28"/>
  <c r="H310" i="28"/>
  <c r="H311" i="28"/>
  <c r="H312" i="28"/>
  <c r="H313" i="28"/>
  <c r="H314" i="28"/>
  <c r="H315" i="28"/>
  <c r="H316" i="28"/>
  <c r="H317" i="28"/>
  <c r="H318" i="28"/>
  <c r="H319" i="28"/>
  <c r="H320" i="28"/>
  <c r="H321" i="28"/>
  <c r="H322" i="28"/>
  <c r="H323" i="28"/>
  <c r="H324" i="28"/>
  <c r="H325" i="28"/>
  <c r="H326" i="28"/>
  <c r="H327" i="28"/>
  <c r="H328" i="28"/>
  <c r="H329" i="28"/>
  <c r="H330" i="28"/>
  <c r="H331" i="28"/>
  <c r="H332" i="28"/>
  <c r="H333" i="28"/>
  <c r="H334" i="28"/>
  <c r="H335" i="28"/>
  <c r="H336" i="28"/>
  <c r="H337" i="28"/>
  <c r="H338" i="28"/>
  <c r="H339" i="28"/>
  <c r="H340" i="28"/>
  <c r="H341" i="28"/>
  <c r="H342" i="28"/>
  <c r="H343" i="28"/>
  <c r="H344" i="28"/>
  <c r="H345" i="28"/>
  <c r="H346" i="28"/>
  <c r="H347" i="28"/>
  <c r="H348" i="28"/>
  <c r="H349" i="28"/>
  <c r="H350" i="28"/>
  <c r="H351" i="28"/>
  <c r="H352" i="28"/>
  <c r="H353" i="28"/>
  <c r="H354" i="28"/>
  <c r="H355" i="28"/>
  <c r="H356" i="28"/>
  <c r="H357" i="28"/>
  <c r="H358" i="28"/>
  <c r="H359" i="28"/>
  <c r="H360" i="28"/>
  <c r="H361" i="28"/>
  <c r="H362" i="28"/>
  <c r="H363" i="28"/>
  <c r="H364" i="28"/>
  <c r="H365" i="28"/>
  <c r="H366" i="28"/>
  <c r="H367" i="28"/>
  <c r="H368" i="28"/>
  <c r="H369" i="28"/>
  <c r="H370" i="28"/>
  <c r="H371" i="28"/>
  <c r="H372" i="28"/>
  <c r="H373" i="28"/>
  <c r="H374" i="28"/>
  <c r="H375" i="28"/>
  <c r="H376" i="28"/>
  <c r="H377" i="28"/>
  <c r="H378" i="28"/>
  <c r="H379" i="28"/>
  <c r="H380" i="28"/>
  <c r="H381" i="28"/>
  <c r="H382" i="28"/>
  <c r="H383" i="28"/>
  <c r="H384" i="28"/>
  <c r="H385" i="28"/>
  <c r="H386" i="28"/>
  <c r="H387" i="28"/>
  <c r="H388" i="28"/>
  <c r="H389" i="28"/>
  <c r="H390" i="28"/>
  <c r="H391" i="28"/>
  <c r="H392" i="28"/>
  <c r="H393" i="28"/>
  <c r="H394" i="28"/>
  <c r="H395" i="28"/>
  <c r="H396" i="28"/>
  <c r="H29" i="28"/>
  <c r="H30" i="28"/>
  <c r="H31" i="28"/>
  <c r="H32" i="28"/>
  <c r="H33" i="28"/>
  <c r="H34" i="28"/>
  <c r="H35" i="28"/>
  <c r="H36" i="28"/>
  <c r="H37" i="28"/>
  <c r="H38" i="28"/>
  <c r="H39" i="28"/>
  <c r="H40" i="28"/>
  <c r="H41" i="28"/>
  <c r="H42" i="28"/>
  <c r="H43" i="28"/>
  <c r="H44" i="28"/>
  <c r="H45" i="28"/>
  <c r="H46" i="28"/>
  <c r="H47" i="28"/>
  <c r="H48" i="28"/>
  <c r="H49" i="28"/>
  <c r="H50" i="28"/>
  <c r="H51" i="28"/>
  <c r="H52" i="28"/>
  <c r="H53" i="28"/>
  <c r="H54" i="28"/>
  <c r="H55" i="28"/>
  <c r="H56" i="28"/>
  <c r="H57" i="28"/>
  <c r="H58" i="28"/>
  <c r="H59" i="28"/>
  <c r="H60" i="28"/>
  <c r="H61" i="28"/>
  <c r="H62" i="28"/>
  <c r="H63" i="28"/>
  <c r="H64" i="28"/>
  <c r="H65" i="28"/>
  <c r="H66" i="28"/>
  <c r="H67" i="28"/>
  <c r="H68" i="28"/>
  <c r="H69" i="28"/>
  <c r="H70" i="28"/>
  <c r="H71" i="28"/>
  <c r="H72" i="28"/>
  <c r="H73" i="28"/>
  <c r="H74" i="28"/>
  <c r="H75" i="28"/>
  <c r="H76" i="28"/>
  <c r="H77" i="28"/>
  <c r="H78" i="28"/>
  <c r="H79" i="28"/>
  <c r="H80" i="28"/>
  <c r="H81" i="28"/>
  <c r="H82" i="28"/>
  <c r="H83" i="28"/>
  <c r="H84" i="28"/>
  <c r="H85" i="28"/>
  <c r="H86" i="28"/>
  <c r="H87" i="28"/>
  <c r="H88" i="28"/>
  <c r="H89" i="28"/>
  <c r="H90" i="28"/>
  <c r="H91" i="28"/>
  <c r="H92" i="28"/>
  <c r="H93" i="28"/>
  <c r="H94" i="28"/>
  <c r="H95" i="28"/>
  <c r="H96" i="28"/>
  <c r="H97" i="28"/>
  <c r="H98" i="28"/>
  <c r="H99" i="28"/>
  <c r="H100" i="28"/>
  <c r="H101" i="28"/>
  <c r="H102" i="28"/>
  <c r="H103" i="28"/>
  <c r="H104" i="28"/>
  <c r="H105" i="28"/>
  <c r="H106" i="28"/>
  <c r="H107" i="28"/>
  <c r="H108" i="28"/>
  <c r="H109" i="28"/>
  <c r="H110" i="28"/>
  <c r="H111" i="28"/>
  <c r="H112" i="28"/>
  <c r="H113" i="28"/>
  <c r="H114" i="28"/>
  <c r="H115" i="28"/>
  <c r="H116" i="28"/>
  <c r="H117" i="28"/>
  <c r="H118" i="28"/>
  <c r="H119" i="28"/>
  <c r="H120" i="28"/>
  <c r="H121" i="28"/>
  <c r="H122" i="28"/>
  <c r="H123" i="28"/>
  <c r="H124" i="28"/>
  <c r="H125" i="28"/>
  <c r="H126" i="28"/>
  <c r="H127" i="28"/>
  <c r="H128" i="28"/>
  <c r="H129" i="28"/>
  <c r="H130" i="28"/>
  <c r="H131" i="28"/>
  <c r="H132" i="28"/>
  <c r="H133" i="28"/>
  <c r="H134" i="28"/>
  <c r="H135" i="28"/>
  <c r="H136" i="28"/>
  <c r="H137" i="28"/>
  <c r="H138" i="28"/>
  <c r="H139" i="28"/>
  <c r="H140" i="28"/>
  <c r="H141" i="28"/>
  <c r="H142" i="28"/>
  <c r="H143" i="28"/>
  <c r="H144" i="28"/>
  <c r="H145" i="28"/>
  <c r="H146" i="28"/>
  <c r="H147" i="28"/>
  <c r="H148" i="28"/>
  <c r="H149" i="28"/>
  <c r="H150" i="28"/>
  <c r="H151" i="28"/>
  <c r="H152" i="28"/>
  <c r="H153" i="28"/>
  <c r="H154" i="28"/>
  <c r="H155" i="28"/>
  <c r="H156" i="28"/>
  <c r="H157" i="28"/>
  <c r="H158" i="28"/>
  <c r="H159" i="28"/>
  <c r="H160" i="28"/>
  <c r="H161" i="28"/>
  <c r="H162" i="28"/>
  <c r="H163" i="28"/>
  <c r="H164" i="28"/>
  <c r="H165" i="28"/>
  <c r="H166" i="28"/>
  <c r="H167" i="28"/>
  <c r="H168" i="28"/>
  <c r="H169" i="28"/>
  <c r="H170" i="28"/>
  <c r="H171" i="28"/>
  <c r="H172" i="28"/>
  <c r="H173" i="28"/>
  <c r="H174" i="28"/>
  <c r="H175" i="28"/>
  <c r="H176" i="28"/>
  <c r="H177" i="28"/>
  <c r="H178" i="28"/>
  <c r="H179" i="28"/>
  <c r="H180" i="28"/>
  <c r="H181" i="28"/>
  <c r="H182" i="28"/>
  <c r="H183" i="28"/>
  <c r="H184" i="28"/>
  <c r="H185" i="28"/>
  <c r="H186" i="28"/>
  <c r="H187" i="28"/>
  <c r="H188" i="28"/>
  <c r="H189" i="28"/>
  <c r="H190" i="28"/>
  <c r="H191" i="28"/>
  <c r="H192" i="28"/>
  <c r="H193" i="28"/>
  <c r="H194" i="28"/>
  <c r="H195" i="28"/>
  <c r="H196" i="28"/>
  <c r="H197" i="28"/>
  <c r="H198" i="28"/>
  <c r="H199" i="28"/>
  <c r="H200" i="28"/>
  <c r="H201" i="28"/>
  <c r="H202" i="28"/>
  <c r="H203" i="28"/>
  <c r="H204" i="28"/>
  <c r="H205" i="28"/>
  <c r="H206" i="28"/>
  <c r="H207" i="28"/>
  <c r="H208" i="28"/>
  <c r="H209" i="28"/>
  <c r="H210" i="28"/>
  <c r="H211" i="28"/>
  <c r="H212" i="28"/>
  <c r="H213" i="28"/>
  <c r="H214" i="28"/>
  <c r="H215" i="28"/>
  <c r="H216" i="28"/>
  <c r="H217" i="28"/>
  <c r="H218" i="28"/>
  <c r="H219" i="28"/>
  <c r="H220" i="28"/>
  <c r="H221" i="28"/>
  <c r="H222" i="28"/>
  <c r="H223" i="28"/>
  <c r="H224" i="28"/>
  <c r="H225" i="28"/>
  <c r="H226" i="28"/>
  <c r="H227" i="28"/>
  <c r="H228" i="28"/>
  <c r="H229" i="28"/>
  <c r="H230" i="28"/>
  <c r="H231" i="28"/>
  <c r="H232" i="28"/>
  <c r="H233" i="28"/>
  <c r="H234" i="28"/>
  <c r="H235" i="28"/>
  <c r="H236" i="28"/>
  <c r="H237" i="28"/>
  <c r="H238" i="28"/>
  <c r="H239" i="28"/>
  <c r="H240" i="28"/>
  <c r="H241" i="28"/>
  <c r="H242" i="28"/>
  <c r="H243" i="28"/>
  <c r="H244" i="28"/>
  <c r="H245" i="28"/>
  <c r="H246" i="28"/>
  <c r="H247" i="28"/>
  <c r="H248" i="28"/>
  <c r="H249" i="28"/>
  <c r="H250" i="28"/>
  <c r="H251" i="28"/>
  <c r="H252" i="28"/>
  <c r="H253" i="28"/>
  <c r="H254" i="28"/>
  <c r="H255" i="28"/>
  <c r="H256" i="28"/>
  <c r="H257" i="28"/>
  <c r="H258" i="28"/>
  <c r="H259" i="28"/>
  <c r="H260" i="28"/>
  <c r="H14" i="28"/>
  <c r="H15" i="28"/>
  <c r="H16" i="28"/>
  <c r="H17" i="28"/>
  <c r="H18" i="28"/>
  <c r="H19" i="28"/>
  <c r="H20" i="28"/>
  <c r="H21" i="28"/>
  <c r="H22" i="28"/>
  <c r="H23" i="28"/>
  <c r="H24" i="28"/>
  <c r="H25" i="28"/>
  <c r="H26" i="28"/>
  <c r="H27" i="28"/>
  <c r="H28" i="28"/>
  <c r="H13" i="28"/>
  <c r="K8" i="27"/>
  <c r="L8" i="27" s="1"/>
  <c r="G75" i="37" a="1"/>
  <c r="G83" i="37" a="1"/>
  <c r="G35" i="37" a="1"/>
  <c r="G33" i="37" a="1"/>
  <c r="G85" i="37" a="1"/>
  <c r="G72" i="37" a="1"/>
  <c r="G22" i="37" a="1"/>
  <c r="G62" i="37" a="1"/>
  <c r="G68" i="37" a="1"/>
  <c r="G55" i="37" a="1"/>
  <c r="G46" i="37" a="1"/>
  <c r="G44" i="33" a="1"/>
  <c r="G70" i="37" a="1"/>
  <c r="G49" i="37" a="1"/>
  <c r="G78" i="37" a="1"/>
  <c r="G25" i="37" a="1"/>
  <c r="G73" i="37" a="1"/>
  <c r="G30" i="37" a="1"/>
  <c r="G20" i="37" a="1"/>
  <c r="G36" i="37" a="1"/>
  <c r="G32" i="37" a="1"/>
  <c r="G79" i="37" a="1"/>
  <c r="G40" i="37" a="1"/>
  <c r="G44" i="37" a="1"/>
  <c r="G67" i="37" a="1"/>
  <c r="G61" i="37" a="1"/>
  <c r="G42" i="37" a="1"/>
  <c r="G47" i="37" a="1"/>
  <c r="G31" i="37" a="1"/>
  <c r="G87" i="37" a="1"/>
  <c r="G77" i="37" a="1"/>
  <c r="G76" i="37" a="1"/>
  <c r="G60" i="37" a="1"/>
  <c r="G29" i="37" a="1"/>
  <c r="G80" i="37" a="1"/>
  <c r="G82" i="37" a="1"/>
  <c r="G24" i="37" a="1"/>
  <c r="G37" i="37" a="1"/>
  <c r="G21" i="37" a="1"/>
  <c r="G34" i="37" a="1"/>
  <c r="G74" i="37" a="1"/>
  <c r="G71" i="37" a="1"/>
  <c r="G41" i="37" a="1"/>
  <c r="G28" i="37" a="1"/>
  <c r="G69" i="37" a="1"/>
  <c r="G23" i="37" a="1"/>
  <c r="G54" i="37" a="1"/>
  <c r="G38" i="37" a="1"/>
  <c r="G81" i="37" a="1"/>
  <c r="G48" i="37" a="1"/>
  <c r="G45" i="37" a="1"/>
  <c r="G43" i="37" a="1"/>
  <c r="G39" i="37" a="1"/>
  <c r="G84" i="37" a="1"/>
  <c r="G27" i="37" a="1"/>
  <c r="G26" i="37" a="1"/>
  <c r="G86" i="37" a="1"/>
  <c r="G19" i="37" a="1"/>
  <c r="E33" i="33" l="1"/>
  <c r="E17" i="33"/>
  <c r="O78" i="29"/>
  <c r="Q70" i="29"/>
  <c r="O15" i="29"/>
  <c r="O77" i="29"/>
  <c r="Q77" i="29"/>
  <c r="Z77" i="29"/>
  <c r="R77" i="29"/>
  <c r="S77" i="29" s="1"/>
  <c r="B38" i="33"/>
  <c r="Z70" i="29"/>
  <c r="R70" i="29"/>
  <c r="S70" i="29" s="1"/>
  <c r="O70" i="29"/>
  <c r="Q73" i="29"/>
  <c r="Z73" i="29"/>
  <c r="O73" i="29"/>
  <c r="Z76" i="29"/>
  <c r="O76" i="29"/>
  <c r="Q76" i="29"/>
  <c r="I7" i="38"/>
  <c r="J7" i="38" s="1"/>
  <c r="E38" i="33" s="1"/>
  <c r="Q22" i="29"/>
  <c r="Q71" i="29"/>
  <c r="O71" i="29"/>
  <c r="R71" i="29"/>
  <c r="S71" i="29" s="1"/>
  <c r="Z71" i="29"/>
  <c r="R22" i="29"/>
  <c r="S22" i="29" s="1"/>
  <c r="Z22" i="29"/>
  <c r="O26" i="29"/>
  <c r="O54" i="29"/>
  <c r="Q54" i="29"/>
  <c r="Q26" i="29"/>
  <c r="R54" i="29"/>
  <c r="S54" i="29" s="1"/>
  <c r="Z54" i="29"/>
  <c r="R26" i="29"/>
  <c r="S26" i="29" s="1"/>
  <c r="Z26" i="29"/>
  <c r="T14" i="36"/>
  <c r="Q21" i="29"/>
  <c r="R21" i="29"/>
  <c r="S21" i="29" s="1"/>
  <c r="Z21" i="29"/>
  <c r="K21" i="33"/>
  <c r="O6" i="31"/>
  <c r="M21" i="33"/>
  <c r="Q6" i="29"/>
  <c r="O4" i="31"/>
  <c r="O5" i="31"/>
  <c r="Q31" i="29"/>
  <c r="O6" i="29"/>
  <c r="R31" i="29"/>
  <c r="S31" i="29" s="1"/>
  <c r="Z31" i="29"/>
  <c r="R6" i="29"/>
  <c r="S6" i="29" s="1"/>
  <c r="Z6" i="29"/>
  <c r="V8" i="29"/>
  <c r="X8" i="29"/>
  <c r="V30" i="29"/>
  <c r="X30" i="29"/>
  <c r="V46" i="29"/>
  <c r="X46" i="29"/>
  <c r="V16" i="29"/>
  <c r="X16" i="29"/>
  <c r="V49" i="29"/>
  <c r="X49" i="29"/>
  <c r="V34" i="29"/>
  <c r="X34" i="29"/>
  <c r="V48" i="29"/>
  <c r="X48" i="29"/>
  <c r="V74" i="29"/>
  <c r="X74" i="29"/>
  <c r="V36" i="29"/>
  <c r="X36" i="29"/>
  <c r="V51" i="29"/>
  <c r="X51" i="29"/>
  <c r="V43" i="29"/>
  <c r="X43" i="29"/>
  <c r="V19" i="29"/>
  <c r="X19" i="29"/>
  <c r="V61" i="29"/>
  <c r="X61" i="29"/>
  <c r="V64" i="29"/>
  <c r="X64" i="29"/>
  <c r="V7" i="29"/>
  <c r="U79" i="29"/>
  <c r="X7" i="29"/>
  <c r="V24" i="29"/>
  <c r="X24" i="29"/>
  <c r="V40" i="29"/>
  <c r="X40" i="29"/>
  <c r="V55" i="29"/>
  <c r="X55" i="29"/>
  <c r="V67" i="29"/>
  <c r="X67" i="29"/>
  <c r="V25" i="29"/>
  <c r="X25" i="29"/>
  <c r="V9" i="29"/>
  <c r="X9" i="29"/>
  <c r="V28" i="29"/>
  <c r="X28" i="29"/>
  <c r="V17" i="29"/>
  <c r="X17" i="29"/>
  <c r="V33" i="29"/>
  <c r="X33" i="29"/>
  <c r="V50" i="29"/>
  <c r="X50" i="29"/>
  <c r="V59" i="29"/>
  <c r="X59" i="29"/>
  <c r="V65" i="29"/>
  <c r="X65" i="29"/>
  <c r="V38" i="29"/>
  <c r="X38" i="29"/>
  <c r="V63" i="29"/>
  <c r="X63" i="29"/>
  <c r="V12" i="29"/>
  <c r="X12" i="29"/>
  <c r="V37" i="29"/>
  <c r="X37" i="29"/>
  <c r="V75" i="29"/>
  <c r="X75" i="29"/>
  <c r="V72" i="29"/>
  <c r="X72" i="29"/>
  <c r="V18" i="29"/>
  <c r="X18" i="29"/>
  <c r="V60" i="29"/>
  <c r="X60" i="29"/>
  <c r="V69" i="29"/>
  <c r="X69" i="29"/>
  <c r="V29" i="29"/>
  <c r="X29" i="29"/>
  <c r="V47" i="29"/>
  <c r="X47" i="29"/>
  <c r="V57" i="29"/>
  <c r="X57" i="29"/>
  <c r="V20" i="29"/>
  <c r="X20" i="29"/>
  <c r="V32" i="29"/>
  <c r="X32" i="29"/>
  <c r="V45" i="29"/>
  <c r="X45" i="29"/>
  <c r="V13" i="29"/>
  <c r="X13" i="29"/>
  <c r="V35" i="29"/>
  <c r="X35" i="29"/>
  <c r="V14" i="29"/>
  <c r="X14" i="29"/>
  <c r="V62" i="29"/>
  <c r="X62" i="29"/>
  <c r="V11" i="29"/>
  <c r="X11" i="29"/>
  <c r="V39" i="29"/>
  <c r="X39" i="29"/>
  <c r="V10" i="29"/>
  <c r="X10" i="29"/>
  <c r="V41" i="29"/>
  <c r="X41" i="29"/>
  <c r="V56" i="29"/>
  <c r="X56" i="29"/>
  <c r="V66" i="29"/>
  <c r="X66" i="29"/>
  <c r="V27" i="29"/>
  <c r="X27" i="29"/>
  <c r="V44" i="29"/>
  <c r="X44" i="29"/>
  <c r="V68" i="29"/>
  <c r="X68" i="29"/>
  <c r="V53" i="29"/>
  <c r="X53" i="29"/>
  <c r="IX56" i="37"/>
  <c r="P13" i="36"/>
  <c r="Q13" i="36" s="1"/>
  <c r="O52" i="29"/>
  <c r="Q52" i="29"/>
  <c r="R52" i="29"/>
  <c r="S52" i="29" s="1"/>
  <c r="Z52" i="29"/>
  <c r="E4" i="33"/>
  <c r="P10" i="36"/>
  <c r="Q10" i="36" s="1"/>
  <c r="E12" i="33"/>
  <c r="O29" i="29"/>
  <c r="O47" i="29"/>
  <c r="O57" i="29"/>
  <c r="O20" i="29"/>
  <c r="O41" i="29"/>
  <c r="O68" i="29"/>
  <c r="O66" i="29"/>
  <c r="O27" i="29"/>
  <c r="O44" i="29"/>
  <c r="O56" i="29"/>
  <c r="O50" i="29"/>
  <c r="O65" i="29"/>
  <c r="O38" i="29"/>
  <c r="O63" i="29"/>
  <c r="O72" i="29"/>
  <c r="O18" i="29"/>
  <c r="O60" i="29"/>
  <c r="O7" i="29"/>
  <c r="O13" i="29"/>
  <c r="O35" i="29"/>
  <c r="O14" i="29"/>
  <c r="O62" i="29"/>
  <c r="O11" i="29"/>
  <c r="O39" i="29"/>
  <c r="O10" i="29"/>
  <c r="O46" i="29"/>
  <c r="O16" i="29"/>
  <c r="O49" i="29"/>
  <c r="O48" i="29"/>
  <c r="O51" i="29"/>
  <c r="O19" i="29"/>
  <c r="O61" i="29"/>
  <c r="O64" i="29"/>
  <c r="O24" i="29"/>
  <c r="O40" i="29"/>
  <c r="O67" i="29"/>
  <c r="O25" i="29"/>
  <c r="O9" i="29"/>
  <c r="O28" i="29"/>
  <c r="O69" i="29"/>
  <c r="Z72" i="29"/>
  <c r="Z9" i="29"/>
  <c r="Z28" i="29"/>
  <c r="Z60" i="29"/>
  <c r="Z57" i="29"/>
  <c r="Z61" i="29"/>
  <c r="Z24" i="29"/>
  <c r="Z39" i="29"/>
  <c r="Z68" i="29"/>
  <c r="Z7" i="29"/>
  <c r="Z44" i="29"/>
  <c r="Z16" i="29"/>
  <c r="Z29" i="29"/>
  <c r="Z56" i="29"/>
  <c r="Z38" i="29"/>
  <c r="Z18" i="29"/>
  <c r="Z49" i="29"/>
  <c r="Z40" i="29"/>
  <c r="Z20" i="29"/>
  <c r="Z63" i="29"/>
  <c r="Z41" i="29"/>
  <c r="Z69" i="29"/>
  <c r="Z48" i="29"/>
  <c r="Z19" i="29"/>
  <c r="Z67" i="29"/>
  <c r="Z65" i="29"/>
  <c r="Z51" i="29"/>
  <c r="Z13" i="29"/>
  <c r="Z66" i="29"/>
  <c r="Z14" i="29"/>
  <c r="Z35" i="29"/>
  <c r="Z64" i="29"/>
  <c r="Z11" i="29"/>
  <c r="Z10" i="29"/>
  <c r="Z25" i="29"/>
  <c r="Z50" i="29"/>
  <c r="Z62" i="29"/>
  <c r="Z46" i="29"/>
  <c r="Z27" i="29"/>
  <c r="Z47" i="29"/>
  <c r="IX88" i="37"/>
  <c r="IX63" i="37"/>
  <c r="IX50" i="37"/>
  <c r="IW56" i="37"/>
  <c r="M80" i="34"/>
  <c r="K10" i="37"/>
  <c r="G69" i="37"/>
  <c r="G27" i="37"/>
  <c r="G43" i="37"/>
  <c r="G71" i="37"/>
  <c r="G87" i="37"/>
  <c r="G28" i="37"/>
  <c r="G44" i="37"/>
  <c r="G72" i="37"/>
  <c r="G42" i="37"/>
  <c r="G29" i="37"/>
  <c r="G45" i="37"/>
  <c r="G73" i="37"/>
  <c r="G30" i="37"/>
  <c r="G46" i="37"/>
  <c r="G74" i="37"/>
  <c r="G41" i="37"/>
  <c r="G31" i="37"/>
  <c r="G47" i="37"/>
  <c r="G75" i="37"/>
  <c r="G32" i="37"/>
  <c r="G48" i="37"/>
  <c r="G76" i="37"/>
  <c r="G86" i="37"/>
  <c r="G33" i="37"/>
  <c r="G49" i="37"/>
  <c r="G77" i="37"/>
  <c r="G85" i="37"/>
  <c r="G34" i="37"/>
  <c r="G54" i="37"/>
  <c r="G78" i="37"/>
  <c r="G19" i="37"/>
  <c r="G35" i="37"/>
  <c r="G55" i="37"/>
  <c r="G79" i="37"/>
  <c r="G26" i="37"/>
  <c r="G20" i="37"/>
  <c r="G36" i="37"/>
  <c r="G60" i="37"/>
  <c r="G80" i="37"/>
  <c r="G70" i="37"/>
  <c r="G21" i="37"/>
  <c r="G37" i="37"/>
  <c r="G61" i="37"/>
  <c r="G81" i="37"/>
  <c r="G22" i="37"/>
  <c r="G38" i="37"/>
  <c r="G62" i="37"/>
  <c r="G82" i="37"/>
  <c r="G25" i="37"/>
  <c r="G23" i="37"/>
  <c r="G39" i="37"/>
  <c r="G67" i="37"/>
  <c r="G83" i="37"/>
  <c r="G24" i="37"/>
  <c r="G40" i="37"/>
  <c r="G68" i="37"/>
  <c r="G84" i="37"/>
  <c r="H88" i="37"/>
  <c r="X88" i="37"/>
  <c r="AN88" i="37"/>
  <c r="BD88" i="37"/>
  <c r="I88" i="37"/>
  <c r="Y88" i="37"/>
  <c r="AO88" i="37"/>
  <c r="BE88" i="37"/>
  <c r="BU88" i="37"/>
  <c r="CK88" i="37"/>
  <c r="DA88" i="37"/>
  <c r="DQ88" i="37"/>
  <c r="EG88" i="37"/>
  <c r="EW88" i="37"/>
  <c r="FM88" i="37"/>
  <c r="GC88" i="37"/>
  <c r="GS88" i="37"/>
  <c r="HI88" i="37"/>
  <c r="HY88" i="37"/>
  <c r="IO88" i="37"/>
  <c r="BS88" i="37"/>
  <c r="DP88" i="37"/>
  <c r="J88" i="37"/>
  <c r="Z88" i="37"/>
  <c r="AP88" i="37"/>
  <c r="BF88" i="37"/>
  <c r="BV88" i="37"/>
  <c r="CL88" i="37"/>
  <c r="DB88" i="37"/>
  <c r="DR88" i="37"/>
  <c r="EH88" i="37"/>
  <c r="EX88" i="37"/>
  <c r="FN88" i="37"/>
  <c r="GD88" i="37"/>
  <c r="GT88" i="37"/>
  <c r="HJ88" i="37"/>
  <c r="HZ88" i="37"/>
  <c r="IP88" i="37"/>
  <c r="BC88" i="37"/>
  <c r="K88" i="37"/>
  <c r="AA88" i="37"/>
  <c r="AQ88" i="37"/>
  <c r="BG88" i="37"/>
  <c r="BW88" i="37"/>
  <c r="CM88" i="37"/>
  <c r="DC88" i="37"/>
  <c r="DS88" i="37"/>
  <c r="EI88" i="37"/>
  <c r="EY88" i="37"/>
  <c r="FO88" i="37"/>
  <c r="GE88" i="37"/>
  <c r="GU88" i="37"/>
  <c r="HK88" i="37"/>
  <c r="IA88" i="37"/>
  <c r="IQ88" i="37"/>
  <c r="CX88" i="37"/>
  <c r="CY88" i="37"/>
  <c r="EF88" i="37"/>
  <c r="L88" i="37"/>
  <c r="AB88" i="37"/>
  <c r="AR88" i="37"/>
  <c r="BH88" i="37"/>
  <c r="BX88" i="37"/>
  <c r="CN88" i="37"/>
  <c r="DD88" i="37"/>
  <c r="DT88" i="37"/>
  <c r="EJ88" i="37"/>
  <c r="EZ88" i="37"/>
  <c r="FP88" i="37"/>
  <c r="GF88" i="37"/>
  <c r="GV88" i="37"/>
  <c r="HL88" i="37"/>
  <c r="IB88" i="37"/>
  <c r="IR88" i="37"/>
  <c r="BB88" i="37"/>
  <c r="FK88" i="37"/>
  <c r="M88" i="37"/>
  <c r="AC88" i="37"/>
  <c r="AS88" i="37"/>
  <c r="BI88" i="37"/>
  <c r="BY88" i="37"/>
  <c r="CO88" i="37"/>
  <c r="DE88" i="37"/>
  <c r="DU88" i="37"/>
  <c r="EK88" i="37"/>
  <c r="FA88" i="37"/>
  <c r="FQ88" i="37"/>
  <c r="GG88" i="37"/>
  <c r="GW88" i="37"/>
  <c r="HM88" i="37"/>
  <c r="IC88" i="37"/>
  <c r="IS88" i="37"/>
  <c r="ED88" i="37"/>
  <c r="EE88" i="37"/>
  <c r="GB88" i="37"/>
  <c r="N88" i="37"/>
  <c r="AD88" i="37"/>
  <c r="AT88" i="37"/>
  <c r="BJ88" i="37"/>
  <c r="BZ88" i="37"/>
  <c r="CP88" i="37"/>
  <c r="DF88" i="37"/>
  <c r="DV88" i="37"/>
  <c r="EL88" i="37"/>
  <c r="FB88" i="37"/>
  <c r="FR88" i="37"/>
  <c r="GH88" i="37"/>
  <c r="GX88" i="37"/>
  <c r="HN88" i="37"/>
  <c r="ID88" i="37"/>
  <c r="IT88" i="37"/>
  <c r="AL88" i="37"/>
  <c r="EU88" i="37"/>
  <c r="O88" i="37"/>
  <c r="AE88" i="37"/>
  <c r="AU88" i="37"/>
  <c r="BK88" i="37"/>
  <c r="CA88" i="37"/>
  <c r="CQ88" i="37"/>
  <c r="DG88" i="37"/>
  <c r="DW88" i="37"/>
  <c r="EM88" i="37"/>
  <c r="FC88" i="37"/>
  <c r="FS88" i="37"/>
  <c r="GI88" i="37"/>
  <c r="GY88" i="37"/>
  <c r="HO88" i="37"/>
  <c r="IE88" i="37"/>
  <c r="IU88" i="37"/>
  <c r="P88" i="37"/>
  <c r="AF88" i="37"/>
  <c r="AV88" i="37"/>
  <c r="BL88" i="37"/>
  <c r="CB88" i="37"/>
  <c r="CR88" i="37"/>
  <c r="DH88" i="37"/>
  <c r="DX88" i="37"/>
  <c r="EN88" i="37"/>
  <c r="FD88" i="37"/>
  <c r="FT88" i="37"/>
  <c r="GJ88" i="37"/>
  <c r="GZ88" i="37"/>
  <c r="HP88" i="37"/>
  <c r="IF88" i="37"/>
  <c r="IV88" i="37"/>
  <c r="CG88" i="37"/>
  <c r="DN88" i="37"/>
  <c r="DO88" i="37"/>
  <c r="EV88" i="37"/>
  <c r="Q88" i="37"/>
  <c r="AG88" i="37"/>
  <c r="AW88" i="37"/>
  <c r="BM88" i="37"/>
  <c r="CC88" i="37"/>
  <c r="CS88" i="37"/>
  <c r="DI88" i="37"/>
  <c r="DY88" i="37"/>
  <c r="EO88" i="37"/>
  <c r="FE88" i="37"/>
  <c r="FU88" i="37"/>
  <c r="GK88" i="37"/>
  <c r="HA88" i="37"/>
  <c r="HQ88" i="37"/>
  <c r="IG88" i="37"/>
  <c r="IW88" i="37"/>
  <c r="BQ88" i="37"/>
  <c r="ET88" i="37"/>
  <c r="FL88" i="37"/>
  <c r="R88" i="37"/>
  <c r="AH88" i="37"/>
  <c r="AX88" i="37"/>
  <c r="BN88" i="37"/>
  <c r="CD88" i="37"/>
  <c r="CT88" i="37"/>
  <c r="DJ88" i="37"/>
  <c r="DZ88" i="37"/>
  <c r="EP88" i="37"/>
  <c r="FF88" i="37"/>
  <c r="FV88" i="37"/>
  <c r="GL88" i="37"/>
  <c r="HB88" i="37"/>
  <c r="HR88" i="37"/>
  <c r="IH88" i="37"/>
  <c r="BA88" i="37"/>
  <c r="HE88" i="37"/>
  <c r="V88" i="37"/>
  <c r="CI88" i="37"/>
  <c r="CZ88" i="37"/>
  <c r="S88" i="37"/>
  <c r="AI88" i="37"/>
  <c r="AY88" i="37"/>
  <c r="BO88" i="37"/>
  <c r="CE88" i="37"/>
  <c r="CU88" i="37"/>
  <c r="DK88" i="37"/>
  <c r="EA88" i="37"/>
  <c r="EQ88" i="37"/>
  <c r="FG88" i="37"/>
  <c r="FW88" i="37"/>
  <c r="GM88" i="37"/>
  <c r="HC88" i="37"/>
  <c r="HS88" i="37"/>
  <c r="II88" i="37"/>
  <c r="AK88" i="37"/>
  <c r="DM88" i="37"/>
  <c r="ES88" i="37"/>
  <c r="FY88" i="37"/>
  <c r="HU88" i="37"/>
  <c r="BR88" i="37"/>
  <c r="FZ88" i="37"/>
  <c r="HF88" i="37"/>
  <c r="IL88" i="37"/>
  <c r="W88" i="37"/>
  <c r="GA88" i="37"/>
  <c r="HG88" i="37"/>
  <c r="CJ88" i="37"/>
  <c r="GR88" i="37"/>
  <c r="HX88" i="37"/>
  <c r="T88" i="37"/>
  <c r="AJ88" i="37"/>
  <c r="AZ88" i="37"/>
  <c r="BP88" i="37"/>
  <c r="CF88" i="37"/>
  <c r="CV88" i="37"/>
  <c r="DL88" i="37"/>
  <c r="EB88" i="37"/>
  <c r="ER88" i="37"/>
  <c r="FH88" i="37"/>
  <c r="FX88" i="37"/>
  <c r="GN88" i="37"/>
  <c r="HD88" i="37"/>
  <c r="HT88" i="37"/>
  <c r="IJ88" i="37"/>
  <c r="U88" i="37"/>
  <c r="CW88" i="37"/>
  <c r="EC88" i="37"/>
  <c r="FI88" i="37"/>
  <c r="GO88" i="37"/>
  <c r="IK88" i="37"/>
  <c r="CH88" i="37"/>
  <c r="FJ88" i="37"/>
  <c r="GP88" i="37"/>
  <c r="HV88" i="37"/>
  <c r="AM88" i="37"/>
  <c r="GQ88" i="37"/>
  <c r="HW88" i="37"/>
  <c r="IM88" i="37"/>
  <c r="BT88" i="37"/>
  <c r="HH88" i="37"/>
  <c r="IN88" i="37"/>
  <c r="H63" i="37"/>
  <c r="X63" i="37"/>
  <c r="AN63" i="37"/>
  <c r="BD63" i="37"/>
  <c r="BT63" i="37"/>
  <c r="CJ63" i="37"/>
  <c r="CZ63" i="37"/>
  <c r="DP63" i="37"/>
  <c r="EF63" i="37"/>
  <c r="EV63" i="37"/>
  <c r="FL63" i="37"/>
  <c r="GB63" i="37"/>
  <c r="GR63" i="37"/>
  <c r="HH63" i="37"/>
  <c r="HX63" i="37"/>
  <c r="IN63" i="37"/>
  <c r="HF63" i="37"/>
  <c r="BS63" i="37"/>
  <c r="I63" i="37"/>
  <c r="Y63" i="37"/>
  <c r="AO63" i="37"/>
  <c r="BE63" i="37"/>
  <c r="BU63" i="37"/>
  <c r="CK63" i="37"/>
  <c r="DA63" i="37"/>
  <c r="DQ63" i="37"/>
  <c r="EG63" i="37"/>
  <c r="EW63" i="37"/>
  <c r="FM63" i="37"/>
  <c r="GC63" i="37"/>
  <c r="GS63" i="37"/>
  <c r="HI63" i="37"/>
  <c r="HY63" i="37"/>
  <c r="IO63" i="37"/>
  <c r="FZ63" i="37"/>
  <c r="EE63" i="37"/>
  <c r="J63" i="37"/>
  <c r="Z63" i="37"/>
  <c r="AP63" i="37"/>
  <c r="BF63" i="37"/>
  <c r="BV63" i="37"/>
  <c r="CL63" i="37"/>
  <c r="DB63" i="37"/>
  <c r="DR63" i="37"/>
  <c r="EH63" i="37"/>
  <c r="EX63" i="37"/>
  <c r="FN63" i="37"/>
  <c r="GD63" i="37"/>
  <c r="GT63" i="37"/>
  <c r="HJ63" i="37"/>
  <c r="HZ63" i="37"/>
  <c r="IP63" i="37"/>
  <c r="GP63" i="37"/>
  <c r="IL63" i="37"/>
  <c r="GQ63" i="37"/>
  <c r="K63" i="37"/>
  <c r="AA63" i="37"/>
  <c r="AQ63" i="37"/>
  <c r="BG63" i="37"/>
  <c r="BW63" i="37"/>
  <c r="CM63" i="37"/>
  <c r="DC63" i="37"/>
  <c r="DS63" i="37"/>
  <c r="EI63" i="37"/>
  <c r="EY63" i="37"/>
  <c r="FO63" i="37"/>
  <c r="GE63" i="37"/>
  <c r="GU63" i="37"/>
  <c r="HK63" i="37"/>
  <c r="IA63" i="37"/>
  <c r="IQ63" i="37"/>
  <c r="HV63" i="37"/>
  <c r="FK63" i="37"/>
  <c r="L63" i="37"/>
  <c r="AB63" i="37"/>
  <c r="AR63" i="37"/>
  <c r="BH63" i="37"/>
  <c r="BX63" i="37"/>
  <c r="CN63" i="37"/>
  <c r="DD63" i="37"/>
  <c r="DT63" i="37"/>
  <c r="EJ63" i="37"/>
  <c r="EZ63" i="37"/>
  <c r="FP63" i="37"/>
  <c r="GF63" i="37"/>
  <c r="GV63" i="37"/>
  <c r="HL63" i="37"/>
  <c r="IB63" i="37"/>
  <c r="IR63" i="37"/>
  <c r="FJ63" i="37"/>
  <c r="BC63" i="37"/>
  <c r="HW63" i="37"/>
  <c r="M63" i="37"/>
  <c r="AC63" i="37"/>
  <c r="AS63" i="37"/>
  <c r="BI63" i="37"/>
  <c r="BY63" i="37"/>
  <c r="CO63" i="37"/>
  <c r="DE63" i="37"/>
  <c r="DU63" i="37"/>
  <c r="EK63" i="37"/>
  <c r="FA63" i="37"/>
  <c r="FQ63" i="37"/>
  <c r="GG63" i="37"/>
  <c r="GW63" i="37"/>
  <c r="HM63" i="37"/>
  <c r="IC63" i="37"/>
  <c r="IS63" i="37"/>
  <c r="ET63" i="37"/>
  <c r="GA63" i="37"/>
  <c r="N63" i="37"/>
  <c r="AD63" i="37"/>
  <c r="AT63" i="37"/>
  <c r="BJ63" i="37"/>
  <c r="BZ63" i="37"/>
  <c r="CP63" i="37"/>
  <c r="DF63" i="37"/>
  <c r="DV63" i="37"/>
  <c r="EL63" i="37"/>
  <c r="FB63" i="37"/>
  <c r="FR63" i="37"/>
  <c r="GH63" i="37"/>
  <c r="GX63" i="37"/>
  <c r="HN63" i="37"/>
  <c r="ID63" i="37"/>
  <c r="IT63" i="37"/>
  <c r="DN63" i="37"/>
  <c r="O63" i="37"/>
  <c r="AE63" i="37"/>
  <c r="AU63" i="37"/>
  <c r="BK63" i="37"/>
  <c r="CA63" i="37"/>
  <c r="CQ63" i="37"/>
  <c r="DG63" i="37"/>
  <c r="DW63" i="37"/>
  <c r="EM63" i="37"/>
  <c r="FC63" i="37"/>
  <c r="FS63" i="37"/>
  <c r="GI63" i="37"/>
  <c r="GY63" i="37"/>
  <c r="HO63" i="37"/>
  <c r="IE63" i="37"/>
  <c r="IU63" i="37"/>
  <c r="ED63" i="37"/>
  <c r="CI63" i="37"/>
  <c r="P63" i="37"/>
  <c r="AF63" i="37"/>
  <c r="AV63" i="37"/>
  <c r="BL63" i="37"/>
  <c r="CB63" i="37"/>
  <c r="CR63" i="37"/>
  <c r="DH63" i="37"/>
  <c r="DX63" i="37"/>
  <c r="EN63" i="37"/>
  <c r="FD63" i="37"/>
  <c r="FT63" i="37"/>
  <c r="GJ63" i="37"/>
  <c r="GZ63" i="37"/>
  <c r="HP63" i="37"/>
  <c r="IF63" i="37"/>
  <c r="IV63" i="37"/>
  <c r="CH63" i="37"/>
  <c r="EU63" i="37"/>
  <c r="Q63" i="37"/>
  <c r="AG63" i="37"/>
  <c r="AW63" i="37"/>
  <c r="BM63" i="37"/>
  <c r="CC63" i="37"/>
  <c r="CS63" i="37"/>
  <c r="DI63" i="37"/>
  <c r="DY63" i="37"/>
  <c r="EO63" i="37"/>
  <c r="FE63" i="37"/>
  <c r="FU63" i="37"/>
  <c r="GK63" i="37"/>
  <c r="HA63" i="37"/>
  <c r="HQ63" i="37"/>
  <c r="IG63" i="37"/>
  <c r="IW63" i="37"/>
  <c r="BR63" i="37"/>
  <c r="DO63" i="37"/>
  <c r="R63" i="37"/>
  <c r="AH63" i="37"/>
  <c r="AX63" i="37"/>
  <c r="BN63" i="37"/>
  <c r="CD63" i="37"/>
  <c r="CT63" i="37"/>
  <c r="DJ63" i="37"/>
  <c r="DZ63" i="37"/>
  <c r="EP63" i="37"/>
  <c r="FF63" i="37"/>
  <c r="FV63" i="37"/>
  <c r="GL63" i="37"/>
  <c r="HB63" i="37"/>
  <c r="HR63" i="37"/>
  <c r="IH63" i="37"/>
  <c r="CX63" i="37"/>
  <c r="W63" i="37"/>
  <c r="IM63" i="37"/>
  <c r="S63" i="37"/>
  <c r="AI63" i="37"/>
  <c r="AY63" i="37"/>
  <c r="BO63" i="37"/>
  <c r="CE63" i="37"/>
  <c r="CU63" i="37"/>
  <c r="DK63" i="37"/>
  <c r="EA63" i="37"/>
  <c r="EQ63" i="37"/>
  <c r="FG63" i="37"/>
  <c r="FW63" i="37"/>
  <c r="GM63" i="37"/>
  <c r="HC63" i="37"/>
  <c r="HS63" i="37"/>
  <c r="II63" i="37"/>
  <c r="BB63" i="37"/>
  <c r="AM63" i="37"/>
  <c r="T63" i="37"/>
  <c r="AJ63" i="37"/>
  <c r="AZ63" i="37"/>
  <c r="BP63" i="37"/>
  <c r="CF63" i="37"/>
  <c r="CV63" i="37"/>
  <c r="DL63" i="37"/>
  <c r="EB63" i="37"/>
  <c r="ER63" i="37"/>
  <c r="FH63" i="37"/>
  <c r="FX63" i="37"/>
  <c r="GN63" i="37"/>
  <c r="HD63" i="37"/>
  <c r="HT63" i="37"/>
  <c r="IJ63" i="37"/>
  <c r="AL63" i="37"/>
  <c r="HG63" i="37"/>
  <c r="U63" i="37"/>
  <c r="AK63" i="37"/>
  <c r="BA63" i="37"/>
  <c r="BQ63" i="37"/>
  <c r="CG63" i="37"/>
  <c r="CW63" i="37"/>
  <c r="DM63" i="37"/>
  <c r="EC63" i="37"/>
  <c r="ES63" i="37"/>
  <c r="FI63" i="37"/>
  <c r="FY63" i="37"/>
  <c r="GO63" i="37"/>
  <c r="HE63" i="37"/>
  <c r="HU63" i="37"/>
  <c r="IK63" i="37"/>
  <c r="V63" i="37"/>
  <c r="CY63" i="37"/>
  <c r="H56" i="37"/>
  <c r="X56" i="37"/>
  <c r="AN56" i="37"/>
  <c r="BD56" i="37"/>
  <c r="BT56" i="37"/>
  <c r="CJ56" i="37"/>
  <c r="CZ56" i="37"/>
  <c r="DP56" i="37"/>
  <c r="EF56" i="37"/>
  <c r="EV56" i="37"/>
  <c r="FL56" i="37"/>
  <c r="GB56" i="37"/>
  <c r="GR56" i="37"/>
  <c r="HH56" i="37"/>
  <c r="HX56" i="37"/>
  <c r="IN56" i="37"/>
  <c r="FG56" i="37"/>
  <c r="ER56" i="37"/>
  <c r="I56" i="37"/>
  <c r="Y56" i="37"/>
  <c r="AO56" i="37"/>
  <c r="BE56" i="37"/>
  <c r="BU56" i="37"/>
  <c r="CK56" i="37"/>
  <c r="DA56" i="37"/>
  <c r="DQ56" i="37"/>
  <c r="EG56" i="37"/>
  <c r="EW56" i="37"/>
  <c r="FM56" i="37"/>
  <c r="GC56" i="37"/>
  <c r="GS56" i="37"/>
  <c r="HI56" i="37"/>
  <c r="HY56" i="37"/>
  <c r="IO56" i="37"/>
  <c r="AI56" i="37"/>
  <c r="GM56" i="37"/>
  <c r="DL56" i="37"/>
  <c r="IJ56" i="37"/>
  <c r="J56" i="37"/>
  <c r="Z56" i="37"/>
  <c r="AP56" i="37"/>
  <c r="BF56" i="37"/>
  <c r="BV56" i="37"/>
  <c r="CL56" i="37"/>
  <c r="DB56" i="37"/>
  <c r="DR56" i="37"/>
  <c r="EH56" i="37"/>
  <c r="EX56" i="37"/>
  <c r="FN56" i="37"/>
  <c r="GD56" i="37"/>
  <c r="GT56" i="37"/>
  <c r="HJ56" i="37"/>
  <c r="HZ56" i="37"/>
  <c r="IP56" i="37"/>
  <c r="II56" i="37"/>
  <c r="K56" i="37"/>
  <c r="AA56" i="37"/>
  <c r="AQ56" i="37"/>
  <c r="BG56" i="37"/>
  <c r="BW56" i="37"/>
  <c r="CM56" i="37"/>
  <c r="DC56" i="37"/>
  <c r="DS56" i="37"/>
  <c r="EI56" i="37"/>
  <c r="EY56" i="37"/>
  <c r="FO56" i="37"/>
  <c r="GE56" i="37"/>
  <c r="GU56" i="37"/>
  <c r="HK56" i="37"/>
  <c r="IA56" i="37"/>
  <c r="IQ56" i="37"/>
  <c r="EQ56" i="37"/>
  <c r="FH56" i="37"/>
  <c r="L56" i="37"/>
  <c r="AB56" i="37"/>
  <c r="AR56" i="37"/>
  <c r="BH56" i="37"/>
  <c r="BX56" i="37"/>
  <c r="CN56" i="37"/>
  <c r="DD56" i="37"/>
  <c r="DT56" i="37"/>
  <c r="EJ56" i="37"/>
  <c r="EZ56" i="37"/>
  <c r="FP56" i="37"/>
  <c r="GF56" i="37"/>
  <c r="GV56" i="37"/>
  <c r="HL56" i="37"/>
  <c r="IB56" i="37"/>
  <c r="IR56" i="37"/>
  <c r="BO56" i="37"/>
  <c r="HC56" i="37"/>
  <c r="BP56" i="37"/>
  <c r="HD56" i="37"/>
  <c r="M56" i="37"/>
  <c r="AC56" i="37"/>
  <c r="AS56" i="37"/>
  <c r="BI56" i="37"/>
  <c r="BY56" i="37"/>
  <c r="CO56" i="37"/>
  <c r="DE56" i="37"/>
  <c r="DU56" i="37"/>
  <c r="EK56" i="37"/>
  <c r="FA56" i="37"/>
  <c r="FQ56" i="37"/>
  <c r="GG56" i="37"/>
  <c r="GW56" i="37"/>
  <c r="HM56" i="37"/>
  <c r="IC56" i="37"/>
  <c r="IS56" i="37"/>
  <c r="CU56" i="37"/>
  <c r="FX56" i="37"/>
  <c r="N56" i="37"/>
  <c r="AD56" i="37"/>
  <c r="AT56" i="37"/>
  <c r="BJ56" i="37"/>
  <c r="BZ56" i="37"/>
  <c r="CP56" i="37"/>
  <c r="DF56" i="37"/>
  <c r="DV56" i="37"/>
  <c r="EL56" i="37"/>
  <c r="FB56" i="37"/>
  <c r="FR56" i="37"/>
  <c r="GH56" i="37"/>
  <c r="GX56" i="37"/>
  <c r="HN56" i="37"/>
  <c r="ID56" i="37"/>
  <c r="IT56" i="37"/>
  <c r="EA56" i="37"/>
  <c r="AJ56" i="37"/>
  <c r="O56" i="37"/>
  <c r="AE56" i="37"/>
  <c r="AU56" i="37"/>
  <c r="BK56" i="37"/>
  <c r="CA56" i="37"/>
  <c r="CQ56" i="37"/>
  <c r="DG56" i="37"/>
  <c r="DW56" i="37"/>
  <c r="EM56" i="37"/>
  <c r="FC56" i="37"/>
  <c r="FS56" i="37"/>
  <c r="GI56" i="37"/>
  <c r="GY56" i="37"/>
  <c r="HO56" i="37"/>
  <c r="IE56" i="37"/>
  <c r="IU56" i="37"/>
  <c r="AY56" i="37"/>
  <c r="HS56" i="37"/>
  <c r="CV56" i="37"/>
  <c r="GN56" i="37"/>
  <c r="P56" i="37"/>
  <c r="AF56" i="37"/>
  <c r="AV56" i="37"/>
  <c r="BL56" i="37"/>
  <c r="CB56" i="37"/>
  <c r="CR56" i="37"/>
  <c r="DH56" i="37"/>
  <c r="DX56" i="37"/>
  <c r="EN56" i="37"/>
  <c r="FD56" i="37"/>
  <c r="FT56" i="37"/>
  <c r="GJ56" i="37"/>
  <c r="GZ56" i="37"/>
  <c r="HP56" i="37"/>
  <c r="IF56" i="37"/>
  <c r="IV56" i="37"/>
  <c r="T56" i="37"/>
  <c r="Q56" i="37"/>
  <c r="AG56" i="37"/>
  <c r="AW56" i="37"/>
  <c r="BM56" i="37"/>
  <c r="CC56" i="37"/>
  <c r="CS56" i="37"/>
  <c r="DI56" i="37"/>
  <c r="DY56" i="37"/>
  <c r="EO56" i="37"/>
  <c r="FE56" i="37"/>
  <c r="FU56" i="37"/>
  <c r="GK56" i="37"/>
  <c r="HA56" i="37"/>
  <c r="HQ56" i="37"/>
  <c r="IG56" i="37"/>
  <c r="DK56" i="37"/>
  <c r="AZ56" i="37"/>
  <c r="R56" i="37"/>
  <c r="AH56" i="37"/>
  <c r="AX56" i="37"/>
  <c r="BN56" i="37"/>
  <c r="CD56" i="37"/>
  <c r="CT56" i="37"/>
  <c r="DJ56" i="37"/>
  <c r="DZ56" i="37"/>
  <c r="EP56" i="37"/>
  <c r="FF56" i="37"/>
  <c r="FV56" i="37"/>
  <c r="GL56" i="37"/>
  <c r="HB56" i="37"/>
  <c r="HR56" i="37"/>
  <c r="IH56" i="37"/>
  <c r="U56" i="37"/>
  <c r="AK56" i="37"/>
  <c r="BA56" i="37"/>
  <c r="BQ56" i="37"/>
  <c r="CG56" i="37"/>
  <c r="CW56" i="37"/>
  <c r="DM56" i="37"/>
  <c r="EC56" i="37"/>
  <c r="ES56" i="37"/>
  <c r="FI56" i="37"/>
  <c r="FY56" i="37"/>
  <c r="GO56" i="37"/>
  <c r="HE56" i="37"/>
  <c r="HU56" i="37"/>
  <c r="IK56" i="37"/>
  <c r="V56" i="37"/>
  <c r="AL56" i="37"/>
  <c r="BB56" i="37"/>
  <c r="BR56" i="37"/>
  <c r="CH56" i="37"/>
  <c r="CX56" i="37"/>
  <c r="DN56" i="37"/>
  <c r="ED56" i="37"/>
  <c r="ET56" i="37"/>
  <c r="FJ56" i="37"/>
  <c r="FZ56" i="37"/>
  <c r="GP56" i="37"/>
  <c r="HF56" i="37"/>
  <c r="HV56" i="37"/>
  <c r="IL56" i="37"/>
  <c r="S56" i="37"/>
  <c r="FW56" i="37"/>
  <c r="CF56" i="37"/>
  <c r="HT56" i="37"/>
  <c r="W56" i="37"/>
  <c r="AM56" i="37"/>
  <c r="BC56" i="37"/>
  <c r="BS56" i="37"/>
  <c r="CI56" i="37"/>
  <c r="CY56" i="37"/>
  <c r="DO56" i="37"/>
  <c r="EE56" i="37"/>
  <c r="EU56" i="37"/>
  <c r="FK56" i="37"/>
  <c r="GA56" i="37"/>
  <c r="GQ56" i="37"/>
  <c r="HG56" i="37"/>
  <c r="HW56" i="37"/>
  <c r="IM56" i="37"/>
  <c r="CE56" i="37"/>
  <c r="EB56" i="37"/>
  <c r="O50" i="37"/>
  <c r="AE50" i="37"/>
  <c r="AU50" i="37"/>
  <c r="BK50" i="37"/>
  <c r="CA50" i="37"/>
  <c r="CQ50" i="37"/>
  <c r="DG50" i="37"/>
  <c r="DW50" i="37"/>
  <c r="EM50" i="37"/>
  <c r="FC50" i="37"/>
  <c r="FS50" i="37"/>
  <c r="GI50" i="37"/>
  <c r="GY50" i="37"/>
  <c r="HO50" i="37"/>
  <c r="IE50" i="37"/>
  <c r="IU50" i="37"/>
  <c r="EZ50" i="37"/>
  <c r="P50" i="37"/>
  <c r="AF50" i="37"/>
  <c r="AV50" i="37"/>
  <c r="BL50" i="37"/>
  <c r="CB50" i="37"/>
  <c r="CR50" i="37"/>
  <c r="DH50" i="37"/>
  <c r="DX50" i="37"/>
  <c r="EN50" i="37"/>
  <c r="FD50" i="37"/>
  <c r="FT50" i="37"/>
  <c r="GJ50" i="37"/>
  <c r="GZ50" i="37"/>
  <c r="HP50" i="37"/>
  <c r="IF50" i="37"/>
  <c r="GF50" i="37"/>
  <c r="BJ50" i="37"/>
  <c r="Q50" i="37"/>
  <c r="AG50" i="37"/>
  <c r="AW50" i="37"/>
  <c r="BM50" i="37"/>
  <c r="CC50" i="37"/>
  <c r="CS50" i="37"/>
  <c r="DI50" i="37"/>
  <c r="DY50" i="37"/>
  <c r="EO50" i="37"/>
  <c r="FE50" i="37"/>
  <c r="FU50" i="37"/>
  <c r="GK50" i="37"/>
  <c r="HA50" i="37"/>
  <c r="HQ50" i="37"/>
  <c r="IG50" i="37"/>
  <c r="GV50" i="37"/>
  <c r="DE50" i="37"/>
  <c r="CP50" i="37"/>
  <c r="IT50" i="37"/>
  <c r="R50" i="37"/>
  <c r="AH50" i="37"/>
  <c r="AX50" i="37"/>
  <c r="BN50" i="37"/>
  <c r="CD50" i="37"/>
  <c r="CT50" i="37"/>
  <c r="DJ50" i="37"/>
  <c r="DZ50" i="37"/>
  <c r="EP50" i="37"/>
  <c r="FF50" i="37"/>
  <c r="FV50" i="37"/>
  <c r="GL50" i="37"/>
  <c r="HB50" i="37"/>
  <c r="HR50" i="37"/>
  <c r="IH50" i="37"/>
  <c r="DT50" i="37"/>
  <c r="AS50" i="37"/>
  <c r="GG50" i="37"/>
  <c r="HM50" i="37"/>
  <c r="EL50" i="37"/>
  <c r="S50" i="37"/>
  <c r="AI50" i="37"/>
  <c r="AY50" i="37"/>
  <c r="BO50" i="37"/>
  <c r="CE50" i="37"/>
  <c r="CU50" i="37"/>
  <c r="DK50" i="37"/>
  <c r="EA50" i="37"/>
  <c r="EQ50" i="37"/>
  <c r="FG50" i="37"/>
  <c r="FW50" i="37"/>
  <c r="GM50" i="37"/>
  <c r="HC50" i="37"/>
  <c r="HS50" i="37"/>
  <c r="II50" i="37"/>
  <c r="EJ50" i="37"/>
  <c r="IB50" i="37"/>
  <c r="DU50" i="37"/>
  <c r="AT50" i="37"/>
  <c r="FR50" i="37"/>
  <c r="GX50" i="37"/>
  <c r="T50" i="37"/>
  <c r="AJ50" i="37"/>
  <c r="AZ50" i="37"/>
  <c r="BP50" i="37"/>
  <c r="CF50" i="37"/>
  <c r="CV50" i="37"/>
  <c r="DL50" i="37"/>
  <c r="EB50" i="37"/>
  <c r="ER50" i="37"/>
  <c r="FH50" i="37"/>
  <c r="FX50" i="37"/>
  <c r="GN50" i="37"/>
  <c r="HD50" i="37"/>
  <c r="HT50" i="37"/>
  <c r="IJ50" i="37"/>
  <c r="FP50" i="37"/>
  <c r="AC50" i="37"/>
  <c r="DF50" i="37"/>
  <c r="U50" i="37"/>
  <c r="AK50" i="37"/>
  <c r="BA50" i="37"/>
  <c r="BQ50" i="37"/>
  <c r="CG50" i="37"/>
  <c r="CW50" i="37"/>
  <c r="DM50" i="37"/>
  <c r="EC50" i="37"/>
  <c r="ES50" i="37"/>
  <c r="FI50" i="37"/>
  <c r="FY50" i="37"/>
  <c r="GO50" i="37"/>
  <c r="HE50" i="37"/>
  <c r="HU50" i="37"/>
  <c r="IK50" i="37"/>
  <c r="DD50" i="37"/>
  <c r="V50" i="37"/>
  <c r="AL50" i="37"/>
  <c r="BB50" i="37"/>
  <c r="BR50" i="37"/>
  <c r="CH50" i="37"/>
  <c r="CX50" i="37"/>
  <c r="DN50" i="37"/>
  <c r="ED50" i="37"/>
  <c r="ET50" i="37"/>
  <c r="FJ50" i="37"/>
  <c r="FZ50" i="37"/>
  <c r="GP50" i="37"/>
  <c r="HF50" i="37"/>
  <c r="HV50" i="37"/>
  <c r="IL50" i="37"/>
  <c r="HL50" i="37"/>
  <c r="FB50" i="37"/>
  <c r="W50" i="37"/>
  <c r="AM50" i="37"/>
  <c r="BC50" i="37"/>
  <c r="BS50" i="37"/>
  <c r="CI50" i="37"/>
  <c r="CY50" i="37"/>
  <c r="DO50" i="37"/>
  <c r="EE50" i="37"/>
  <c r="EU50" i="37"/>
  <c r="FK50" i="37"/>
  <c r="GA50" i="37"/>
  <c r="GQ50" i="37"/>
  <c r="HG50" i="37"/>
  <c r="HW50" i="37"/>
  <c r="IM50" i="37"/>
  <c r="CN50" i="37"/>
  <c r="CO50" i="37"/>
  <c r="BZ50" i="37"/>
  <c r="ID50" i="37"/>
  <c r="X50" i="37"/>
  <c r="AN50" i="37"/>
  <c r="BD50" i="37"/>
  <c r="BT50" i="37"/>
  <c r="CJ50" i="37"/>
  <c r="CZ50" i="37"/>
  <c r="DP50" i="37"/>
  <c r="EF50" i="37"/>
  <c r="EV50" i="37"/>
  <c r="FL50" i="37"/>
  <c r="GB50" i="37"/>
  <c r="GR50" i="37"/>
  <c r="HH50" i="37"/>
  <c r="HX50" i="37"/>
  <c r="IN50" i="37"/>
  <c r="BH50" i="37"/>
  <c r="FA50" i="37"/>
  <c r="Y50" i="37"/>
  <c r="AO50" i="37"/>
  <c r="BE50" i="37"/>
  <c r="BU50" i="37"/>
  <c r="CK50" i="37"/>
  <c r="DA50" i="37"/>
  <c r="DQ50" i="37"/>
  <c r="EG50" i="37"/>
  <c r="EW50" i="37"/>
  <c r="FM50" i="37"/>
  <c r="GC50" i="37"/>
  <c r="GS50" i="37"/>
  <c r="HI50" i="37"/>
  <c r="HY50" i="37"/>
  <c r="IO50" i="37"/>
  <c r="BX50" i="37"/>
  <c r="EK50" i="37"/>
  <c r="Z50" i="37"/>
  <c r="AP50" i="37"/>
  <c r="BF50" i="37"/>
  <c r="BV50" i="37"/>
  <c r="CL50" i="37"/>
  <c r="DB50" i="37"/>
  <c r="DR50" i="37"/>
  <c r="EH50" i="37"/>
  <c r="EX50" i="37"/>
  <c r="FN50" i="37"/>
  <c r="GD50" i="37"/>
  <c r="GT50" i="37"/>
  <c r="HJ50" i="37"/>
  <c r="HZ50" i="37"/>
  <c r="IP50" i="37"/>
  <c r="AR50" i="37"/>
  <c r="IR50" i="37"/>
  <c r="BY50" i="37"/>
  <c r="IC50" i="37"/>
  <c r="AD50" i="37"/>
  <c r="GH50" i="37"/>
  <c r="HN50" i="37"/>
  <c r="AA50" i="37"/>
  <c r="AQ50" i="37"/>
  <c r="BG50" i="37"/>
  <c r="BW50" i="37"/>
  <c r="CM50" i="37"/>
  <c r="DC50" i="37"/>
  <c r="DS50" i="37"/>
  <c r="EI50" i="37"/>
  <c r="EY50" i="37"/>
  <c r="FO50" i="37"/>
  <c r="GE50" i="37"/>
  <c r="GU50" i="37"/>
  <c r="HK50" i="37"/>
  <c r="IA50" i="37"/>
  <c r="IQ50" i="37"/>
  <c r="AB50" i="37"/>
  <c r="BI50" i="37"/>
  <c r="FQ50" i="37"/>
  <c r="GW50" i="37"/>
  <c r="IS50" i="37"/>
  <c r="DV50" i="37"/>
  <c r="IV50" i="37"/>
  <c r="IW50" i="37"/>
  <c r="H50" i="37"/>
  <c r="I50" i="37"/>
  <c r="J50" i="37"/>
  <c r="K50" i="37"/>
  <c r="L50" i="37"/>
  <c r="M50" i="37"/>
  <c r="N50" i="37"/>
  <c r="J14" i="36"/>
  <c r="M37" i="34"/>
  <c r="M12" i="34"/>
  <c r="M6" i="34"/>
  <c r="M19" i="34"/>
  <c r="M78" i="34"/>
  <c r="M59" i="34"/>
  <c r="M64" i="34"/>
  <c r="M51" i="34"/>
  <c r="M79" i="34"/>
  <c r="M71" i="34"/>
  <c r="M62" i="34"/>
  <c r="M21" i="34"/>
  <c r="M9" i="34"/>
  <c r="M60" i="34"/>
  <c r="M29" i="34"/>
  <c r="M39" i="34"/>
  <c r="M74" i="34"/>
  <c r="M13" i="34"/>
  <c r="M15" i="34"/>
  <c r="M33" i="34"/>
  <c r="M63" i="34"/>
  <c r="M77" i="34"/>
  <c r="M24" i="34"/>
  <c r="M52" i="34"/>
  <c r="M7" i="34"/>
  <c r="M76" i="34"/>
  <c r="M69" i="34"/>
  <c r="M47" i="34"/>
  <c r="O12" i="36"/>
  <c r="O11" i="36"/>
  <c r="O10" i="36"/>
  <c r="P12" i="36"/>
  <c r="Q12" i="36" s="1"/>
  <c r="P11" i="36"/>
  <c r="Q11" i="36" s="1"/>
  <c r="G14" i="36"/>
  <c r="K3" i="36" s="1"/>
  <c r="K4" i="36" s="1"/>
  <c r="W53" i="29"/>
  <c r="N53" i="29"/>
  <c r="R53" i="29" s="1"/>
  <c r="S53" i="29" s="1"/>
  <c r="P53" i="29" a="1"/>
  <c r="P53" i="29" s="1"/>
  <c r="M38" i="34"/>
  <c r="M48" i="34"/>
  <c r="M10" i="34"/>
  <c r="M17" i="34"/>
  <c r="M43" i="34"/>
  <c r="M46" i="34"/>
  <c r="M18" i="34"/>
  <c r="M25" i="34"/>
  <c r="M68" i="34"/>
  <c r="M66" i="34"/>
  <c r="M70" i="34"/>
  <c r="M73" i="34"/>
  <c r="M40" i="34"/>
  <c r="M75" i="34"/>
  <c r="M67" i="34"/>
  <c r="M49" i="34"/>
  <c r="M55" i="34"/>
  <c r="M44" i="34"/>
  <c r="M22" i="34"/>
  <c r="M57" i="34"/>
  <c r="M65" i="34"/>
  <c r="M41" i="34"/>
  <c r="M35" i="34"/>
  <c r="M30" i="34"/>
  <c r="M8" i="34"/>
  <c r="M4" i="34"/>
  <c r="M54" i="34"/>
  <c r="M36" i="34"/>
  <c r="M26" i="34"/>
  <c r="M58" i="34"/>
  <c r="M23" i="34"/>
  <c r="M45" i="34"/>
  <c r="M14" i="34"/>
  <c r="M42" i="34"/>
  <c r="M72" i="34"/>
  <c r="M56" i="34"/>
  <c r="M79" i="29"/>
  <c r="D5" i="28" s="1"/>
  <c r="D12" i="28" s="1"/>
  <c r="G12" i="28" s="1"/>
  <c r="E12" i="28" s="1"/>
  <c r="M27" i="34"/>
  <c r="D2" i="31" a="1"/>
  <c r="D2" i="31" s="1"/>
  <c r="G44" i="33"/>
  <c r="M5" i="34"/>
  <c r="M20" i="34"/>
  <c r="M61" i="34"/>
  <c r="M34" i="34"/>
  <c r="M53" i="34"/>
  <c r="M31" i="34"/>
  <c r="M16" i="34"/>
  <c r="M32" i="34"/>
  <c r="M28" i="34"/>
  <c r="M50" i="34"/>
  <c r="L79" i="29"/>
  <c r="J4" i="33" s="1"/>
  <c r="E79" i="29"/>
  <c r="B31" i="33" s="1"/>
  <c r="R56" i="29"/>
  <c r="S56" i="29" s="1"/>
  <c r="R47" i="29"/>
  <c r="S47" i="29" s="1"/>
  <c r="R11" i="29"/>
  <c r="R65" i="29"/>
  <c r="S65" i="29" s="1"/>
  <c r="P14" i="29" a="1"/>
  <c r="P14" i="29" s="1"/>
  <c r="Q14" i="29" s="1"/>
  <c r="R35" i="29"/>
  <c r="S35" i="29" s="1"/>
  <c r="R50" i="29"/>
  <c r="S50" i="29" s="1"/>
  <c r="P72" i="29" a="1"/>
  <c r="P72" i="29" s="1"/>
  <c r="Q72" i="29" s="1"/>
  <c r="P19" i="29" a="1"/>
  <c r="P19" i="29" s="1"/>
  <c r="Q19" i="29" s="1"/>
  <c r="P9" i="29" a="1"/>
  <c r="P9" i="29" s="1"/>
  <c r="Q9" i="29" s="1"/>
  <c r="P35" i="29" a="1"/>
  <c r="P35" i="29" s="1"/>
  <c r="Q35" i="29" s="1"/>
  <c r="P10" i="29" a="1"/>
  <c r="P10" i="29" s="1"/>
  <c r="Q10" i="29" s="1"/>
  <c r="P50" i="29" a="1"/>
  <c r="P50" i="29" s="1"/>
  <c r="Q50" i="29" s="1"/>
  <c r="P13" i="29" a="1"/>
  <c r="P13" i="29" s="1"/>
  <c r="Q13" i="29" s="1"/>
  <c r="P62" i="29" a="1"/>
  <c r="P62" i="29" s="1"/>
  <c r="P28" i="29" a="1"/>
  <c r="P28" i="29" s="1"/>
  <c r="Q28" i="29" s="1"/>
  <c r="P44" i="29" a="1"/>
  <c r="P44" i="29" s="1"/>
  <c r="Q44" i="29" s="1"/>
  <c r="P11" i="29" a="1"/>
  <c r="P11" i="29" s="1"/>
  <c r="Q11" i="29" s="1"/>
  <c r="P16" i="29" a="1"/>
  <c r="P16" i="29" s="1"/>
  <c r="Q16" i="29" s="1"/>
  <c r="P46" i="29" a="1"/>
  <c r="P46" i="29" s="1"/>
  <c r="Q46" i="29" s="1"/>
  <c r="P7" i="29" a="1"/>
  <c r="P7" i="29" s="1"/>
  <c r="Q7" i="29" s="1"/>
  <c r="P57" i="29" a="1"/>
  <c r="P57" i="29" s="1"/>
  <c r="Q57" i="29" s="1"/>
  <c r="P47" i="29" a="1"/>
  <c r="P47" i="29" s="1"/>
  <c r="Q47" i="29" s="1"/>
  <c r="P25" i="29" a="1"/>
  <c r="P25" i="29" s="1"/>
  <c r="Q25" i="29" s="1"/>
  <c r="P60" i="29" a="1"/>
  <c r="P60" i="29" s="1"/>
  <c r="Q60" i="29" s="1"/>
  <c r="P27" i="29" a="1"/>
  <c r="P27" i="29" s="1"/>
  <c r="Q27" i="29" s="1"/>
  <c r="P56" i="29" a="1"/>
  <c r="P56" i="29" s="1"/>
  <c r="Q56" i="29" s="1"/>
  <c r="P61" i="29" a="1"/>
  <c r="P61" i="29" s="1"/>
  <c r="Q61" i="29" s="1"/>
  <c r="P68" i="29" a="1"/>
  <c r="P68" i="29" s="1"/>
  <c r="Q68" i="29" s="1"/>
  <c r="P49" i="29" a="1"/>
  <c r="P49" i="29" s="1"/>
  <c r="Q49" i="29" s="1"/>
  <c r="P39" i="29" a="1"/>
  <c r="P39" i="29" s="1"/>
  <c r="Q39" i="29" s="1"/>
  <c r="P29" i="29" a="1"/>
  <c r="P29" i="29" s="1"/>
  <c r="Q29" i="29" s="1"/>
  <c r="P69" i="29" a="1"/>
  <c r="P69" i="29" s="1"/>
  <c r="Q69" i="29" s="1"/>
  <c r="P38" i="29" a="1"/>
  <c r="P38" i="29" s="1"/>
  <c r="Q38" i="29" s="1"/>
  <c r="P24" i="29" a="1"/>
  <c r="P24" i="29" s="1"/>
  <c r="Q24" i="29" s="1"/>
  <c r="P67" i="29" a="1"/>
  <c r="P67" i="29" s="1"/>
  <c r="Q67" i="29" s="1"/>
  <c r="P63" i="29" a="1"/>
  <c r="P63" i="29" s="1"/>
  <c r="Q63" i="29" s="1"/>
  <c r="P40" i="29" a="1"/>
  <c r="P40" i="29" s="1"/>
  <c r="Q40" i="29" s="1"/>
  <c r="P65" i="29" a="1"/>
  <c r="P65" i="29" s="1"/>
  <c r="Q65" i="29" s="1"/>
  <c r="P48" i="29" a="1"/>
  <c r="P48" i="29" s="1"/>
  <c r="Q48" i="29" s="1"/>
  <c r="P18" i="29" a="1"/>
  <c r="P18" i="29" s="1"/>
  <c r="Q18" i="29" s="1"/>
  <c r="P66" i="29" a="1"/>
  <c r="P66" i="29" s="1"/>
  <c r="Q66" i="29" s="1"/>
  <c r="P41" i="29" a="1"/>
  <c r="P41" i="29" s="1"/>
  <c r="Q41" i="29" s="1"/>
  <c r="P20" i="29" a="1"/>
  <c r="P20" i="29" s="1"/>
  <c r="Q20" i="29" s="1"/>
  <c r="P64" i="29" a="1"/>
  <c r="P64" i="29" s="1"/>
  <c r="Q64" i="29" s="1"/>
  <c r="P51" i="29" a="1"/>
  <c r="P51" i="29" s="1"/>
  <c r="Q51" i="29" s="1"/>
  <c r="R24" i="29"/>
  <c r="S24" i="29" s="1"/>
  <c r="R9" i="29"/>
  <c r="S9" i="29" s="1"/>
  <c r="R66" i="29"/>
  <c r="R10" i="29"/>
  <c r="S10" i="29" s="1"/>
  <c r="R48" i="29"/>
  <c r="S48" i="29" s="1"/>
  <c r="R63" i="29"/>
  <c r="S63" i="29" s="1"/>
  <c r="R51" i="29"/>
  <c r="S51" i="29" s="1"/>
  <c r="R62" i="29"/>
  <c r="S62" i="29" s="1"/>
  <c r="AA79" i="29"/>
  <c r="R25" i="29"/>
  <c r="S25" i="29" s="1"/>
  <c r="R28" i="29"/>
  <c r="S28" i="29" s="1"/>
  <c r="R67" i="29"/>
  <c r="S67" i="29" s="1"/>
  <c r="R29" i="29"/>
  <c r="S29" i="29" s="1"/>
  <c r="R14" i="29"/>
  <c r="S14" i="29" s="1"/>
  <c r="R44" i="29"/>
  <c r="S44" i="29" s="1"/>
  <c r="R27" i="29"/>
  <c r="S27" i="29" s="1"/>
  <c r="R68" i="29"/>
  <c r="S68" i="29" s="1"/>
  <c r="W28" i="29"/>
  <c r="R16" i="29"/>
  <c r="S16" i="29" s="1"/>
  <c r="R13" i="29"/>
  <c r="S13" i="29" s="1"/>
  <c r="R41" i="29"/>
  <c r="S41" i="29" s="1"/>
  <c r="R60" i="29"/>
  <c r="S60" i="29" s="1"/>
  <c r="R40" i="29"/>
  <c r="S40" i="29" s="1"/>
  <c r="R57" i="29"/>
  <c r="S57" i="29" s="1"/>
  <c r="R38" i="29"/>
  <c r="S38" i="29" s="1"/>
  <c r="R19" i="29"/>
  <c r="S19" i="29" s="1"/>
  <c r="R64" i="29"/>
  <c r="S64" i="29" s="1"/>
  <c r="R7" i="29"/>
  <c r="S7" i="29" s="1"/>
  <c r="R72" i="29"/>
  <c r="S72" i="29" s="1"/>
  <c r="R46" i="29"/>
  <c r="S46" i="29" s="1"/>
  <c r="R61" i="29"/>
  <c r="S61" i="29" s="1"/>
  <c r="R18" i="29"/>
  <c r="S18" i="29" s="1"/>
  <c r="R69" i="29"/>
  <c r="S69" i="29" s="1"/>
  <c r="W68" i="29"/>
  <c r="W69" i="29"/>
  <c r="W64" i="29"/>
  <c r="W10" i="29"/>
  <c r="W63" i="29"/>
  <c r="W48" i="29"/>
  <c r="W45" i="29"/>
  <c r="N45" i="29"/>
  <c r="R45" i="29" s="1"/>
  <c r="S45" i="29" s="1"/>
  <c r="W9" i="29"/>
  <c r="W44" i="29"/>
  <c r="W60" i="29"/>
  <c r="W61" i="29"/>
  <c r="R39" i="29"/>
  <c r="S39" i="29" s="1"/>
  <c r="W39" i="29"/>
  <c r="W38" i="29"/>
  <c r="W34" i="29"/>
  <c r="N34" i="29"/>
  <c r="R34" i="29" s="1"/>
  <c r="S34" i="29" s="1"/>
  <c r="W32" i="29"/>
  <c r="N32" i="29"/>
  <c r="O32" i="29" s="1"/>
  <c r="W25" i="29"/>
  <c r="W27" i="29"/>
  <c r="W18" i="29"/>
  <c r="W19" i="29"/>
  <c r="W11" i="29"/>
  <c r="R49" i="29"/>
  <c r="S49" i="29" s="1"/>
  <c r="R20" i="29"/>
  <c r="W65" i="29"/>
  <c r="W49" i="29"/>
  <c r="W20" i="29"/>
  <c r="W67" i="29"/>
  <c r="W66" i="29"/>
  <c r="W72" i="29"/>
  <c r="W43" i="29"/>
  <c r="N43" i="29"/>
  <c r="R43" i="29" s="1"/>
  <c r="S43" i="29" s="1"/>
  <c r="W62" i="29"/>
  <c r="W59" i="29"/>
  <c r="N59" i="29"/>
  <c r="R59" i="29" s="1"/>
  <c r="S59" i="29" s="1"/>
  <c r="W16" i="29"/>
  <c r="W57" i="29"/>
  <c r="W55" i="29"/>
  <c r="N55" i="29"/>
  <c r="R55" i="29" s="1"/>
  <c r="S55" i="29" s="1"/>
  <c r="W56" i="29"/>
  <c r="W75" i="29"/>
  <c r="N75" i="29"/>
  <c r="R75" i="29" s="1"/>
  <c r="S75" i="29" s="1"/>
  <c r="W51" i="29"/>
  <c r="W14" i="29"/>
  <c r="W50" i="29"/>
  <c r="W46" i="29"/>
  <c r="W47" i="29"/>
  <c r="W40" i="29"/>
  <c r="W41" i="29"/>
  <c r="W37" i="29"/>
  <c r="N37" i="29"/>
  <c r="R37" i="29" s="1"/>
  <c r="S37" i="29" s="1"/>
  <c r="W36" i="29"/>
  <c r="N36" i="29"/>
  <c r="O36" i="29" s="1"/>
  <c r="W35" i="29"/>
  <c r="W33" i="29"/>
  <c r="N33" i="29"/>
  <c r="R33" i="29" s="1"/>
  <c r="S33" i="29" s="1"/>
  <c r="W30" i="29"/>
  <c r="N30" i="29"/>
  <c r="R30" i="29" s="1"/>
  <c r="S30" i="29" s="1"/>
  <c r="W29" i="29"/>
  <c r="W24" i="29"/>
  <c r="W12" i="29"/>
  <c r="N12" i="29"/>
  <c r="R12" i="29" s="1"/>
  <c r="S12" i="29" s="1"/>
  <c r="W74" i="29"/>
  <c r="N74" i="29"/>
  <c r="R74" i="29" s="1"/>
  <c r="S74" i="29" s="1"/>
  <c r="W13" i="29"/>
  <c r="W17" i="29"/>
  <c r="N17" i="29"/>
  <c r="R17" i="29" s="1"/>
  <c r="S17" i="29" s="1"/>
  <c r="W8" i="29"/>
  <c r="N8" i="29"/>
  <c r="O8" i="29" s="1"/>
  <c r="W7" i="29"/>
  <c r="B12" i="28"/>
  <c r="F13" i="28"/>
  <c r="E37" i="33" l="1"/>
  <c r="E7" i="33"/>
  <c r="E8" i="33" s="1"/>
  <c r="E15" i="33"/>
  <c r="E16" i="33" s="1"/>
  <c r="E31" i="33"/>
  <c r="V79" i="29"/>
  <c r="G21" i="33" s="1"/>
  <c r="I21" i="33" s="1"/>
  <c r="E23" i="33"/>
  <c r="X79" i="29"/>
  <c r="D13" i="28"/>
  <c r="D14" i="28" s="1"/>
  <c r="D15" i="28" s="1"/>
  <c r="D16" i="28" s="1"/>
  <c r="D17" i="28" s="1"/>
  <c r="G13" i="28"/>
  <c r="G14" i="28" s="1"/>
  <c r="G15" i="28" s="1"/>
  <c r="G16" i="28" s="1"/>
  <c r="G17" i="28" s="1"/>
  <c r="G18" i="28" s="1"/>
  <c r="G19" i="28" s="1"/>
  <c r="G20" i="28" s="1"/>
  <c r="G21" i="28" s="1"/>
  <c r="G22" i="28" s="1"/>
  <c r="G23" i="28" s="1"/>
  <c r="G24" i="28" s="1"/>
  <c r="G25" i="28" s="1"/>
  <c r="G26" i="28" s="1"/>
  <c r="G27" i="28" s="1"/>
  <c r="G28" i="28" s="1"/>
  <c r="G29" i="28" s="1"/>
  <c r="E6" i="33"/>
  <c r="E5" i="33"/>
  <c r="S20" i="29"/>
  <c r="E14" i="33"/>
  <c r="E13" i="33"/>
  <c r="O30" i="29"/>
  <c r="O55" i="29"/>
  <c r="O53" i="29"/>
  <c r="O75" i="29"/>
  <c r="O43" i="29"/>
  <c r="O37" i="29"/>
  <c r="O12" i="29"/>
  <c r="O59" i="29"/>
  <c r="O74" i="29"/>
  <c r="O33" i="29"/>
  <c r="O45" i="29"/>
  <c r="O17" i="29"/>
  <c r="O34" i="29"/>
  <c r="O14" i="36"/>
  <c r="R36" i="29"/>
  <c r="S36" i="29" s="1"/>
  <c r="L5" i="31"/>
  <c r="Z8" i="29"/>
  <c r="L3" i="31"/>
  <c r="R32" i="29"/>
  <c r="S32" i="29" s="1"/>
  <c r="L4" i="31"/>
  <c r="L2" i="31"/>
  <c r="Z45" i="29"/>
  <c r="Z37" i="29"/>
  <c r="Z32" i="29"/>
  <c r="Z30" i="29"/>
  <c r="Z55" i="29"/>
  <c r="Z17" i="29"/>
  <c r="Z12" i="29"/>
  <c r="Z59" i="29"/>
  <c r="Z33" i="29"/>
  <c r="Z34" i="29"/>
  <c r="Z53" i="29"/>
  <c r="Z74" i="29"/>
  <c r="Z36" i="29"/>
  <c r="Z43" i="29"/>
  <c r="Z75" i="29"/>
  <c r="Q53" i="29"/>
  <c r="P4" i="33"/>
  <c r="P7" i="33"/>
  <c r="Q62" i="29"/>
  <c r="K12" i="37"/>
  <c r="K14" i="37"/>
  <c r="K11" i="37"/>
  <c r="K13" i="37"/>
  <c r="L10" i="37"/>
  <c r="G56" i="37"/>
  <c r="G12" i="37" s="1"/>
  <c r="G50" i="37"/>
  <c r="I11" i="37" s="1"/>
  <c r="G88" i="37"/>
  <c r="G14" i="37" s="1"/>
  <c r="G63" i="37"/>
  <c r="G13" i="37" s="1"/>
  <c r="E2" i="31" a="1"/>
  <c r="E2" i="31" s="1"/>
  <c r="E20" i="33"/>
  <c r="S66" i="29"/>
  <c r="S11" i="29"/>
  <c r="N79" i="29"/>
  <c r="Z79" i="29" s="1"/>
  <c r="P79" i="29"/>
  <c r="J7" i="33" s="1"/>
  <c r="R8" i="29"/>
  <c r="Q36" i="29"/>
  <c r="Q45" i="29"/>
  <c r="Q74" i="29"/>
  <c r="Q34" i="29"/>
  <c r="Q37" i="29"/>
  <c r="Q8" i="29"/>
  <c r="Q33" i="29"/>
  <c r="Q32" i="29"/>
  <c r="Q59" i="29"/>
  <c r="Q12" i="29"/>
  <c r="Q43" i="29"/>
  <c r="Q75" i="29"/>
  <c r="Q30" i="29"/>
  <c r="Q55" i="29"/>
  <c r="Q17" i="29"/>
  <c r="B13" i="28"/>
  <c r="F14" i="28"/>
  <c r="C13" i="28"/>
  <c r="E24" i="33" l="1"/>
  <c r="J14" i="37"/>
  <c r="E13" i="28"/>
  <c r="J12" i="37"/>
  <c r="J11" i="37"/>
  <c r="J13" i="37"/>
  <c r="E22" i="33"/>
  <c r="E28" i="33"/>
  <c r="E32" i="33" s="1"/>
  <c r="O79" i="29"/>
  <c r="E29" i="33"/>
  <c r="E30" i="33"/>
  <c r="H13" i="37"/>
  <c r="H14" i="37"/>
  <c r="H11" i="37"/>
  <c r="H12" i="37"/>
  <c r="I14" i="37"/>
  <c r="I12" i="37"/>
  <c r="I13" i="37"/>
  <c r="P9" i="33"/>
  <c r="P8" i="33"/>
  <c r="P5" i="33"/>
  <c r="P6" i="33"/>
  <c r="L12" i="37"/>
  <c r="L14" i="37"/>
  <c r="L11" i="37"/>
  <c r="L13" i="37"/>
  <c r="M10" i="37"/>
  <c r="K15" i="37"/>
  <c r="G11" i="37"/>
  <c r="G15" i="37" s="1"/>
  <c r="W79" i="29"/>
  <c r="P5" i="28" s="1"/>
  <c r="B14" i="28"/>
  <c r="R79" i="29"/>
  <c r="E21" i="33"/>
  <c r="Q79" i="29"/>
  <c r="J8" i="33" s="1"/>
  <c r="S8" i="29"/>
  <c r="G30" i="28"/>
  <c r="D18" i="28"/>
  <c r="F15" i="28"/>
  <c r="C14" i="28"/>
  <c r="K27" i="7"/>
  <c r="O27" i="7" s="1"/>
  <c r="M4" i="7"/>
  <c r="G4" i="7"/>
  <c r="D4" i="7"/>
  <c r="C4" i="7"/>
  <c r="S29" i="7"/>
  <c r="S30" i="7"/>
  <c r="S31" i="7"/>
  <c r="S32" i="7"/>
  <c r="S33" i="7"/>
  <c r="S34" i="7"/>
  <c r="S35" i="7"/>
  <c r="S36" i="7"/>
  <c r="S37" i="7"/>
  <c r="S38" i="7"/>
  <c r="S39" i="7"/>
  <c r="S40" i="7"/>
  <c r="S41" i="7"/>
  <c r="S42" i="7"/>
  <c r="S43" i="7"/>
  <c r="S44" i="7"/>
  <c r="S45" i="7"/>
  <c r="S46" i="7"/>
  <c r="S47" i="7"/>
  <c r="S48" i="7"/>
  <c r="S49" i="7"/>
  <c r="S6" i="7"/>
  <c r="S7" i="7"/>
  <c r="S8" i="7"/>
  <c r="S9" i="7"/>
  <c r="S10" i="7"/>
  <c r="S11" i="7"/>
  <c r="S12" i="7"/>
  <c r="S13" i="7"/>
  <c r="S14" i="7"/>
  <c r="S17" i="7"/>
  <c r="S18" i="7"/>
  <c r="S19" i="7"/>
  <c r="S20" i="7"/>
  <c r="S23" i="7"/>
  <c r="S26" i="7"/>
  <c r="C46" i="6"/>
  <c r="H46" i="6"/>
  <c r="C47" i="6"/>
  <c r="H47" i="6"/>
  <c r="C42" i="6"/>
  <c r="H42" i="6"/>
  <c r="C43" i="6"/>
  <c r="H43" i="6"/>
  <c r="C44" i="6"/>
  <c r="H44" i="6"/>
  <c r="C45" i="6"/>
  <c r="H45" i="6"/>
  <c r="C33" i="6"/>
  <c r="H33" i="6"/>
  <c r="C34" i="6"/>
  <c r="H34" i="6"/>
  <c r="C35" i="6"/>
  <c r="H35" i="6"/>
  <c r="C36" i="6"/>
  <c r="H36" i="6"/>
  <c r="C37" i="6"/>
  <c r="H37" i="6"/>
  <c r="C38" i="6"/>
  <c r="H38" i="6"/>
  <c r="C39" i="6"/>
  <c r="C40" i="6"/>
  <c r="H40" i="6"/>
  <c r="C41" i="6"/>
  <c r="H41" i="6"/>
  <c r="C13" i="6"/>
  <c r="H13" i="6"/>
  <c r="C14" i="6"/>
  <c r="H14" i="6"/>
  <c r="C15" i="6"/>
  <c r="H15" i="6"/>
  <c r="C16" i="6"/>
  <c r="H16" i="6"/>
  <c r="C17" i="6"/>
  <c r="H17" i="6"/>
  <c r="C18" i="6"/>
  <c r="H18" i="6"/>
  <c r="C19" i="6"/>
  <c r="H19" i="6"/>
  <c r="C20" i="6"/>
  <c r="H20" i="6"/>
  <c r="C21" i="6"/>
  <c r="H21" i="6"/>
  <c r="C22" i="6"/>
  <c r="H22" i="6"/>
  <c r="C23" i="6"/>
  <c r="H23" i="6"/>
  <c r="C24" i="6"/>
  <c r="H24" i="6"/>
  <c r="C25" i="6"/>
  <c r="H25" i="6"/>
  <c r="C26" i="6"/>
  <c r="H26" i="6"/>
  <c r="C27" i="6"/>
  <c r="H27" i="6"/>
  <c r="C28" i="6"/>
  <c r="H28" i="6"/>
  <c r="C29" i="6"/>
  <c r="H29" i="6"/>
  <c r="C30" i="6"/>
  <c r="H30" i="6"/>
  <c r="C31" i="6"/>
  <c r="H31" i="6"/>
  <c r="C32" i="6"/>
  <c r="H32" i="6"/>
  <c r="S27" i="7" l="1"/>
  <c r="J15" i="37"/>
  <c r="J3" i="33"/>
  <c r="J5" i="33"/>
  <c r="S79" i="29"/>
  <c r="H15" i="37"/>
  <c r="I15" i="37"/>
  <c r="L15" i="37"/>
  <c r="M12" i="37"/>
  <c r="M14" i="37"/>
  <c r="M11" i="37"/>
  <c r="M13" i="37"/>
  <c r="N10" i="37"/>
  <c r="B15" i="28"/>
  <c r="G31" i="28"/>
  <c r="D19" i="28"/>
  <c r="F16" i="28"/>
  <c r="C15" i="28"/>
  <c r="H39" i="6"/>
  <c r="J5" i="28" l="1"/>
  <c r="H12" i="28" s="1"/>
  <c r="J12" i="28" s="1"/>
  <c r="L5" i="28"/>
  <c r="R5" i="28" s="1"/>
  <c r="J6" i="33"/>
  <c r="M15" i="37"/>
  <c r="O10" i="37"/>
  <c r="N12" i="37"/>
  <c r="N11" i="37"/>
  <c r="N13" i="37"/>
  <c r="N14" i="37"/>
  <c r="B16" i="28"/>
  <c r="G32" i="28"/>
  <c r="D20" i="28"/>
  <c r="F17" i="28"/>
  <c r="C16" i="28"/>
  <c r="K25" i="7"/>
  <c r="K4" i="7" s="1"/>
  <c r="I12" i="28" l="1"/>
  <c r="L12" i="28" s="1"/>
  <c r="O12" i="28" s="1"/>
  <c r="N15" i="37"/>
  <c r="P10" i="37"/>
  <c r="O12" i="37"/>
  <c r="O14" i="37"/>
  <c r="O11" i="37"/>
  <c r="O13" i="37"/>
  <c r="S12" i="28"/>
  <c r="M12" i="28"/>
  <c r="P12" i="28" s="1"/>
  <c r="J13" i="28"/>
  <c r="B17" i="28"/>
  <c r="G33" i="28"/>
  <c r="D21" i="28"/>
  <c r="F18" i="28"/>
  <c r="C17" i="28"/>
  <c r="D2" i="6"/>
  <c r="D10" i="6"/>
  <c r="D18" i="6"/>
  <c r="D26" i="6"/>
  <c r="D34" i="6"/>
  <c r="D42" i="6"/>
  <c r="D9" i="6"/>
  <c r="E15" i="6"/>
  <c r="D30" i="6"/>
  <c r="E19" i="6"/>
  <c r="E43" i="6"/>
  <c r="E23" i="6"/>
  <c r="E40" i="6"/>
  <c r="D22" i="6"/>
  <c r="E44" i="6"/>
  <c r="E20" i="6"/>
  <c r="D23" i="6"/>
  <c r="D11" i="6"/>
  <c r="D16" i="6"/>
  <c r="E42" i="6"/>
  <c r="E32" i="6"/>
  <c r="D47" i="6"/>
  <c r="D14" i="6"/>
  <c r="E36" i="6"/>
  <c r="D31" i="6"/>
  <c r="E34" i="6"/>
  <c r="E24" i="6"/>
  <c r="D39" i="6"/>
  <c r="D6" i="6"/>
  <c r="E28" i="6"/>
  <c r="D43" i="6"/>
  <c r="E45" i="6"/>
  <c r="D35" i="6"/>
  <c r="D27" i="6"/>
  <c r="D3" i="6"/>
  <c r="E30" i="6"/>
  <c r="E14" i="6"/>
  <c r="E31" i="6"/>
  <c r="E26" i="6"/>
  <c r="E16" i="6"/>
  <c r="E38" i="6"/>
  <c r="D37" i="6"/>
  <c r="E27" i="6"/>
  <c r="E18" i="6"/>
  <c r="E37" i="6"/>
  <c r="E47" i="6"/>
  <c r="D17" i="6"/>
  <c r="D40" i="6"/>
  <c r="D15" i="6"/>
  <c r="E29" i="6"/>
  <c r="D19" i="6"/>
  <c r="D7" i="6"/>
  <c r="D44" i="6"/>
  <c r="D12" i="6"/>
  <c r="D13" i="6"/>
  <c r="E41" i="6"/>
  <c r="D32" i="6"/>
  <c r="E21" i="6"/>
  <c r="E22" i="6"/>
  <c r="D5" i="6"/>
  <c r="E33" i="6"/>
  <c r="D24" i="6"/>
  <c r="E46" i="6"/>
  <c r="E13" i="6"/>
  <c r="D36" i="6"/>
  <c r="D45" i="6"/>
  <c r="D29" i="6"/>
  <c r="D25" i="6"/>
  <c r="E25" i="6"/>
  <c r="D28" i="6"/>
  <c r="E39" i="6"/>
  <c r="D38" i="6"/>
  <c r="E17" i="6"/>
  <c r="D8" i="6"/>
  <c r="D20" i="6"/>
  <c r="D4" i="6"/>
  <c r="D46" i="6"/>
  <c r="D21" i="6"/>
  <c r="E35" i="6"/>
  <c r="D41" i="6"/>
  <c r="D33" i="6"/>
  <c r="I13" i="28" l="1"/>
  <c r="I14" i="28" s="1"/>
  <c r="R12" i="28"/>
  <c r="O15" i="37"/>
  <c r="Q10" i="37"/>
  <c r="P12" i="37"/>
  <c r="P14" i="37"/>
  <c r="P11" i="37"/>
  <c r="P13" i="37"/>
  <c r="J14" i="28"/>
  <c r="M13" i="28"/>
  <c r="P13" i="28" s="1"/>
  <c r="S13" i="28"/>
  <c r="B18" i="28"/>
  <c r="G34" i="28"/>
  <c r="D22" i="28"/>
  <c r="F19" i="28"/>
  <c r="B19" i="28" s="1"/>
  <c r="C18" i="28"/>
  <c r="G17" i="6"/>
  <c r="G13" i="6"/>
  <c r="G29" i="6"/>
  <c r="G22" i="6"/>
  <c r="G41" i="6"/>
  <c r="G20" i="6"/>
  <c r="G34" i="6"/>
  <c r="G37" i="6"/>
  <c r="G28" i="6"/>
  <c r="G19" i="6"/>
  <c r="G45" i="6"/>
  <c r="G27" i="6"/>
  <c r="G36" i="6"/>
  <c r="G15" i="6"/>
  <c r="G33" i="6"/>
  <c r="G31" i="6"/>
  <c r="G21" i="6"/>
  <c r="G14" i="6"/>
  <c r="G30" i="6"/>
  <c r="G25" i="6"/>
  <c r="G24" i="6"/>
  <c r="G42" i="6"/>
  <c r="G40" i="6"/>
  <c r="G46" i="6"/>
  <c r="G47" i="6"/>
  <c r="G16" i="6"/>
  <c r="G43" i="6"/>
  <c r="G26" i="6"/>
  <c r="G44" i="6"/>
  <c r="G35" i="6"/>
  <c r="G32" i="6"/>
  <c r="G23" i="6"/>
  <c r="G18" i="6"/>
  <c r="G38" i="6"/>
  <c r="G39" i="6"/>
  <c r="L13" i="28" l="1"/>
  <c r="O13" i="28" s="1"/>
  <c r="R13" i="28"/>
  <c r="P15" i="37"/>
  <c r="Q13" i="37"/>
  <c r="R10" i="37"/>
  <c r="Q12" i="37"/>
  <c r="Q14" i="37"/>
  <c r="Q11" i="37"/>
  <c r="L14" i="28"/>
  <c r="I15" i="28"/>
  <c r="R14" i="28"/>
  <c r="M14" i="28"/>
  <c r="S14" i="28"/>
  <c r="G35" i="28"/>
  <c r="D23" i="28"/>
  <c r="F20" i="28"/>
  <c r="B20" i="28" s="1"/>
  <c r="C19" i="28"/>
  <c r="Q15" i="37" l="1"/>
  <c r="R13" i="37"/>
  <c r="S10" i="37"/>
  <c r="R12" i="37"/>
  <c r="R14" i="37"/>
  <c r="R11" i="37"/>
  <c r="I16" i="28"/>
  <c r="R15" i="28"/>
  <c r="L15" i="28"/>
  <c r="G36" i="28"/>
  <c r="D24" i="28"/>
  <c r="F21" i="28"/>
  <c r="B21" i="28" s="1"/>
  <c r="C20" i="28"/>
  <c r="R15" i="37" l="1"/>
  <c r="S13" i="37"/>
  <c r="T10" i="37"/>
  <c r="S12" i="37"/>
  <c r="S14" i="37"/>
  <c r="S11" i="37"/>
  <c r="L16" i="28"/>
  <c r="R16" i="28"/>
  <c r="I17" i="28"/>
  <c r="G37" i="28"/>
  <c r="D25" i="28"/>
  <c r="F22" i="28"/>
  <c r="B22" i="28" s="1"/>
  <c r="C21" i="28"/>
  <c r="S15" i="37" l="1"/>
  <c r="T13" i="37"/>
  <c r="U10" i="37"/>
  <c r="T12" i="37"/>
  <c r="T11" i="37"/>
  <c r="T14" i="37"/>
  <c r="L17" i="28"/>
  <c r="I18" i="28"/>
  <c r="R17" i="28"/>
  <c r="G38" i="28"/>
  <c r="D26" i="28"/>
  <c r="F23" i="28"/>
  <c r="B23" i="28" s="1"/>
  <c r="C22" i="28"/>
  <c r="H25" i="7"/>
  <c r="O25" i="7" l="1"/>
  <c r="S25" i="7" s="1"/>
  <c r="T15" i="37"/>
  <c r="U11" i="37"/>
  <c r="U13" i="37"/>
  <c r="V10" i="37"/>
  <c r="U12" i="37"/>
  <c r="U14" i="37"/>
  <c r="I19" i="28"/>
  <c r="L18" i="28"/>
  <c r="R18" i="28"/>
  <c r="G39" i="28"/>
  <c r="D27" i="28"/>
  <c r="F24" i="28"/>
  <c r="B24" i="28" s="1"/>
  <c r="C23" i="28"/>
  <c r="V11" i="37" l="1"/>
  <c r="V13" i="37"/>
  <c r="W10" i="37"/>
  <c r="V12" i="37"/>
  <c r="V14" i="37"/>
  <c r="U15" i="37"/>
  <c r="L19" i="28"/>
  <c r="R19" i="28"/>
  <c r="I20" i="28"/>
  <c r="G40" i="28"/>
  <c r="D28" i="28"/>
  <c r="D29" i="28" s="1"/>
  <c r="F25" i="28"/>
  <c r="B25" i="28" s="1"/>
  <c r="C24" i="28"/>
  <c r="P8" i="7"/>
  <c r="P7" i="7"/>
  <c r="P6" i="7"/>
  <c r="P14" i="7"/>
  <c r="P10" i="7"/>
  <c r="P13" i="7"/>
  <c r="P9" i="7"/>
  <c r="P12" i="7"/>
  <c r="P11" i="7"/>
  <c r="W14" i="37" l="1"/>
  <c r="W11" i="37"/>
  <c r="W13" i="37"/>
  <c r="X10" i="37"/>
  <c r="W12" i="37"/>
  <c r="V15" i="37"/>
  <c r="L20" i="28"/>
  <c r="R20" i="28"/>
  <c r="I21" i="28"/>
  <c r="D30" i="28"/>
  <c r="E29" i="28"/>
  <c r="G41" i="28"/>
  <c r="F26" i="28"/>
  <c r="B26" i="28" s="1"/>
  <c r="C25" i="28"/>
  <c r="B45" i="7"/>
  <c r="B46" i="7"/>
  <c r="B47" i="7"/>
  <c r="B48" i="7"/>
  <c r="B49" i="7"/>
  <c r="B42" i="7"/>
  <c r="B43" i="7"/>
  <c r="B44" i="7"/>
  <c r="B37" i="7"/>
  <c r="B38" i="7"/>
  <c r="B39" i="7"/>
  <c r="B40" i="7"/>
  <c r="B41"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6" i="7"/>
  <c r="H24" i="7"/>
  <c r="H22" i="7"/>
  <c r="H21" i="7"/>
  <c r="I6" i="7"/>
  <c r="I7" i="7" s="1"/>
  <c r="I8" i="7" s="1"/>
  <c r="I9" i="7" s="1"/>
  <c r="I10" i="7" s="1"/>
  <c r="I11" i="7" s="1"/>
  <c r="I12" i="7" s="1"/>
  <c r="I13" i="7" s="1"/>
  <c r="I14" i="7" s="1"/>
  <c r="E6" i="7"/>
  <c r="E7" i="7" s="1"/>
  <c r="E8" i="7" s="1"/>
  <c r="E9" i="7" s="1"/>
  <c r="E10" i="7" s="1"/>
  <c r="E11" i="7" s="1"/>
  <c r="E12" i="7" s="1"/>
  <c r="E13" i="7" s="1"/>
  <c r="E14" i="7" s="1"/>
  <c r="E15" i="7" s="1"/>
  <c r="E16" i="7" s="1"/>
  <c r="E17" i="7" s="1"/>
  <c r="E18" i="7" s="1"/>
  <c r="E19" i="7" s="1"/>
  <c r="E20" i="7" s="1"/>
  <c r="E21" i="7" s="1"/>
  <c r="E22" i="7" s="1"/>
  <c r="E23" i="7" s="1"/>
  <c r="E24" i="7" s="1"/>
  <c r="E25" i="7" s="1"/>
  <c r="E26" i="7" s="1"/>
  <c r="E27" i="7" s="1"/>
  <c r="E28" i="7" s="1"/>
  <c r="E29" i="7" s="1"/>
  <c r="E30" i="7" s="1"/>
  <c r="E31" i="7" s="1"/>
  <c r="E32" i="7" s="1"/>
  <c r="E33" i="7" s="1"/>
  <c r="E34" i="7" s="1"/>
  <c r="E35" i="7" s="1"/>
  <c r="E36" i="7" s="1"/>
  <c r="E37" i="7" s="1"/>
  <c r="E38" i="7" s="1"/>
  <c r="E39" i="7" s="1"/>
  <c r="E40" i="7" s="1"/>
  <c r="E41" i="7" s="1"/>
  <c r="E42" i="7" s="1"/>
  <c r="E43" i="7" s="1"/>
  <c r="E44" i="7" s="1"/>
  <c r="E45" i="7" s="1"/>
  <c r="E46" i="7" s="1"/>
  <c r="E47" i="7" s="1"/>
  <c r="E48" i="7" s="1"/>
  <c r="E49" i="7" s="1"/>
  <c r="H15" i="7"/>
  <c r="O15" i="7" s="1"/>
  <c r="H16" i="7"/>
  <c r="H2" i="6"/>
  <c r="H3" i="6"/>
  <c r="H4" i="6"/>
  <c r="H5" i="6"/>
  <c r="H6" i="6"/>
  <c r="H7" i="6"/>
  <c r="H8" i="6"/>
  <c r="H9" i="6"/>
  <c r="H10" i="6"/>
  <c r="H11" i="6"/>
  <c r="H12" i="6"/>
  <c r="C12" i="6"/>
  <c r="E12" i="6" s="1"/>
  <c r="C3" i="6"/>
  <c r="E3" i="6" s="1"/>
  <c r="C4" i="6"/>
  <c r="E4" i="6" s="1"/>
  <c r="C5" i="6"/>
  <c r="E5" i="6" s="1"/>
  <c r="C6" i="6"/>
  <c r="E6" i="6" s="1"/>
  <c r="C7" i="6"/>
  <c r="E7" i="6" s="1"/>
  <c r="C8" i="6"/>
  <c r="E8" i="6" s="1"/>
  <c r="C9" i="6"/>
  <c r="E9" i="6" s="1"/>
  <c r="C10" i="6"/>
  <c r="E10" i="6" s="1"/>
  <c r="C11" i="6"/>
  <c r="E11" i="6" s="1"/>
  <c r="C2" i="6"/>
  <c r="E2" i="6" s="1"/>
  <c r="O24" i="7" l="1"/>
  <c r="S24" i="7" s="1"/>
  <c r="O16" i="7"/>
  <c r="S16" i="7" s="1"/>
  <c r="O21" i="7"/>
  <c r="S21" i="7" s="1"/>
  <c r="O22" i="7"/>
  <c r="S22" i="7" s="1"/>
  <c r="X14" i="37"/>
  <c r="X11" i="37"/>
  <c r="Y10" i="37"/>
  <c r="X12" i="37"/>
  <c r="X13" i="37"/>
  <c r="W15" i="37"/>
  <c r="I22" i="28"/>
  <c r="L21" i="28"/>
  <c r="R21" i="28"/>
  <c r="D31" i="28"/>
  <c r="E30" i="28"/>
  <c r="G42" i="28"/>
  <c r="F27" i="28"/>
  <c r="B27" i="28" s="1"/>
  <c r="C26" i="28"/>
  <c r="G2" i="6"/>
  <c r="H4" i="7"/>
  <c r="I15" i="7"/>
  <c r="I16" i="7" s="1"/>
  <c r="I17" i="7" s="1"/>
  <c r="I18" i="7" s="1"/>
  <c r="I19" i="7" s="1"/>
  <c r="I20" i="7" s="1"/>
  <c r="I21" i="7" s="1"/>
  <c r="I22" i="7" s="1"/>
  <c r="I23" i="7" s="1"/>
  <c r="I24" i="7" s="1"/>
  <c r="I25" i="7" s="1"/>
  <c r="I26" i="7" s="1"/>
  <c r="I27" i="7" s="1"/>
  <c r="I28" i="7" s="1"/>
  <c r="I29" i="7" s="1"/>
  <c r="I30" i="7" s="1"/>
  <c r="I31" i="7" s="1"/>
  <c r="I32" i="7" s="1"/>
  <c r="I33" i="7" s="1"/>
  <c r="I34" i="7" s="1"/>
  <c r="I35" i="7" s="1"/>
  <c r="I36" i="7" s="1"/>
  <c r="I37" i="7" s="1"/>
  <c r="I38" i="7" s="1"/>
  <c r="I39" i="7" s="1"/>
  <c r="I40" i="7" s="1"/>
  <c r="I41" i="7" s="1"/>
  <c r="I42" i="7" s="1"/>
  <c r="I43" i="7" s="1"/>
  <c r="I44" i="7" s="1"/>
  <c r="I45" i="7" s="1"/>
  <c r="I46" i="7" s="1"/>
  <c r="I47" i="7" s="1"/>
  <c r="I48" i="7" s="1"/>
  <c r="I49" i="7" s="1"/>
  <c r="G11" i="6"/>
  <c r="G7" i="6"/>
  <c r="G3" i="6"/>
  <c r="G12" i="6"/>
  <c r="G8" i="6"/>
  <c r="G4" i="6"/>
  <c r="G9" i="6"/>
  <c r="G5" i="6"/>
  <c r="G10" i="6"/>
  <c r="G6" i="6"/>
  <c r="O4" i="7" l="1"/>
  <c r="S15" i="7"/>
  <c r="Y14" i="37"/>
  <c r="Y11" i="37"/>
  <c r="Y13" i="37"/>
  <c r="Z10" i="37"/>
  <c r="Y12" i="37"/>
  <c r="X15" i="37"/>
  <c r="I36" i="33"/>
  <c r="L22" i="28"/>
  <c r="R22" i="28"/>
  <c r="I23" i="28"/>
  <c r="D32" i="28"/>
  <c r="E31" i="28"/>
  <c r="G43" i="28"/>
  <c r="F28" i="28"/>
  <c r="F29" i="28" s="1"/>
  <c r="C27" i="28"/>
  <c r="P17" i="7"/>
  <c r="P22" i="7"/>
  <c r="P25" i="7"/>
  <c r="P15" i="7"/>
  <c r="P18" i="7"/>
  <c r="P19" i="7"/>
  <c r="P16" i="7"/>
  <c r="P21" i="7"/>
  <c r="P23" i="7"/>
  <c r="P20" i="7"/>
  <c r="P41" i="7"/>
  <c r="P42" i="7"/>
  <c r="P24" i="7"/>
  <c r="P48" i="7"/>
  <c r="P43" i="7"/>
  <c r="P44" i="7"/>
  <c r="P49" i="7"/>
  <c r="P34" i="7"/>
  <c r="P32" i="7"/>
  <c r="P40" i="7"/>
  <c r="P28" i="7"/>
  <c r="P31" i="7"/>
  <c r="P29" i="7"/>
  <c r="P38" i="7"/>
  <c r="P30" i="7"/>
  <c r="P47" i="7"/>
  <c r="P45" i="7"/>
  <c r="P35" i="7"/>
  <c r="P33" i="7"/>
  <c r="P37" i="7"/>
  <c r="P39" i="7"/>
  <c r="P36" i="7"/>
  <c r="P46" i="7"/>
  <c r="P26" i="7"/>
  <c r="P27" i="7"/>
  <c r="Z14" i="37" l="1"/>
  <c r="Z11" i="37"/>
  <c r="Z13" i="37"/>
  <c r="AA10" i="37"/>
  <c r="Z12" i="37"/>
  <c r="Y15" i="37"/>
  <c r="I24" i="28"/>
  <c r="R23" i="28"/>
  <c r="L23" i="28"/>
  <c r="D33" i="28"/>
  <c r="E32" i="28"/>
  <c r="G44" i="28"/>
  <c r="B29" i="28"/>
  <c r="C29" i="28"/>
  <c r="F30" i="28"/>
  <c r="C28" i="28"/>
  <c r="B28" i="28"/>
  <c r="Z15" i="37" l="1"/>
  <c r="AA12" i="37"/>
  <c r="AA14" i="37"/>
  <c r="AA11" i="37"/>
  <c r="AA13" i="37"/>
  <c r="AB10" i="37"/>
  <c r="L24" i="28"/>
  <c r="I25" i="28"/>
  <c r="R24" i="28"/>
  <c r="D34" i="28"/>
  <c r="E33" i="28"/>
  <c r="G45" i="28"/>
  <c r="C30" i="28"/>
  <c r="F31" i="28"/>
  <c r="B30" i="28"/>
  <c r="AA15" i="37" l="1"/>
  <c r="AB12" i="37"/>
  <c r="AB14" i="37"/>
  <c r="AB11" i="37"/>
  <c r="AB13" i="37"/>
  <c r="AC10" i="37"/>
  <c r="L25" i="28"/>
  <c r="I26" i="28"/>
  <c r="R25" i="28"/>
  <c r="D35" i="28"/>
  <c r="E34" i="28"/>
  <c r="G46" i="28"/>
  <c r="F32" i="28"/>
  <c r="B31" i="28"/>
  <c r="C31" i="28"/>
  <c r="AC12" i="37" l="1"/>
  <c r="AC14" i="37"/>
  <c r="AC11" i="37"/>
  <c r="AC13" i="37"/>
  <c r="AD10" i="37"/>
  <c r="AB15" i="37"/>
  <c r="L26" i="28"/>
  <c r="I27" i="28"/>
  <c r="R26" i="28"/>
  <c r="D36" i="28"/>
  <c r="E35" i="28"/>
  <c r="G47" i="28"/>
  <c r="F33" i="28"/>
  <c r="B32" i="28"/>
  <c r="C32" i="28"/>
  <c r="AE10" i="37" l="1"/>
  <c r="AD12" i="37"/>
  <c r="AD11" i="37"/>
  <c r="AD13" i="37"/>
  <c r="AD14" i="37"/>
  <c r="AC15" i="37"/>
  <c r="L27" i="28"/>
  <c r="R27" i="28"/>
  <c r="I28" i="28"/>
  <c r="D37" i="28"/>
  <c r="E36" i="28"/>
  <c r="G48" i="28"/>
  <c r="B33" i="28"/>
  <c r="C33" i="28"/>
  <c r="F34" i="28"/>
  <c r="AD15" i="37" l="1"/>
  <c r="AF10" i="37"/>
  <c r="AE12" i="37"/>
  <c r="AE14" i="37"/>
  <c r="AE11" i="37"/>
  <c r="AE13" i="37"/>
  <c r="R28" i="28"/>
  <c r="I29" i="28"/>
  <c r="L28" i="28"/>
  <c r="D38" i="28"/>
  <c r="E37" i="28"/>
  <c r="G49" i="28"/>
  <c r="B34" i="28"/>
  <c r="C34" i="28"/>
  <c r="F35" i="28"/>
  <c r="AE15" i="37" l="1"/>
  <c r="AG10" i="37"/>
  <c r="AF12" i="37"/>
  <c r="AF14" i="37"/>
  <c r="AF11" i="37"/>
  <c r="AF13" i="37"/>
  <c r="L29" i="28"/>
  <c r="R29" i="28"/>
  <c r="I30" i="28"/>
  <c r="D39" i="28"/>
  <c r="E38" i="28"/>
  <c r="G50" i="28"/>
  <c r="B35" i="28"/>
  <c r="C35" i="28"/>
  <c r="F36" i="28"/>
  <c r="AF15" i="37" l="1"/>
  <c r="AG13" i="37"/>
  <c r="AH10" i="37"/>
  <c r="AG12" i="37"/>
  <c r="AG14" i="37"/>
  <c r="AG11" i="37"/>
  <c r="R30" i="28"/>
  <c r="I31" i="28"/>
  <c r="L30" i="28"/>
  <c r="D40" i="28"/>
  <c r="E39" i="28"/>
  <c r="G51" i="28"/>
  <c r="B36" i="28"/>
  <c r="C36" i="28"/>
  <c r="F37" i="28"/>
  <c r="AG15" i="37" l="1"/>
  <c r="AH13" i="37"/>
  <c r="AI10" i="37"/>
  <c r="AH12" i="37"/>
  <c r="AH14" i="37"/>
  <c r="AH11" i="37"/>
  <c r="I32" i="28"/>
  <c r="L31" i="28"/>
  <c r="R31" i="28"/>
  <c r="D41" i="28"/>
  <c r="E40" i="28"/>
  <c r="G52" i="28"/>
  <c r="B37" i="28"/>
  <c r="C37" i="28"/>
  <c r="F38" i="28"/>
  <c r="AH15" i="37" l="1"/>
  <c r="AI13" i="37"/>
  <c r="AJ10" i="37"/>
  <c r="AI12" i="37"/>
  <c r="AI14" i="37"/>
  <c r="AI11" i="37"/>
  <c r="I33" i="28"/>
  <c r="L32" i="28"/>
  <c r="R32" i="28"/>
  <c r="D42" i="28"/>
  <c r="E41" i="28"/>
  <c r="G53" i="28"/>
  <c r="B38" i="28"/>
  <c r="C38" i="28"/>
  <c r="F39" i="28"/>
  <c r="AI15" i="37" l="1"/>
  <c r="AJ13" i="37"/>
  <c r="AK10" i="37"/>
  <c r="AJ12" i="37"/>
  <c r="AJ11" i="37"/>
  <c r="AJ14" i="37"/>
  <c r="R33" i="28"/>
  <c r="L33" i="28"/>
  <c r="I34" i="28"/>
  <c r="D43" i="28"/>
  <c r="E42" i="28"/>
  <c r="G54" i="28"/>
  <c r="B39" i="28"/>
  <c r="C39" i="28"/>
  <c r="F40" i="28"/>
  <c r="AJ15" i="37" l="1"/>
  <c r="AK11" i="37"/>
  <c r="AK13" i="37"/>
  <c r="AL10" i="37"/>
  <c r="AK12" i="37"/>
  <c r="AK14" i="37"/>
  <c r="L34" i="28"/>
  <c r="I35" i="28"/>
  <c r="R34" i="28"/>
  <c r="D44" i="28"/>
  <c r="E43" i="28"/>
  <c r="G55" i="28"/>
  <c r="B40" i="28"/>
  <c r="C40" i="28"/>
  <c r="F41" i="28"/>
  <c r="AL11" i="37" l="1"/>
  <c r="AL13" i="37"/>
  <c r="AM10" i="37"/>
  <c r="AL12" i="37"/>
  <c r="AL14" i="37"/>
  <c r="AK15" i="37"/>
  <c r="L35" i="28"/>
  <c r="R35" i="28"/>
  <c r="I36" i="28"/>
  <c r="D45" i="28"/>
  <c r="E44" i="28"/>
  <c r="G56" i="28"/>
  <c r="B41" i="28"/>
  <c r="C41" i="28"/>
  <c r="F42" i="28"/>
  <c r="AM14" i="37" l="1"/>
  <c r="AM11" i="37"/>
  <c r="AM13" i="37"/>
  <c r="AN10" i="37"/>
  <c r="AM12" i="37"/>
  <c r="AL15" i="37"/>
  <c r="R36" i="28"/>
  <c r="I37" i="28"/>
  <c r="L36" i="28"/>
  <c r="D46" i="28"/>
  <c r="E45" i="28"/>
  <c r="G57" i="28"/>
  <c r="B42" i="28"/>
  <c r="C42" i="28"/>
  <c r="F43" i="28"/>
  <c r="AN14" i="37" l="1"/>
  <c r="AN11" i="37"/>
  <c r="AO10" i="37"/>
  <c r="AN12" i="37"/>
  <c r="AN13" i="37"/>
  <c r="AM15" i="37"/>
  <c r="R37" i="28"/>
  <c r="L37" i="28"/>
  <c r="I38" i="28"/>
  <c r="D47" i="28"/>
  <c r="E46" i="28"/>
  <c r="G58" i="28"/>
  <c r="B43" i="28"/>
  <c r="C43" i="28"/>
  <c r="F44" i="28"/>
  <c r="AN15" i="37" l="1"/>
  <c r="AO14" i="37"/>
  <c r="AO11" i="37"/>
  <c r="AO13" i="37"/>
  <c r="AP10" i="37"/>
  <c r="AO12" i="37"/>
  <c r="L38" i="28"/>
  <c r="I39" i="28"/>
  <c r="R38" i="28"/>
  <c r="D48" i="28"/>
  <c r="E47" i="28"/>
  <c r="G59" i="28"/>
  <c r="B44" i="28"/>
  <c r="C44" i="28"/>
  <c r="F45" i="28"/>
  <c r="AO15" i="37" l="1"/>
  <c r="AP14" i="37"/>
  <c r="AP11" i="37"/>
  <c r="AP13" i="37"/>
  <c r="AQ10" i="37"/>
  <c r="AP12" i="37"/>
  <c r="L39" i="28"/>
  <c r="R39" i="28"/>
  <c r="I40" i="28"/>
  <c r="D49" i="28"/>
  <c r="E48" i="28"/>
  <c r="G60" i="28"/>
  <c r="B45" i="28"/>
  <c r="C45" i="28"/>
  <c r="F46" i="28"/>
  <c r="AQ12" i="37" l="1"/>
  <c r="AQ14" i="37"/>
  <c r="AQ11" i="37"/>
  <c r="AQ13" i="37"/>
  <c r="AR10" i="37"/>
  <c r="AP15" i="37"/>
  <c r="L40" i="28"/>
  <c r="I41" i="28"/>
  <c r="R40" i="28"/>
  <c r="D50" i="28"/>
  <c r="E49" i="28"/>
  <c r="G61" i="28"/>
  <c r="C46" i="28"/>
  <c r="F47" i="28"/>
  <c r="B46" i="28"/>
  <c r="AQ15" i="37" l="1"/>
  <c r="AR12" i="37"/>
  <c r="AR14" i="37"/>
  <c r="AR11" i="37"/>
  <c r="AR13" i="37"/>
  <c r="AS10" i="37"/>
  <c r="L41" i="28"/>
  <c r="R41" i="28"/>
  <c r="I42" i="28"/>
  <c r="D51" i="28"/>
  <c r="E50" i="28"/>
  <c r="G62" i="28"/>
  <c r="F48" i="28"/>
  <c r="B47" i="28"/>
  <c r="C47" i="28"/>
  <c r="AS12" i="37" l="1"/>
  <c r="AS14" i="37"/>
  <c r="AS11" i="37"/>
  <c r="AS13" i="37"/>
  <c r="AT10" i="37"/>
  <c r="AR15" i="37"/>
  <c r="L42" i="28"/>
  <c r="I43" i="28"/>
  <c r="R42" i="28"/>
  <c r="D52" i="28"/>
  <c r="E51" i="28"/>
  <c r="G63" i="28"/>
  <c r="F49" i="28"/>
  <c r="B48" i="28"/>
  <c r="C48" i="28"/>
  <c r="AU10" i="37" l="1"/>
  <c r="AT12" i="37"/>
  <c r="AT11" i="37"/>
  <c r="AT13" i="37"/>
  <c r="AT14" i="37"/>
  <c r="AS15" i="37"/>
  <c r="R43" i="28"/>
  <c r="L43" i="28"/>
  <c r="I44" i="28"/>
  <c r="D53" i="28"/>
  <c r="E52" i="28"/>
  <c r="G64" i="28"/>
  <c r="B49" i="28"/>
  <c r="C49" i="28"/>
  <c r="F50" i="28"/>
  <c r="AT15" i="37" l="1"/>
  <c r="AV10" i="37"/>
  <c r="AU12" i="37"/>
  <c r="AU14" i="37"/>
  <c r="AU11" i="37"/>
  <c r="AU13" i="37"/>
  <c r="R44" i="28"/>
  <c r="L44" i="28"/>
  <c r="I45" i="28"/>
  <c r="D54" i="28"/>
  <c r="E53" i="28"/>
  <c r="G65" i="28"/>
  <c r="B50" i="28"/>
  <c r="C50" i="28"/>
  <c r="F51" i="28"/>
  <c r="AU15" i="37" l="1"/>
  <c r="AW10" i="37"/>
  <c r="AV12" i="37"/>
  <c r="AV14" i="37"/>
  <c r="AV11" i="37"/>
  <c r="AV13" i="37"/>
  <c r="R45" i="28"/>
  <c r="L45" i="28"/>
  <c r="I46" i="28"/>
  <c r="D55" i="28"/>
  <c r="E54" i="28"/>
  <c r="G66" i="28"/>
  <c r="B51" i="28"/>
  <c r="C51" i="28"/>
  <c r="F52" i="28"/>
  <c r="AV15" i="37" l="1"/>
  <c r="AW13" i="37"/>
  <c r="AX10" i="37"/>
  <c r="AW12" i="37"/>
  <c r="AW14" i="37"/>
  <c r="AW11" i="37"/>
  <c r="L46" i="28"/>
  <c r="R46" i="28"/>
  <c r="I47" i="28"/>
  <c r="D56" i="28"/>
  <c r="E55" i="28"/>
  <c r="G67" i="28"/>
  <c r="B52" i="28"/>
  <c r="C52" i="28"/>
  <c r="F53" i="28"/>
  <c r="AW15" i="37" l="1"/>
  <c r="AX13" i="37"/>
  <c r="AY10" i="37"/>
  <c r="AX14" i="37"/>
  <c r="AX11" i="37"/>
  <c r="AX12" i="37"/>
  <c r="L47" i="28"/>
  <c r="R47" i="28"/>
  <c r="I48" i="28"/>
  <c r="D57" i="28"/>
  <c r="E56" i="28"/>
  <c r="G68" i="28"/>
  <c r="B53" i="28"/>
  <c r="C53" i="28"/>
  <c r="F54" i="28"/>
  <c r="AX15" i="37" l="1"/>
  <c r="AY13" i="37"/>
  <c r="AZ10" i="37"/>
  <c r="AY12" i="37"/>
  <c r="AY14" i="37"/>
  <c r="AY11" i="37"/>
  <c r="I49" i="28"/>
  <c r="R48" i="28"/>
  <c r="L48" i="28"/>
  <c r="D58" i="28"/>
  <c r="E57" i="28"/>
  <c r="G69" i="28"/>
  <c r="B54" i="28"/>
  <c r="C54" i="28"/>
  <c r="F55" i="28"/>
  <c r="AY15" i="37" l="1"/>
  <c r="AZ13" i="37"/>
  <c r="BA10" i="37"/>
  <c r="AZ12" i="37"/>
  <c r="AZ14" i="37"/>
  <c r="AZ11" i="37"/>
  <c r="I50" i="28"/>
  <c r="L49" i="28"/>
  <c r="R49" i="28"/>
  <c r="D59" i="28"/>
  <c r="E58" i="28"/>
  <c r="G70" i="28"/>
  <c r="B55" i="28"/>
  <c r="C55" i="28"/>
  <c r="F56" i="28"/>
  <c r="AZ15" i="37" l="1"/>
  <c r="BA11" i="37"/>
  <c r="BA13" i="37"/>
  <c r="BB10" i="37"/>
  <c r="BA12" i="37"/>
  <c r="BA14" i="37"/>
  <c r="L50" i="28"/>
  <c r="R50" i="28"/>
  <c r="I51" i="28"/>
  <c r="D60" i="28"/>
  <c r="E59" i="28"/>
  <c r="G71" i="28"/>
  <c r="B56" i="28"/>
  <c r="C56" i="28"/>
  <c r="F57" i="28"/>
  <c r="BB11" i="37" l="1"/>
  <c r="BB13" i="37"/>
  <c r="BC10" i="37"/>
  <c r="BB12" i="37"/>
  <c r="BB14" i="37"/>
  <c r="BA15" i="37"/>
  <c r="L51" i="28"/>
  <c r="R51" i="28"/>
  <c r="I52" i="28"/>
  <c r="D61" i="28"/>
  <c r="E60" i="28"/>
  <c r="G72" i="28"/>
  <c r="B57" i="28"/>
  <c r="C57" i="28"/>
  <c r="F58" i="28"/>
  <c r="BB15" i="37" l="1"/>
  <c r="BC14" i="37"/>
  <c r="BC11" i="37"/>
  <c r="BC13" i="37"/>
  <c r="BD10" i="37"/>
  <c r="BC12" i="37"/>
  <c r="L52" i="28"/>
  <c r="R52" i="28"/>
  <c r="I53" i="28"/>
  <c r="D62" i="28"/>
  <c r="E61" i="28"/>
  <c r="G73" i="28"/>
  <c r="B58" i="28"/>
  <c r="C58" i="28"/>
  <c r="F59" i="28"/>
  <c r="BC15" i="37" l="1"/>
  <c r="BD14" i="37"/>
  <c r="BD11" i="37"/>
  <c r="BE10" i="37"/>
  <c r="BD12" i="37"/>
  <c r="BD13" i="37"/>
  <c r="I54" i="28"/>
  <c r="L53" i="28"/>
  <c r="R53" i="28"/>
  <c r="D63" i="28"/>
  <c r="E62" i="28"/>
  <c r="G74" i="28"/>
  <c r="B59" i="28"/>
  <c r="C59" i="28"/>
  <c r="F60" i="28"/>
  <c r="BE14" i="37" l="1"/>
  <c r="BE11" i="37"/>
  <c r="BE13" i="37"/>
  <c r="BF10" i="37"/>
  <c r="BE12" i="37"/>
  <c r="BD15" i="37"/>
  <c r="L54" i="28"/>
  <c r="R54" i="28"/>
  <c r="I55" i="28"/>
  <c r="D64" i="28"/>
  <c r="E63" i="28"/>
  <c r="G75" i="28"/>
  <c r="B60" i="28"/>
  <c r="C60" i="28"/>
  <c r="F61" i="28"/>
  <c r="BF14" i="37" l="1"/>
  <c r="BF11" i="37"/>
  <c r="BF13" i="37"/>
  <c r="BG10" i="37"/>
  <c r="BF12" i="37"/>
  <c r="BE15" i="37"/>
  <c r="L55" i="28"/>
  <c r="I56" i="28"/>
  <c r="R55" i="28"/>
  <c r="D65" i="28"/>
  <c r="E64" i="28"/>
  <c r="G76" i="28"/>
  <c r="C61" i="28"/>
  <c r="F62" i="28"/>
  <c r="B61" i="28"/>
  <c r="BG12" i="37" l="1"/>
  <c r="BG14" i="37"/>
  <c r="BG11" i="37"/>
  <c r="BG13" i="37"/>
  <c r="BH10" i="37"/>
  <c r="BF15" i="37"/>
  <c r="I57" i="28"/>
  <c r="L56" i="28"/>
  <c r="R56" i="28"/>
  <c r="D66" i="28"/>
  <c r="E65" i="28"/>
  <c r="G77" i="28"/>
  <c r="F63" i="28"/>
  <c r="B62" i="28"/>
  <c r="C62" i="28"/>
  <c r="BH12" i="37" l="1"/>
  <c r="BH14" i="37"/>
  <c r="BH11" i="37"/>
  <c r="BH13" i="37"/>
  <c r="BI10" i="37"/>
  <c r="BG15" i="37"/>
  <c r="L57" i="28"/>
  <c r="I58" i="28"/>
  <c r="R57" i="28"/>
  <c r="D67" i="28"/>
  <c r="E66" i="28"/>
  <c r="G78" i="28"/>
  <c r="F64" i="28"/>
  <c r="B63" i="28"/>
  <c r="C63" i="28"/>
  <c r="BI12" i="37" l="1"/>
  <c r="BI14" i="37"/>
  <c r="BI11" i="37"/>
  <c r="BI13" i="37"/>
  <c r="BJ10" i="37"/>
  <c r="BH15" i="37"/>
  <c r="L58" i="28"/>
  <c r="I59" i="28"/>
  <c r="R58" i="28"/>
  <c r="D68" i="28"/>
  <c r="E67" i="28"/>
  <c r="G79" i="28"/>
  <c r="B64" i="28"/>
  <c r="C64" i="28"/>
  <c r="F65" i="28"/>
  <c r="BI15" i="37" l="1"/>
  <c r="BK10" i="37"/>
  <c r="BJ12" i="37"/>
  <c r="BJ11" i="37"/>
  <c r="BJ13" i="37"/>
  <c r="BJ14" i="37"/>
  <c r="L59" i="28"/>
  <c r="I60" i="28"/>
  <c r="R59" i="28"/>
  <c r="D69" i="28"/>
  <c r="E68" i="28"/>
  <c r="G80" i="28"/>
  <c r="B65" i="28"/>
  <c r="C65" i="28"/>
  <c r="F66" i="28"/>
  <c r="BJ15" i="37" l="1"/>
  <c r="BL10" i="37"/>
  <c r="BK12" i="37"/>
  <c r="BK14" i="37"/>
  <c r="BK11" i="37"/>
  <c r="BK13" i="37"/>
  <c r="L60" i="28"/>
  <c r="I61" i="28"/>
  <c r="R60" i="28"/>
  <c r="D70" i="28"/>
  <c r="E69" i="28"/>
  <c r="G81" i="28"/>
  <c r="B66" i="28"/>
  <c r="C66" i="28"/>
  <c r="F67" i="28"/>
  <c r="BK15" i="37" l="1"/>
  <c r="BM10" i="37"/>
  <c r="BL12" i="37"/>
  <c r="BL14" i="37"/>
  <c r="BL11" i="37"/>
  <c r="BL13" i="37"/>
  <c r="I62" i="28"/>
  <c r="R61" i="28"/>
  <c r="L61" i="28"/>
  <c r="D71" i="28"/>
  <c r="E70" i="28"/>
  <c r="G82" i="28"/>
  <c r="B67" i="28"/>
  <c r="C67" i="28"/>
  <c r="F68" i="28"/>
  <c r="BL15" i="37" l="1"/>
  <c r="BM13" i="37"/>
  <c r="BN10" i="37"/>
  <c r="BM12" i="37"/>
  <c r="BM14" i="37"/>
  <c r="BM11" i="37"/>
  <c r="L62" i="28"/>
  <c r="R62" i="28"/>
  <c r="I63" i="28"/>
  <c r="D72" i="28"/>
  <c r="E71" i="28"/>
  <c r="G83" i="28"/>
  <c r="B68" i="28"/>
  <c r="C68" i="28"/>
  <c r="F69" i="28"/>
  <c r="BM15" i="37" l="1"/>
  <c r="BN13" i="37"/>
  <c r="BO10" i="37"/>
  <c r="BN14" i="37"/>
  <c r="BN11" i="37"/>
  <c r="BN12" i="37"/>
  <c r="L63" i="28"/>
  <c r="R63" i="28"/>
  <c r="I64" i="28"/>
  <c r="D73" i="28"/>
  <c r="E72" i="28"/>
  <c r="G84" i="28"/>
  <c r="C69" i="28"/>
  <c r="F70" i="28"/>
  <c r="B69" i="28"/>
  <c r="BN15" i="37" l="1"/>
  <c r="BO13" i="37"/>
  <c r="BP10" i="37"/>
  <c r="BO12" i="37"/>
  <c r="BO14" i="37"/>
  <c r="BO11" i="37"/>
  <c r="L64" i="28"/>
  <c r="R64" i="28"/>
  <c r="I65" i="28"/>
  <c r="D74" i="28"/>
  <c r="E73" i="28"/>
  <c r="G85" i="28"/>
  <c r="B70" i="28"/>
  <c r="F71" i="28"/>
  <c r="C70" i="28"/>
  <c r="BO15" i="37" l="1"/>
  <c r="BP13" i="37"/>
  <c r="BQ10" i="37"/>
  <c r="BP12" i="37"/>
  <c r="BP11" i="37"/>
  <c r="BP14" i="37"/>
  <c r="L65" i="28"/>
  <c r="I66" i="28"/>
  <c r="R65" i="28"/>
  <c r="D75" i="28"/>
  <c r="E74" i="28"/>
  <c r="G86" i="28"/>
  <c r="B71" i="28"/>
  <c r="C71" i="28"/>
  <c r="F72" i="28"/>
  <c r="BP15" i="37" l="1"/>
  <c r="BQ11" i="37"/>
  <c r="BQ13" i="37"/>
  <c r="BR10" i="37"/>
  <c r="BQ12" i="37"/>
  <c r="BQ14" i="37"/>
  <c r="L66" i="28"/>
  <c r="I67" i="28"/>
  <c r="R66" i="28"/>
  <c r="D76" i="28"/>
  <c r="E75" i="28"/>
  <c r="G87" i="28"/>
  <c r="B72" i="28"/>
  <c r="C72" i="28"/>
  <c r="F73" i="28"/>
  <c r="BQ15" i="37" l="1"/>
  <c r="BR11" i="37"/>
  <c r="BR13" i="37"/>
  <c r="BS10" i="37"/>
  <c r="BR12" i="37"/>
  <c r="BR14" i="37"/>
  <c r="L67" i="28"/>
  <c r="R67" i="28"/>
  <c r="I68" i="28"/>
  <c r="D77" i="28"/>
  <c r="E76" i="28"/>
  <c r="G88" i="28"/>
  <c r="B73" i="28"/>
  <c r="C73" i="28"/>
  <c r="F74" i="28"/>
  <c r="BS14" i="37" l="1"/>
  <c r="BS11" i="37"/>
  <c r="BS13" i="37"/>
  <c r="BT10" i="37"/>
  <c r="BS12" i="37"/>
  <c r="BR15" i="37"/>
  <c r="I69" i="28"/>
  <c r="R68" i="28"/>
  <c r="L68" i="28"/>
  <c r="D78" i="28"/>
  <c r="E77" i="28"/>
  <c r="G89" i="28"/>
  <c r="B74" i="28"/>
  <c r="C74" i="28"/>
  <c r="F75" i="28"/>
  <c r="BT14" i="37" l="1"/>
  <c r="BT11" i="37"/>
  <c r="BU10" i="37"/>
  <c r="BT12" i="37"/>
  <c r="BT13" i="37"/>
  <c r="BS15" i="37"/>
  <c r="L69" i="28"/>
  <c r="R69" i="28"/>
  <c r="I70" i="28"/>
  <c r="D79" i="28"/>
  <c r="E78" i="28"/>
  <c r="G90" i="28"/>
  <c r="B75" i="28"/>
  <c r="C75" i="28"/>
  <c r="F76" i="28"/>
  <c r="BU14" i="37" l="1"/>
  <c r="BU11" i="37"/>
  <c r="BU13" i="37"/>
  <c r="BV10" i="37"/>
  <c r="BU12" i="37"/>
  <c r="BT15" i="37"/>
  <c r="I71" i="28"/>
  <c r="R70" i="28"/>
  <c r="L70" i="28"/>
  <c r="D80" i="28"/>
  <c r="E79" i="28"/>
  <c r="G91" i="28"/>
  <c r="B76" i="28"/>
  <c r="C76" i="28"/>
  <c r="F77" i="28"/>
  <c r="BV14" i="37" l="1"/>
  <c r="BV11" i="37"/>
  <c r="BV13" i="37"/>
  <c r="BW10" i="37"/>
  <c r="BV12" i="37"/>
  <c r="BU15" i="37"/>
  <c r="R71" i="28"/>
  <c r="L71" i="28"/>
  <c r="I72" i="28"/>
  <c r="D81" i="28"/>
  <c r="E80" i="28"/>
  <c r="G92" i="28"/>
  <c r="C77" i="28"/>
  <c r="F78" i="28"/>
  <c r="B77" i="28"/>
  <c r="BW12" i="37" l="1"/>
  <c r="BW14" i="37"/>
  <c r="BW11" i="37"/>
  <c r="BW13" i="37"/>
  <c r="BX10" i="37"/>
  <c r="BV15" i="37"/>
  <c r="R72" i="28"/>
  <c r="I73" i="28"/>
  <c r="L72" i="28"/>
  <c r="D82" i="28"/>
  <c r="E81" i="28"/>
  <c r="G93" i="28"/>
  <c r="F79" i="28"/>
  <c r="B78" i="28"/>
  <c r="C78" i="28"/>
  <c r="BW15" i="37" l="1"/>
  <c r="BX12" i="37"/>
  <c r="BX14" i="37"/>
  <c r="BX11" i="37"/>
  <c r="BX13" i="37"/>
  <c r="BY10" i="37"/>
  <c r="I74" i="28"/>
  <c r="L73" i="28"/>
  <c r="R73" i="28"/>
  <c r="D83" i="28"/>
  <c r="E82" i="28"/>
  <c r="G94" i="28"/>
  <c r="F80" i="28"/>
  <c r="B79" i="28"/>
  <c r="C79" i="28"/>
  <c r="BX15" i="37" l="1"/>
  <c r="BY12" i="37"/>
  <c r="BY14" i="37"/>
  <c r="BY11" i="37"/>
  <c r="BY13" i="37"/>
  <c r="BZ10" i="37"/>
  <c r="R74" i="28"/>
  <c r="L74" i="28"/>
  <c r="I75" i="28"/>
  <c r="D84" i="28"/>
  <c r="E83" i="28"/>
  <c r="G95" i="28"/>
  <c r="B80" i="28"/>
  <c r="C80" i="28"/>
  <c r="F81" i="28"/>
  <c r="BY15" i="37" l="1"/>
  <c r="CA10" i="37"/>
  <c r="BZ12" i="37"/>
  <c r="BZ11" i="37"/>
  <c r="BZ13" i="37"/>
  <c r="BZ14" i="37"/>
  <c r="L75" i="28"/>
  <c r="R75" i="28"/>
  <c r="I76" i="28"/>
  <c r="D85" i="28"/>
  <c r="E84" i="28"/>
  <c r="G96" i="28"/>
  <c r="B81" i="28"/>
  <c r="C81" i="28"/>
  <c r="F82" i="28"/>
  <c r="BZ15" i="37" l="1"/>
  <c r="CB10" i="37"/>
  <c r="CA12" i="37"/>
  <c r="CA14" i="37"/>
  <c r="CA11" i="37"/>
  <c r="CA13" i="37"/>
  <c r="L76" i="28"/>
  <c r="I77" i="28"/>
  <c r="R76" i="28"/>
  <c r="D86" i="28"/>
  <c r="E85" i="28"/>
  <c r="G97" i="28"/>
  <c r="B82" i="28"/>
  <c r="C82" i="28"/>
  <c r="F83" i="28"/>
  <c r="CA15" i="37" l="1"/>
  <c r="CC10" i="37"/>
  <c r="CB12" i="37"/>
  <c r="CB14" i="37"/>
  <c r="CB11" i="37"/>
  <c r="CB13" i="37"/>
  <c r="L77" i="28"/>
  <c r="R77" i="28"/>
  <c r="I78" i="28"/>
  <c r="D87" i="28"/>
  <c r="E86" i="28"/>
  <c r="G98" i="28"/>
  <c r="B83" i="28"/>
  <c r="C83" i="28"/>
  <c r="F84" i="28"/>
  <c r="CB15" i="37" l="1"/>
  <c r="CC13" i="37"/>
  <c r="CD10" i="37"/>
  <c r="CC12" i="37"/>
  <c r="CC14" i="37"/>
  <c r="CC11" i="37"/>
  <c r="L78" i="28"/>
  <c r="R78" i="28"/>
  <c r="I79" i="28"/>
  <c r="D88" i="28"/>
  <c r="E87" i="28"/>
  <c r="G99" i="28"/>
  <c r="B84" i="28"/>
  <c r="C84" i="28"/>
  <c r="F85" i="28"/>
  <c r="CC15" i="37" l="1"/>
  <c r="CD13" i="37"/>
  <c r="CE10" i="37"/>
  <c r="CD14" i="37"/>
  <c r="CD11" i="37"/>
  <c r="CD12" i="37"/>
  <c r="L79" i="28"/>
  <c r="R79" i="28"/>
  <c r="I80" i="28"/>
  <c r="D89" i="28"/>
  <c r="E88" i="28"/>
  <c r="G100" i="28"/>
  <c r="C85" i="28"/>
  <c r="F86" i="28"/>
  <c r="B85" i="28"/>
  <c r="CD15" i="37" l="1"/>
  <c r="CE13" i="37"/>
  <c r="CF10" i="37"/>
  <c r="CE12" i="37"/>
  <c r="CE14" i="37"/>
  <c r="CE11" i="37"/>
  <c r="L80" i="28"/>
  <c r="I81" i="28"/>
  <c r="R80" i="28"/>
  <c r="D90" i="28"/>
  <c r="E89" i="28"/>
  <c r="G101" i="28"/>
  <c r="B86" i="28"/>
  <c r="F87" i="28"/>
  <c r="C86" i="28"/>
  <c r="CE15" i="37" l="1"/>
  <c r="CF13" i="37"/>
  <c r="CG10" i="37"/>
  <c r="CF12" i="37"/>
  <c r="CF14" i="37"/>
  <c r="CF11" i="37"/>
  <c r="L81" i="28"/>
  <c r="R81" i="28"/>
  <c r="I82" i="28"/>
  <c r="D91" i="28"/>
  <c r="E90" i="28"/>
  <c r="G102" i="28"/>
  <c r="B87" i="28"/>
  <c r="C87" i="28"/>
  <c r="F88" i="28"/>
  <c r="CF15" i="37" l="1"/>
  <c r="CG11" i="37"/>
  <c r="CG13" i="37"/>
  <c r="CH10" i="37"/>
  <c r="CG12" i="37"/>
  <c r="CG14" i="37"/>
  <c r="L82" i="28"/>
  <c r="I83" i="28"/>
  <c r="R82" i="28"/>
  <c r="D92" i="28"/>
  <c r="E91" i="28"/>
  <c r="G103" i="28"/>
  <c r="B88" i="28"/>
  <c r="C88" i="28"/>
  <c r="F89" i="28"/>
  <c r="CH11" i="37" l="1"/>
  <c r="CH13" i="37"/>
  <c r="CI10" i="37"/>
  <c r="CH12" i="37"/>
  <c r="CH14" i="37"/>
  <c r="CG15" i="37"/>
  <c r="I84" i="28"/>
  <c r="L83" i="28"/>
  <c r="R83" i="28"/>
  <c r="D93" i="28"/>
  <c r="E92" i="28"/>
  <c r="G104" i="28"/>
  <c r="B89" i="28"/>
  <c r="C89" i="28"/>
  <c r="F90" i="28"/>
  <c r="CI14" i="37" l="1"/>
  <c r="CI11" i="37"/>
  <c r="CI13" i="37"/>
  <c r="CJ10" i="37"/>
  <c r="CI12" i="37"/>
  <c r="CH15" i="37"/>
  <c r="L84" i="28"/>
  <c r="R84" i="28"/>
  <c r="I85" i="28"/>
  <c r="D94" i="28"/>
  <c r="E93" i="28"/>
  <c r="G105" i="28"/>
  <c r="B90" i="28"/>
  <c r="C90" i="28"/>
  <c r="F91" i="28"/>
  <c r="CJ14" i="37" l="1"/>
  <c r="CJ11" i="37"/>
  <c r="CK10" i="37"/>
  <c r="CJ12" i="37"/>
  <c r="CJ13" i="37"/>
  <c r="CI15" i="37"/>
  <c r="L85" i="28"/>
  <c r="R85" i="28"/>
  <c r="I86" i="28"/>
  <c r="D95" i="28"/>
  <c r="E94" i="28"/>
  <c r="G106" i="28"/>
  <c r="B91" i="28"/>
  <c r="C91" i="28"/>
  <c r="F92" i="28"/>
  <c r="CJ15" i="37" l="1"/>
  <c r="CK14" i="37"/>
  <c r="CK11" i="37"/>
  <c r="CK13" i="37"/>
  <c r="CL10" i="37"/>
  <c r="CK12" i="37"/>
  <c r="I87" i="28"/>
  <c r="R86" i="28"/>
  <c r="L86" i="28"/>
  <c r="D96" i="28"/>
  <c r="E95" i="28"/>
  <c r="G107" i="28"/>
  <c r="B92" i="28"/>
  <c r="C92" i="28"/>
  <c r="F93" i="28"/>
  <c r="CK15" i="37" l="1"/>
  <c r="CL14" i="37"/>
  <c r="CL11" i="37"/>
  <c r="CL13" i="37"/>
  <c r="CM10" i="37"/>
  <c r="CL12" i="37"/>
  <c r="L87" i="28"/>
  <c r="R87" i="28"/>
  <c r="I88" i="28"/>
  <c r="D97" i="28"/>
  <c r="E96" i="28"/>
  <c r="G108" i="28"/>
  <c r="C93" i="28"/>
  <c r="F94" i="28"/>
  <c r="B93" i="28"/>
  <c r="CL15" i="37" l="1"/>
  <c r="CM12" i="37"/>
  <c r="CM14" i="37"/>
  <c r="CM11" i="37"/>
  <c r="CM13" i="37"/>
  <c r="CN10" i="37"/>
  <c r="I89" i="28"/>
  <c r="R88" i="28"/>
  <c r="L88" i="28"/>
  <c r="D98" i="28"/>
  <c r="E97" i="28"/>
  <c r="G109" i="28"/>
  <c r="F95" i="28"/>
  <c r="B94" i="28"/>
  <c r="C94" i="28"/>
  <c r="CN12" i="37" l="1"/>
  <c r="CN14" i="37"/>
  <c r="CN11" i="37"/>
  <c r="CN13" i="37"/>
  <c r="CO10" i="37"/>
  <c r="CM15" i="37"/>
  <c r="R89" i="28"/>
  <c r="I90" i="28"/>
  <c r="L89" i="28"/>
  <c r="D99" i="28"/>
  <c r="E98" i="28"/>
  <c r="G110" i="28"/>
  <c r="F96" i="28"/>
  <c r="B95" i="28"/>
  <c r="C95" i="28"/>
  <c r="CO12" i="37" l="1"/>
  <c r="CO14" i="37"/>
  <c r="CO11" i="37"/>
  <c r="CO13" i="37"/>
  <c r="CP10" i="37"/>
  <c r="CN15" i="37"/>
  <c r="I91" i="28"/>
  <c r="L90" i="28"/>
  <c r="R90" i="28"/>
  <c r="D100" i="28"/>
  <c r="E99" i="28"/>
  <c r="G111" i="28"/>
  <c r="B96" i="28"/>
  <c r="C96" i="28"/>
  <c r="F97" i="28"/>
  <c r="CQ10" i="37" l="1"/>
  <c r="CP12" i="37"/>
  <c r="CP11" i="37"/>
  <c r="CP13" i="37"/>
  <c r="CP14" i="37"/>
  <c r="CO15" i="37"/>
  <c r="R91" i="28"/>
  <c r="L91" i="28"/>
  <c r="I92" i="28"/>
  <c r="D101" i="28"/>
  <c r="E100" i="28"/>
  <c r="G112" i="28"/>
  <c r="B97" i="28"/>
  <c r="C97" i="28"/>
  <c r="F98" i="28"/>
  <c r="CP15" i="37" l="1"/>
  <c r="CR10" i="37"/>
  <c r="CQ12" i="37"/>
  <c r="CQ14" i="37"/>
  <c r="CQ11" i="37"/>
  <c r="CQ13" i="37"/>
  <c r="L92" i="28"/>
  <c r="R92" i="28"/>
  <c r="I93" i="28"/>
  <c r="D102" i="28"/>
  <c r="E101" i="28"/>
  <c r="G113" i="28"/>
  <c r="B98" i="28"/>
  <c r="C98" i="28"/>
  <c r="F99" i="28"/>
  <c r="CQ15" i="37" l="1"/>
  <c r="CS10" i="37"/>
  <c r="CR12" i="37"/>
  <c r="CR14" i="37"/>
  <c r="CR11" i="37"/>
  <c r="CR13" i="37"/>
  <c r="L93" i="28"/>
  <c r="I94" i="28"/>
  <c r="R93" i="28"/>
  <c r="D103" i="28"/>
  <c r="E102" i="28"/>
  <c r="G114" i="28"/>
  <c r="B99" i="28"/>
  <c r="C99" i="28"/>
  <c r="F100" i="28"/>
  <c r="CR15" i="37" l="1"/>
  <c r="CS13" i="37"/>
  <c r="CT10" i="37"/>
  <c r="CS12" i="37"/>
  <c r="CS14" i="37"/>
  <c r="CS11" i="37"/>
  <c r="L94" i="28"/>
  <c r="R94" i="28"/>
  <c r="I95" i="28"/>
  <c r="D104" i="28"/>
  <c r="E103" i="28"/>
  <c r="G115" i="28"/>
  <c r="B100" i="28"/>
  <c r="C100" i="28"/>
  <c r="F101" i="28"/>
  <c r="CS15" i="37" l="1"/>
  <c r="CT13" i="37"/>
  <c r="CU10" i="37"/>
  <c r="CT14" i="37"/>
  <c r="CT11" i="37"/>
  <c r="CT12" i="37"/>
  <c r="L95" i="28"/>
  <c r="I96" i="28"/>
  <c r="R95" i="28"/>
  <c r="D105" i="28"/>
  <c r="E104" i="28"/>
  <c r="G116" i="28"/>
  <c r="C101" i="28"/>
  <c r="F102" i="28"/>
  <c r="B101" i="28"/>
  <c r="CT15" i="37" l="1"/>
  <c r="CU13" i="37"/>
  <c r="CV10" i="37"/>
  <c r="CU12" i="37"/>
  <c r="CU14" i="37"/>
  <c r="CU11" i="37"/>
  <c r="R96" i="28"/>
  <c r="I97" i="28"/>
  <c r="L96" i="28"/>
  <c r="D106" i="28"/>
  <c r="E105" i="28"/>
  <c r="G117" i="28"/>
  <c r="B102" i="28"/>
  <c r="F103" i="28"/>
  <c r="C102" i="28"/>
  <c r="CU15" i="37" l="1"/>
  <c r="CV13" i="37"/>
  <c r="CW10" i="37"/>
  <c r="CV12" i="37"/>
  <c r="CV11" i="37"/>
  <c r="CV14" i="37"/>
  <c r="L97" i="28"/>
  <c r="R97" i="28"/>
  <c r="I98" i="28"/>
  <c r="D107" i="28"/>
  <c r="E106" i="28"/>
  <c r="G118" i="28"/>
  <c r="B103" i="28"/>
  <c r="C103" i="28"/>
  <c r="F104" i="28"/>
  <c r="CV15" i="37" l="1"/>
  <c r="CW11" i="37"/>
  <c r="CW13" i="37"/>
  <c r="CX10" i="37"/>
  <c r="CW12" i="37"/>
  <c r="CW14" i="37"/>
  <c r="R98" i="28"/>
  <c r="L98" i="28"/>
  <c r="I99" i="28"/>
  <c r="D108" i="28"/>
  <c r="E107" i="28"/>
  <c r="G119" i="28"/>
  <c r="B104" i="28"/>
  <c r="C104" i="28"/>
  <c r="F105" i="28"/>
  <c r="CX11" i="37" l="1"/>
  <c r="CX13" i="37"/>
  <c r="CY10" i="37"/>
  <c r="CX12" i="37"/>
  <c r="CX14" i="37"/>
  <c r="CW15" i="37"/>
  <c r="R99" i="28"/>
  <c r="L99" i="28"/>
  <c r="I100" i="28"/>
  <c r="D109" i="28"/>
  <c r="E108" i="28"/>
  <c r="G120" i="28"/>
  <c r="B105" i="28"/>
  <c r="C105" i="28"/>
  <c r="F106" i="28"/>
  <c r="CY14" i="37" l="1"/>
  <c r="CY11" i="37"/>
  <c r="CY13" i="37"/>
  <c r="CZ10" i="37"/>
  <c r="CY12" i="37"/>
  <c r="CX15" i="37"/>
  <c r="L100" i="28"/>
  <c r="R100" i="28"/>
  <c r="I101" i="28"/>
  <c r="D110" i="28"/>
  <c r="E109" i="28"/>
  <c r="G121" i="28"/>
  <c r="B106" i="28"/>
  <c r="C106" i="28"/>
  <c r="F107" i="28"/>
  <c r="CY15" i="37" l="1"/>
  <c r="CZ14" i="37"/>
  <c r="CZ11" i="37"/>
  <c r="DA10" i="37"/>
  <c r="CZ12" i="37"/>
  <c r="CZ13" i="37"/>
  <c r="L101" i="28"/>
  <c r="R101" i="28"/>
  <c r="I102" i="28"/>
  <c r="D111" i="28"/>
  <c r="E110" i="28"/>
  <c r="G122" i="28"/>
  <c r="B107" i="28"/>
  <c r="C107" i="28"/>
  <c r="F108" i="28"/>
  <c r="CZ15" i="37" l="1"/>
  <c r="DA14" i="37"/>
  <c r="DA11" i="37"/>
  <c r="DA13" i="37"/>
  <c r="DB10" i="37"/>
  <c r="DA12" i="37"/>
  <c r="L102" i="28"/>
  <c r="R102" i="28"/>
  <c r="I103" i="28"/>
  <c r="D112" i="28"/>
  <c r="E111" i="28"/>
  <c r="G123" i="28"/>
  <c r="B108" i="28"/>
  <c r="C108" i="28"/>
  <c r="F109" i="28"/>
  <c r="DB14" i="37" l="1"/>
  <c r="DB11" i="37"/>
  <c r="DB13" i="37"/>
  <c r="DC10" i="37"/>
  <c r="DB12" i="37"/>
  <c r="DA15" i="37"/>
  <c r="R103" i="28"/>
  <c r="I104" i="28"/>
  <c r="L103" i="28"/>
  <c r="D113" i="28"/>
  <c r="E112" i="28"/>
  <c r="G124" i="28"/>
  <c r="C109" i="28"/>
  <c r="F110" i="28"/>
  <c r="B109" i="28"/>
  <c r="DC12" i="37" l="1"/>
  <c r="DC14" i="37"/>
  <c r="DC11" i="37"/>
  <c r="DC13" i="37"/>
  <c r="DD10" i="37"/>
  <c r="DB15" i="37"/>
  <c r="I105" i="28"/>
  <c r="L104" i="28"/>
  <c r="R104" i="28"/>
  <c r="D114" i="28"/>
  <c r="E113" i="28"/>
  <c r="G125" i="28"/>
  <c r="F111" i="28"/>
  <c r="C110" i="28"/>
  <c r="B110" i="28"/>
  <c r="DD12" i="37" l="1"/>
  <c r="DD14" i="37"/>
  <c r="DD11" i="37"/>
  <c r="DD13" i="37"/>
  <c r="DE10" i="37"/>
  <c r="DC15" i="37"/>
  <c r="R105" i="28"/>
  <c r="I106" i="28"/>
  <c r="L105" i="28"/>
  <c r="D115" i="28"/>
  <c r="E114" i="28"/>
  <c r="G126" i="28"/>
  <c r="F112" i="28"/>
  <c r="B111" i="28"/>
  <c r="C111" i="28"/>
  <c r="DD15" i="37" l="1"/>
  <c r="DE12" i="37"/>
  <c r="DE14" i="37"/>
  <c r="DE11" i="37"/>
  <c r="DE13" i="37"/>
  <c r="DF10" i="37"/>
  <c r="L106" i="28"/>
  <c r="I107" i="28"/>
  <c r="R106" i="28"/>
  <c r="D116" i="28"/>
  <c r="E115" i="28"/>
  <c r="G127" i="28"/>
  <c r="B112" i="28"/>
  <c r="C112" i="28"/>
  <c r="F113" i="28"/>
  <c r="DG10" i="37" l="1"/>
  <c r="DF12" i="37"/>
  <c r="DF11" i="37"/>
  <c r="DF13" i="37"/>
  <c r="DF14" i="37"/>
  <c r="DE15" i="37"/>
  <c r="R107" i="28"/>
  <c r="I108" i="28"/>
  <c r="L107" i="28"/>
  <c r="D117" i="28"/>
  <c r="E116" i="28"/>
  <c r="G128" i="28"/>
  <c r="B113" i="28"/>
  <c r="C113" i="28"/>
  <c r="F114" i="28"/>
  <c r="DF15" i="37" l="1"/>
  <c r="DH10" i="37"/>
  <c r="DG12" i="37"/>
  <c r="DG14" i="37"/>
  <c r="DG11" i="37"/>
  <c r="DG13" i="37"/>
  <c r="L108" i="28"/>
  <c r="I109" i="28"/>
  <c r="R108" i="28"/>
  <c r="D118" i="28"/>
  <c r="E117" i="28"/>
  <c r="G129" i="28"/>
  <c r="B114" i="28"/>
  <c r="C114" i="28"/>
  <c r="F115" i="28"/>
  <c r="DG15" i="37" l="1"/>
  <c r="DI10" i="37"/>
  <c r="DH12" i="37"/>
  <c r="DH14" i="37"/>
  <c r="DH11" i="37"/>
  <c r="DH13" i="37"/>
  <c r="L109" i="28"/>
  <c r="I110" i="28"/>
  <c r="R109" i="28"/>
  <c r="D119" i="28"/>
  <c r="E118" i="28"/>
  <c r="G130" i="28"/>
  <c r="B115" i="28"/>
  <c r="C115" i="28"/>
  <c r="F116" i="28"/>
  <c r="DH15" i="37" l="1"/>
  <c r="DI13" i="37"/>
  <c r="DJ10" i="37"/>
  <c r="DI12" i="37"/>
  <c r="DI14" i="37"/>
  <c r="DI11" i="37"/>
  <c r="R110" i="28"/>
  <c r="I111" i="28"/>
  <c r="L110" i="28"/>
  <c r="D120" i="28"/>
  <c r="E119" i="28"/>
  <c r="G131" i="28"/>
  <c r="B116" i="28"/>
  <c r="C116" i="28"/>
  <c r="F117" i="28"/>
  <c r="DI15" i="37" l="1"/>
  <c r="DJ13" i="37"/>
  <c r="DK10" i="37"/>
  <c r="DJ14" i="37"/>
  <c r="DJ11" i="37"/>
  <c r="DJ12" i="37"/>
  <c r="R111" i="28"/>
  <c r="L111" i="28"/>
  <c r="I112" i="28"/>
  <c r="D121" i="28"/>
  <c r="E120" i="28"/>
  <c r="G132" i="28"/>
  <c r="C117" i="28"/>
  <c r="F118" i="28"/>
  <c r="B117" i="28"/>
  <c r="DJ15" i="37" l="1"/>
  <c r="DK13" i="37"/>
  <c r="DL10" i="37"/>
  <c r="DK12" i="37"/>
  <c r="DK14" i="37"/>
  <c r="DK11" i="37"/>
  <c r="L112" i="28"/>
  <c r="R112" i="28"/>
  <c r="I113" i="28"/>
  <c r="D122" i="28"/>
  <c r="E121" i="28"/>
  <c r="G133" i="28"/>
  <c r="B118" i="28"/>
  <c r="F119" i="28"/>
  <c r="C118" i="28"/>
  <c r="DK15" i="37" l="1"/>
  <c r="DL13" i="37"/>
  <c r="DM10" i="37"/>
  <c r="DL12" i="37"/>
  <c r="DL11" i="37"/>
  <c r="DL14" i="37"/>
  <c r="R113" i="28"/>
  <c r="L113" i="28"/>
  <c r="I114" i="28"/>
  <c r="D123" i="28"/>
  <c r="E122" i="28"/>
  <c r="G134" i="28"/>
  <c r="B119" i="28"/>
  <c r="C119" i="28"/>
  <c r="F120" i="28"/>
  <c r="DL15" i="37" l="1"/>
  <c r="DM11" i="37"/>
  <c r="DM13" i="37"/>
  <c r="DN10" i="37"/>
  <c r="DM12" i="37"/>
  <c r="DM14" i="37"/>
  <c r="R114" i="28"/>
  <c r="L114" i="28"/>
  <c r="I115" i="28"/>
  <c r="D124" i="28"/>
  <c r="E123" i="28"/>
  <c r="G135" i="28"/>
  <c r="B120" i="28"/>
  <c r="C120" i="28"/>
  <c r="F121" i="28"/>
  <c r="DM15" i="37" l="1"/>
  <c r="DN11" i="37"/>
  <c r="DN13" i="37"/>
  <c r="DO10" i="37"/>
  <c r="DN12" i="37"/>
  <c r="DN14" i="37"/>
  <c r="L115" i="28"/>
  <c r="I116" i="28"/>
  <c r="R115" i="28"/>
  <c r="D125" i="28"/>
  <c r="E124" i="28"/>
  <c r="G136" i="28"/>
  <c r="B121" i="28"/>
  <c r="C121" i="28"/>
  <c r="F122" i="28"/>
  <c r="DN15" i="37" l="1"/>
  <c r="DO11" i="37"/>
  <c r="DO13" i="37"/>
  <c r="DP10" i="37"/>
  <c r="DO12" i="37"/>
  <c r="DO14" i="37"/>
  <c r="L116" i="28"/>
  <c r="I117" i="28"/>
  <c r="R116" i="28"/>
  <c r="D126" i="28"/>
  <c r="E125" i="28"/>
  <c r="G137" i="28"/>
  <c r="B122" i="28"/>
  <c r="C122" i="28"/>
  <c r="F123" i="28"/>
  <c r="DP11" i="37" l="1"/>
  <c r="DQ10" i="37"/>
  <c r="DP12" i="37"/>
  <c r="DP13" i="37"/>
  <c r="DP14" i="37"/>
  <c r="DO15" i="37"/>
  <c r="R117" i="28"/>
  <c r="L117" i="28"/>
  <c r="I118" i="28"/>
  <c r="D127" i="28"/>
  <c r="E126" i="28"/>
  <c r="G138" i="28"/>
  <c r="B123" i="28"/>
  <c r="C123" i="28"/>
  <c r="F124" i="28"/>
  <c r="DQ11" i="37" l="1"/>
  <c r="DQ13" i="37"/>
  <c r="DR10" i="37"/>
  <c r="DQ12" i="37"/>
  <c r="DQ14" i="37"/>
  <c r="DP15" i="37"/>
  <c r="I119" i="28"/>
  <c r="R118" i="28"/>
  <c r="L118" i="28"/>
  <c r="D128" i="28"/>
  <c r="E127" i="28"/>
  <c r="G139" i="28"/>
  <c r="B124" i="28"/>
  <c r="C124" i="28"/>
  <c r="F125" i="28"/>
  <c r="DR11" i="37" l="1"/>
  <c r="DR13" i="37"/>
  <c r="DS10" i="37"/>
  <c r="DR12" i="37"/>
  <c r="DR14" i="37"/>
  <c r="DQ15" i="37"/>
  <c r="I120" i="28"/>
  <c r="R119" i="28"/>
  <c r="L119" i="28"/>
  <c r="D129" i="28"/>
  <c r="E128" i="28"/>
  <c r="G140" i="28"/>
  <c r="C125" i="28"/>
  <c r="F126" i="28"/>
  <c r="B125" i="28"/>
  <c r="DS12" i="37" l="1"/>
  <c r="DS11" i="37"/>
  <c r="DS13" i="37"/>
  <c r="DT10" i="37"/>
  <c r="DS14" i="37"/>
  <c r="DR15" i="37"/>
  <c r="I121" i="28"/>
  <c r="L120" i="28"/>
  <c r="R120" i="28"/>
  <c r="D130" i="28"/>
  <c r="E129" i="28"/>
  <c r="G141" i="28"/>
  <c r="B126" i="28"/>
  <c r="C126" i="28"/>
  <c r="F127" i="28"/>
  <c r="DT12" i="37" l="1"/>
  <c r="DT11" i="37"/>
  <c r="DT13" i="37"/>
  <c r="DT14" i="37"/>
  <c r="DU10" i="37"/>
  <c r="DS15" i="37"/>
  <c r="R121" i="28"/>
  <c r="I122" i="28"/>
  <c r="L121" i="28"/>
  <c r="D131" i="28"/>
  <c r="E130" i="28"/>
  <c r="G142" i="28"/>
  <c r="B127" i="28"/>
  <c r="C127" i="28"/>
  <c r="F128" i="28"/>
  <c r="DT15" i="37" l="1"/>
  <c r="DU12" i="37"/>
  <c r="DU11" i="37"/>
  <c r="DU13" i="37"/>
  <c r="DU14" i="37"/>
  <c r="DV10" i="37"/>
  <c r="R122" i="28"/>
  <c r="I123" i="28"/>
  <c r="L122" i="28"/>
  <c r="D132" i="28"/>
  <c r="E131" i="28"/>
  <c r="G143" i="28"/>
  <c r="B128" i="28"/>
  <c r="C128" i="28"/>
  <c r="F129" i="28"/>
  <c r="DU15" i="37" l="1"/>
  <c r="DW10" i="37"/>
  <c r="DV12" i="37"/>
  <c r="DV11" i="37"/>
  <c r="DV13" i="37"/>
  <c r="DV14" i="37"/>
  <c r="L123" i="28"/>
  <c r="I124" i="28"/>
  <c r="R123" i="28"/>
  <c r="D133" i="28"/>
  <c r="E132" i="28"/>
  <c r="G144" i="28"/>
  <c r="B129" i="28"/>
  <c r="C129" i="28"/>
  <c r="F130" i="28"/>
  <c r="DV15" i="37" l="1"/>
  <c r="DX10" i="37"/>
  <c r="DW12" i="37"/>
  <c r="DW11" i="37"/>
  <c r="DW13" i="37"/>
  <c r="DW14" i="37"/>
  <c r="L124" i="28"/>
  <c r="I125" i="28"/>
  <c r="R124" i="28"/>
  <c r="D134" i="28"/>
  <c r="E133" i="28"/>
  <c r="G145" i="28"/>
  <c r="B130" i="28"/>
  <c r="C130" i="28"/>
  <c r="F131" i="28"/>
  <c r="DW15" i="37" l="1"/>
  <c r="DY10" i="37"/>
  <c r="DX12" i="37"/>
  <c r="DX11" i="37"/>
  <c r="DX13" i="37"/>
  <c r="DX14" i="37"/>
  <c r="I126" i="28"/>
  <c r="L125" i="28"/>
  <c r="R125" i="28"/>
  <c r="D135" i="28"/>
  <c r="E134" i="28"/>
  <c r="G146" i="28"/>
  <c r="C131" i="28"/>
  <c r="F132" i="28"/>
  <c r="B131" i="28"/>
  <c r="DX15" i="37" l="1"/>
  <c r="DY13" i="37"/>
  <c r="DZ10" i="37"/>
  <c r="DY12" i="37"/>
  <c r="DY11" i="37"/>
  <c r="DY14" i="37"/>
  <c r="R126" i="28"/>
  <c r="L126" i="28"/>
  <c r="I127" i="28"/>
  <c r="D136" i="28"/>
  <c r="E135" i="28"/>
  <c r="G147" i="28"/>
  <c r="F133" i="28"/>
  <c r="B132" i="28"/>
  <c r="C132" i="28"/>
  <c r="DY15" i="37" l="1"/>
  <c r="DZ13" i="37"/>
  <c r="EA10" i="37"/>
  <c r="DZ11" i="37"/>
  <c r="DZ12" i="37"/>
  <c r="DZ14" i="37"/>
  <c r="R127" i="28"/>
  <c r="L127" i="28"/>
  <c r="I128" i="28"/>
  <c r="D137" i="28"/>
  <c r="E136" i="28"/>
  <c r="G148" i="28"/>
  <c r="F134" i="28"/>
  <c r="B133" i="28"/>
  <c r="C133" i="28"/>
  <c r="DZ15" i="37" l="1"/>
  <c r="EA13" i="37"/>
  <c r="EB10" i="37"/>
  <c r="EA12" i="37"/>
  <c r="EA14" i="37"/>
  <c r="EA11" i="37"/>
  <c r="R128" i="28"/>
  <c r="I129" i="28"/>
  <c r="L128" i="28"/>
  <c r="D138" i="28"/>
  <c r="E137" i="28"/>
  <c r="G149" i="28"/>
  <c r="B134" i="28"/>
  <c r="C134" i="28"/>
  <c r="F135" i="28"/>
  <c r="EA15" i="37" l="1"/>
  <c r="EB13" i="37"/>
  <c r="EC10" i="37"/>
  <c r="EB12" i="37"/>
  <c r="EB14" i="37"/>
  <c r="EB11" i="37"/>
  <c r="L129" i="28"/>
  <c r="I130" i="28"/>
  <c r="R129" i="28"/>
  <c r="D139" i="28"/>
  <c r="E138" i="28"/>
  <c r="G150" i="28"/>
  <c r="B135" i="28"/>
  <c r="C135" i="28"/>
  <c r="F136" i="28"/>
  <c r="EB15" i="37" l="1"/>
  <c r="EC11" i="37"/>
  <c r="EC13" i="37"/>
  <c r="ED10" i="37"/>
  <c r="EC12" i="37"/>
  <c r="EC14" i="37"/>
  <c r="L130" i="28"/>
  <c r="I131" i="28"/>
  <c r="R130" i="28"/>
  <c r="D140" i="28"/>
  <c r="E139" i="28"/>
  <c r="G151" i="28"/>
  <c r="B136" i="28"/>
  <c r="C136" i="28"/>
  <c r="F137" i="28"/>
  <c r="ED11" i="37" l="1"/>
  <c r="ED13" i="37"/>
  <c r="EE10" i="37"/>
  <c r="ED12" i="37"/>
  <c r="ED14" i="37"/>
  <c r="EC15" i="37"/>
  <c r="L131" i="28"/>
  <c r="R131" i="28"/>
  <c r="I132" i="28"/>
  <c r="D141" i="28"/>
  <c r="E140" i="28"/>
  <c r="G152" i="28"/>
  <c r="B137" i="28"/>
  <c r="C137" i="28"/>
  <c r="F138" i="28"/>
  <c r="EE11" i="37" l="1"/>
  <c r="EE13" i="37"/>
  <c r="EF10" i="37"/>
  <c r="EE12" i="37"/>
  <c r="EE14" i="37"/>
  <c r="ED15" i="37"/>
  <c r="L132" i="28"/>
  <c r="I133" i="28"/>
  <c r="R132" i="28"/>
  <c r="D142" i="28"/>
  <c r="E141" i="28"/>
  <c r="G153" i="28"/>
  <c r="B138" i="28"/>
  <c r="C138" i="28"/>
  <c r="F139" i="28"/>
  <c r="EF11" i="37" l="1"/>
  <c r="EG10" i="37"/>
  <c r="EF12" i="37"/>
  <c r="EF13" i="37"/>
  <c r="EF14" i="37"/>
  <c r="EE15" i="37"/>
  <c r="I134" i="28"/>
  <c r="L133" i="28"/>
  <c r="R133" i="28"/>
  <c r="D143" i="28"/>
  <c r="E142" i="28"/>
  <c r="G154" i="28"/>
  <c r="C139" i="28"/>
  <c r="F140" i="28"/>
  <c r="B139" i="28"/>
  <c r="EG11" i="37" l="1"/>
  <c r="EG13" i="37"/>
  <c r="EH10" i="37"/>
  <c r="EG14" i="37"/>
  <c r="EG12" i="37"/>
  <c r="EF15" i="37"/>
  <c r="I135" i="28"/>
  <c r="R134" i="28"/>
  <c r="L134" i="28"/>
  <c r="D144" i="28"/>
  <c r="E143" i="28"/>
  <c r="G155" i="28"/>
  <c r="B140" i="28"/>
  <c r="F141" i="28"/>
  <c r="C140" i="28"/>
  <c r="EH11" i="37" l="1"/>
  <c r="EH13" i="37"/>
  <c r="EI10" i="37"/>
  <c r="EH14" i="37"/>
  <c r="EH12" i="37"/>
  <c r="EG15" i="37"/>
  <c r="R135" i="28"/>
  <c r="I136" i="28"/>
  <c r="L135" i="28"/>
  <c r="D145" i="28"/>
  <c r="E144" i="28"/>
  <c r="G156" i="28"/>
  <c r="B141" i="28"/>
  <c r="C141" i="28"/>
  <c r="F142" i="28"/>
  <c r="EH15" i="37" l="1"/>
  <c r="EI12" i="37"/>
  <c r="EI11" i="37"/>
  <c r="EI13" i="37"/>
  <c r="EJ10" i="37"/>
  <c r="EI14" i="37"/>
  <c r="I137" i="28"/>
  <c r="L136" i="28"/>
  <c r="R136" i="28"/>
  <c r="D146" i="28"/>
  <c r="E145" i="28"/>
  <c r="G157" i="28"/>
  <c r="B142" i="28"/>
  <c r="C142" i="28"/>
  <c r="F143" i="28"/>
  <c r="EI15" i="37" l="1"/>
  <c r="EJ12" i="37"/>
  <c r="EJ11" i="37"/>
  <c r="EJ13" i="37"/>
  <c r="EJ14" i="37"/>
  <c r="EK10" i="37"/>
  <c r="L137" i="28"/>
  <c r="I138" i="28"/>
  <c r="R137" i="28"/>
  <c r="D147" i="28"/>
  <c r="E146" i="28"/>
  <c r="G158" i="28"/>
  <c r="B143" i="28"/>
  <c r="C143" i="28"/>
  <c r="F144" i="28"/>
  <c r="EJ15" i="37" l="1"/>
  <c r="EK12" i="37"/>
  <c r="EK11" i="37"/>
  <c r="EK13" i="37"/>
  <c r="EL10" i="37"/>
  <c r="EK14" i="37"/>
  <c r="I139" i="28"/>
  <c r="L138" i="28"/>
  <c r="R138" i="28"/>
  <c r="D148" i="28"/>
  <c r="E147" i="28"/>
  <c r="G159" i="28"/>
  <c r="B144" i="28"/>
  <c r="C144" i="28"/>
  <c r="F145" i="28"/>
  <c r="EM10" i="37" l="1"/>
  <c r="EL12" i="37"/>
  <c r="EL11" i="37"/>
  <c r="EL13" i="37"/>
  <c r="EL14" i="37"/>
  <c r="EK15" i="37"/>
  <c r="R139" i="28"/>
  <c r="L139" i="28"/>
  <c r="I140" i="28"/>
  <c r="D149" i="28"/>
  <c r="E148" i="28"/>
  <c r="G160" i="28"/>
  <c r="B145" i="28"/>
  <c r="C145" i="28"/>
  <c r="F146" i="28"/>
  <c r="EL15" i="37" l="1"/>
  <c r="EN10" i="37"/>
  <c r="EM12" i="37"/>
  <c r="EM11" i="37"/>
  <c r="EM13" i="37"/>
  <c r="EM14" i="37"/>
  <c r="R140" i="28"/>
  <c r="I141" i="28"/>
  <c r="L140" i="28"/>
  <c r="D150" i="28"/>
  <c r="E149" i="28"/>
  <c r="G161" i="28"/>
  <c r="B146" i="28"/>
  <c r="C146" i="28"/>
  <c r="F147" i="28"/>
  <c r="EM15" i="37" l="1"/>
  <c r="EO10" i="37"/>
  <c r="EN12" i="37"/>
  <c r="EN11" i="37"/>
  <c r="EN13" i="37"/>
  <c r="EN14" i="37"/>
  <c r="L141" i="28"/>
  <c r="R141" i="28"/>
  <c r="I142" i="28"/>
  <c r="D151" i="28"/>
  <c r="E150" i="28"/>
  <c r="G162" i="28"/>
  <c r="C147" i="28"/>
  <c r="F148" i="28"/>
  <c r="B147" i="28"/>
  <c r="EN15" i="37" l="1"/>
  <c r="EO13" i="37"/>
  <c r="EP10" i="37"/>
  <c r="EO12" i="37"/>
  <c r="EO11" i="37"/>
  <c r="EO14" i="37"/>
  <c r="R142" i="28"/>
  <c r="L142" i="28"/>
  <c r="I143" i="28"/>
  <c r="D152" i="28"/>
  <c r="E151" i="28"/>
  <c r="G163" i="28"/>
  <c r="F149" i="28"/>
  <c r="B148" i="28"/>
  <c r="C148" i="28"/>
  <c r="EO15" i="37" l="1"/>
  <c r="EP13" i="37"/>
  <c r="EQ10" i="37"/>
  <c r="EP11" i="37"/>
  <c r="EP12" i="37"/>
  <c r="EP14" i="37"/>
  <c r="I144" i="28"/>
  <c r="R143" i="28"/>
  <c r="L143" i="28"/>
  <c r="D153" i="28"/>
  <c r="E152" i="28"/>
  <c r="G164" i="28"/>
  <c r="F150" i="28"/>
  <c r="B149" i="28"/>
  <c r="C149" i="28"/>
  <c r="EP15" i="37" l="1"/>
  <c r="EQ13" i="37"/>
  <c r="ER10" i="37"/>
  <c r="EQ12" i="37"/>
  <c r="EQ14" i="37"/>
  <c r="EQ11" i="37"/>
  <c r="R144" i="28"/>
  <c r="L144" i="28"/>
  <c r="I145" i="28"/>
  <c r="D154" i="28"/>
  <c r="E153" i="28"/>
  <c r="G165" i="28"/>
  <c r="B150" i="28"/>
  <c r="C150" i="28"/>
  <c r="F151" i="28"/>
  <c r="EQ15" i="37" l="1"/>
  <c r="ER13" i="37"/>
  <c r="ES10" i="37"/>
  <c r="ER12" i="37"/>
  <c r="ER11" i="37"/>
  <c r="ER14" i="37"/>
  <c r="L145" i="28"/>
  <c r="I146" i="28"/>
  <c r="R145" i="28"/>
  <c r="D155" i="28"/>
  <c r="E154" i="28"/>
  <c r="G166" i="28"/>
  <c r="B151" i="28"/>
  <c r="C151" i="28"/>
  <c r="F152" i="28"/>
  <c r="ER15" i="37" l="1"/>
  <c r="ES11" i="37"/>
  <c r="ES13" i="37"/>
  <c r="ET10" i="37"/>
  <c r="ES12" i="37"/>
  <c r="ES14" i="37"/>
  <c r="L146" i="28"/>
  <c r="I147" i="28"/>
  <c r="R146" i="28"/>
  <c r="D156" i="28"/>
  <c r="E155" i="28"/>
  <c r="G167" i="28"/>
  <c r="B152" i="28"/>
  <c r="C152" i="28"/>
  <c r="F153" i="28"/>
  <c r="ET11" i="37" l="1"/>
  <c r="ET13" i="37"/>
  <c r="EU10" i="37"/>
  <c r="ET12" i="37"/>
  <c r="ET14" i="37"/>
  <c r="ES15" i="37"/>
  <c r="R147" i="28"/>
  <c r="I148" i="28"/>
  <c r="L147" i="28"/>
  <c r="D157" i="28"/>
  <c r="E156" i="28"/>
  <c r="G168" i="28"/>
  <c r="B153" i="28"/>
  <c r="C153" i="28"/>
  <c r="F154" i="28"/>
  <c r="EU11" i="37" l="1"/>
  <c r="EU13" i="37"/>
  <c r="EV10" i="37"/>
  <c r="EU12" i="37"/>
  <c r="EU14" i="37"/>
  <c r="ET15" i="37"/>
  <c r="L148" i="28"/>
  <c r="I149" i="28"/>
  <c r="R148" i="28"/>
  <c r="D158" i="28"/>
  <c r="E157" i="28"/>
  <c r="G169" i="28"/>
  <c r="B154" i="28"/>
  <c r="C154" i="28"/>
  <c r="F155" i="28"/>
  <c r="EV11" i="37" l="1"/>
  <c r="EW10" i="37"/>
  <c r="EV12" i="37"/>
  <c r="EV13" i="37"/>
  <c r="EV14" i="37"/>
  <c r="EU15" i="37"/>
  <c r="L149" i="28"/>
  <c r="R149" i="28"/>
  <c r="I150" i="28"/>
  <c r="D159" i="28"/>
  <c r="E158" i="28"/>
  <c r="G170" i="28"/>
  <c r="C155" i="28"/>
  <c r="F156" i="28"/>
  <c r="B155" i="28"/>
  <c r="EV15" i="37" l="1"/>
  <c r="EW11" i="37"/>
  <c r="EW13" i="37"/>
  <c r="EX10" i="37"/>
  <c r="EW14" i="37"/>
  <c r="EW12" i="37"/>
  <c r="I151" i="28"/>
  <c r="L150" i="28"/>
  <c r="R150" i="28"/>
  <c r="D160" i="28"/>
  <c r="E159" i="28"/>
  <c r="G171" i="28"/>
  <c r="B156" i="28"/>
  <c r="F157" i="28"/>
  <c r="C156" i="28"/>
  <c r="EW15" i="37" l="1"/>
  <c r="EX11" i="37"/>
  <c r="EX13" i="37"/>
  <c r="EY10" i="37"/>
  <c r="EX14" i="37"/>
  <c r="EX12" i="37"/>
  <c r="R151" i="28"/>
  <c r="L151" i="28"/>
  <c r="I152" i="28"/>
  <c r="D161" i="28"/>
  <c r="E160" i="28"/>
  <c r="G172" i="28"/>
  <c r="B157" i="28"/>
  <c r="C157" i="28"/>
  <c r="F158" i="28"/>
  <c r="EY12" i="37" l="1"/>
  <c r="EY11" i="37"/>
  <c r="EY13" i="37"/>
  <c r="EZ10" i="37"/>
  <c r="EY14" i="37"/>
  <c r="EX15" i="37"/>
  <c r="L152" i="28"/>
  <c r="I153" i="28"/>
  <c r="R152" i="28"/>
  <c r="D162" i="28"/>
  <c r="E161" i="28"/>
  <c r="G173" i="28"/>
  <c r="B158" i="28"/>
  <c r="C158" i="28"/>
  <c r="F159" i="28"/>
  <c r="EZ12" i="37" l="1"/>
  <c r="EZ11" i="37"/>
  <c r="EZ13" i="37"/>
  <c r="FA10" i="37"/>
  <c r="EZ14" i="37"/>
  <c r="EY15" i="37"/>
  <c r="I154" i="28"/>
  <c r="L153" i="28"/>
  <c r="R153" i="28"/>
  <c r="D163" i="28"/>
  <c r="E162" i="28"/>
  <c r="G174" i="28"/>
  <c r="B159" i="28"/>
  <c r="C159" i="28"/>
  <c r="F160" i="28"/>
  <c r="FA12" i="37" l="1"/>
  <c r="FA11" i="37"/>
  <c r="FA13" i="37"/>
  <c r="FB10" i="37"/>
  <c r="FA14" i="37"/>
  <c r="EZ15" i="37"/>
  <c r="I155" i="28"/>
  <c r="R154" i="28"/>
  <c r="L154" i="28"/>
  <c r="D164" i="28"/>
  <c r="E163" i="28"/>
  <c r="G175" i="28"/>
  <c r="B160" i="28"/>
  <c r="C160" i="28"/>
  <c r="F161" i="28"/>
  <c r="FC10" i="37" l="1"/>
  <c r="FB12" i="37"/>
  <c r="FB11" i="37"/>
  <c r="FB14" i="37"/>
  <c r="FB13" i="37"/>
  <c r="FA15" i="37"/>
  <c r="L155" i="28"/>
  <c r="I156" i="28"/>
  <c r="R155" i="28"/>
  <c r="D165" i="28"/>
  <c r="E164" i="28"/>
  <c r="G176" i="28"/>
  <c r="B161" i="28"/>
  <c r="C161" i="28"/>
  <c r="F162" i="28"/>
  <c r="FB15" i="37" l="1"/>
  <c r="FD10" i="37"/>
  <c r="FC12" i="37"/>
  <c r="FC11" i="37"/>
  <c r="FC14" i="37"/>
  <c r="FC13" i="37"/>
  <c r="L156" i="28"/>
  <c r="I157" i="28"/>
  <c r="R156" i="28"/>
  <c r="D166" i="28"/>
  <c r="E165" i="28"/>
  <c r="G177" i="28"/>
  <c r="B162" i="28"/>
  <c r="C162" i="28"/>
  <c r="F163" i="28"/>
  <c r="FC15" i="37" l="1"/>
  <c r="FE10" i="37"/>
  <c r="FD12" i="37"/>
  <c r="FD11" i="37"/>
  <c r="FD14" i="37"/>
  <c r="FD13" i="37"/>
  <c r="L157" i="28"/>
  <c r="I158" i="28"/>
  <c r="R157" i="28"/>
  <c r="D167" i="28"/>
  <c r="E166" i="28"/>
  <c r="G178" i="28"/>
  <c r="C163" i="28"/>
  <c r="F164" i="28"/>
  <c r="B163" i="28"/>
  <c r="FD15" i="37" l="1"/>
  <c r="FE13" i="37"/>
  <c r="FF10" i="37"/>
  <c r="FE12" i="37"/>
  <c r="FE11" i="37"/>
  <c r="FE14" i="37"/>
  <c r="L158" i="28"/>
  <c r="R158" i="28"/>
  <c r="I159" i="28"/>
  <c r="D168" i="28"/>
  <c r="E167" i="28"/>
  <c r="G179" i="28"/>
  <c r="F165" i="28"/>
  <c r="B164" i="28"/>
  <c r="C164" i="28"/>
  <c r="FE15" i="37" l="1"/>
  <c r="FF13" i="37"/>
  <c r="FG10" i="37"/>
  <c r="FF11" i="37"/>
  <c r="FF12" i="37"/>
  <c r="FF14" i="37"/>
  <c r="L159" i="28"/>
  <c r="R159" i="28"/>
  <c r="I160" i="28"/>
  <c r="D169" i="28"/>
  <c r="E168" i="28"/>
  <c r="G180" i="28"/>
  <c r="F166" i="28"/>
  <c r="B165" i="28"/>
  <c r="C165" i="28"/>
  <c r="FG13" i="37" l="1"/>
  <c r="FH10" i="37"/>
  <c r="FG12" i="37"/>
  <c r="FG11" i="37"/>
  <c r="FG14" i="37"/>
  <c r="FF15" i="37"/>
  <c r="L160" i="28"/>
  <c r="I161" i="28"/>
  <c r="R160" i="28"/>
  <c r="D170" i="28"/>
  <c r="E169" i="28"/>
  <c r="G181" i="28"/>
  <c r="B166" i="28"/>
  <c r="C166" i="28"/>
  <c r="F167" i="28"/>
  <c r="FG15" i="37" l="1"/>
  <c r="FH13" i="37"/>
  <c r="FI10" i="37"/>
  <c r="FH12" i="37"/>
  <c r="FH14" i="37"/>
  <c r="FH11" i="37"/>
  <c r="L161" i="28"/>
  <c r="R161" i="28"/>
  <c r="I162" i="28"/>
  <c r="D171" i="28"/>
  <c r="E170" i="28"/>
  <c r="G182" i="28"/>
  <c r="B167" i="28"/>
  <c r="C167" i="28"/>
  <c r="F168" i="28"/>
  <c r="FH15" i="37" l="1"/>
  <c r="FI11" i="37"/>
  <c r="FI13" i="37"/>
  <c r="FJ10" i="37"/>
  <c r="FI12" i="37"/>
  <c r="FI14" i="37"/>
  <c r="L162" i="28"/>
  <c r="I163" i="28"/>
  <c r="R162" i="28"/>
  <c r="D172" i="28"/>
  <c r="E171" i="28"/>
  <c r="G183" i="28"/>
  <c r="B168" i="28"/>
  <c r="C168" i="28"/>
  <c r="F169" i="28"/>
  <c r="FI15" i="37" l="1"/>
  <c r="FJ11" i="37"/>
  <c r="FJ13" i="37"/>
  <c r="FK10" i="37"/>
  <c r="FJ12" i="37"/>
  <c r="FJ14" i="37"/>
  <c r="R163" i="28"/>
  <c r="I164" i="28"/>
  <c r="L163" i="28"/>
  <c r="D173" i="28"/>
  <c r="E172" i="28"/>
  <c r="G184" i="28"/>
  <c r="B169" i="28"/>
  <c r="C169" i="28"/>
  <c r="F170" i="28"/>
  <c r="FJ15" i="37" l="1"/>
  <c r="FK11" i="37"/>
  <c r="FK13" i="37"/>
  <c r="FL10" i="37"/>
  <c r="FK12" i="37"/>
  <c r="FK14" i="37"/>
  <c r="L164" i="28"/>
  <c r="R164" i="28"/>
  <c r="I165" i="28"/>
  <c r="D174" i="28"/>
  <c r="E173" i="28"/>
  <c r="G185" i="28"/>
  <c r="B170" i="28"/>
  <c r="C170" i="28"/>
  <c r="F171" i="28"/>
  <c r="FK15" i="37" l="1"/>
  <c r="FL11" i="37"/>
  <c r="FM10" i="37"/>
  <c r="FL12" i="37"/>
  <c r="FL13" i="37"/>
  <c r="FL14" i="37"/>
  <c r="L165" i="28"/>
  <c r="I166" i="28"/>
  <c r="R165" i="28"/>
  <c r="D175" i="28"/>
  <c r="E174" i="28"/>
  <c r="G186" i="28"/>
  <c r="C171" i="28"/>
  <c r="F172" i="28"/>
  <c r="B171" i="28"/>
  <c r="FM11" i="37" l="1"/>
  <c r="FM13" i="37"/>
  <c r="FN10" i="37"/>
  <c r="FM14" i="37"/>
  <c r="FM12" i="37"/>
  <c r="FL15" i="37"/>
  <c r="R166" i="28"/>
  <c r="I167" i="28"/>
  <c r="L166" i="28"/>
  <c r="D176" i="28"/>
  <c r="E175" i="28"/>
  <c r="G187" i="28"/>
  <c r="B172" i="28"/>
  <c r="F173" i="28"/>
  <c r="C172" i="28"/>
  <c r="FN11" i="37" l="1"/>
  <c r="FN13" i="37"/>
  <c r="FO10" i="37"/>
  <c r="FN14" i="37"/>
  <c r="FN12" i="37"/>
  <c r="FM15" i="37"/>
  <c r="R167" i="28"/>
  <c r="L167" i="28"/>
  <c r="I168" i="28"/>
  <c r="D177" i="28"/>
  <c r="E176" i="28"/>
  <c r="G188" i="28"/>
  <c r="B173" i="28"/>
  <c r="C173" i="28"/>
  <c r="F174" i="28"/>
  <c r="FO12" i="37" l="1"/>
  <c r="FO11" i="37"/>
  <c r="FO13" i="37"/>
  <c r="FP10" i="37"/>
  <c r="FO14" i="37"/>
  <c r="FN15" i="37"/>
  <c r="R168" i="28"/>
  <c r="I169" i="28"/>
  <c r="L168" i="28"/>
  <c r="D178" i="28"/>
  <c r="E177" i="28"/>
  <c r="G189" i="28"/>
  <c r="B174" i="28"/>
  <c r="C174" i="28"/>
  <c r="F175" i="28"/>
  <c r="FP12" i="37" l="1"/>
  <c r="FP11" i="37"/>
  <c r="FP13" i="37"/>
  <c r="FQ10" i="37"/>
  <c r="FP14" i="37"/>
  <c r="FO15" i="37"/>
  <c r="R169" i="28"/>
  <c r="I170" i="28"/>
  <c r="L169" i="28"/>
  <c r="D179" i="28"/>
  <c r="E178" i="28"/>
  <c r="G190" i="28"/>
  <c r="B175" i="28"/>
  <c r="C175" i="28"/>
  <c r="F176" i="28"/>
  <c r="FQ12" i="37" l="1"/>
  <c r="FQ11" i="37"/>
  <c r="FQ13" i="37"/>
  <c r="FR10" i="37"/>
  <c r="FQ14" i="37"/>
  <c r="FP15" i="37"/>
  <c r="R170" i="28"/>
  <c r="I171" i="28"/>
  <c r="L170" i="28"/>
  <c r="D180" i="28"/>
  <c r="E179" i="28"/>
  <c r="G191" i="28"/>
  <c r="B176" i="28"/>
  <c r="C176" i="28"/>
  <c r="F177" i="28"/>
  <c r="FQ15" i="37" l="1"/>
  <c r="FS10" i="37"/>
  <c r="FR12" i="37"/>
  <c r="FR11" i="37"/>
  <c r="FR14" i="37"/>
  <c r="FR13" i="37"/>
  <c r="L171" i="28"/>
  <c r="I172" i="28"/>
  <c r="R171" i="28"/>
  <c r="D181" i="28"/>
  <c r="E180" i="28"/>
  <c r="G192" i="28"/>
  <c r="B177" i="28"/>
  <c r="C177" i="28"/>
  <c r="F178" i="28"/>
  <c r="FR15" i="37" l="1"/>
  <c r="FT10" i="37"/>
  <c r="FS12" i="37"/>
  <c r="FS11" i="37"/>
  <c r="FS14" i="37"/>
  <c r="FS13" i="37"/>
  <c r="I173" i="28"/>
  <c r="R172" i="28"/>
  <c r="L172" i="28"/>
  <c r="D182" i="28"/>
  <c r="E181" i="28"/>
  <c r="G193" i="28"/>
  <c r="B178" i="28"/>
  <c r="C178" i="28"/>
  <c r="F179" i="28"/>
  <c r="FS15" i="37" l="1"/>
  <c r="FU10" i="37"/>
  <c r="FT12" i="37"/>
  <c r="FT11" i="37"/>
  <c r="FT14" i="37"/>
  <c r="FT13" i="37"/>
  <c r="L173" i="28"/>
  <c r="R173" i="28"/>
  <c r="I174" i="28"/>
  <c r="D183" i="28"/>
  <c r="E182" i="28"/>
  <c r="G194" i="28"/>
  <c r="C179" i="28"/>
  <c r="F180" i="28"/>
  <c r="B179" i="28"/>
  <c r="FT15" i="37" l="1"/>
  <c r="FU13" i="37"/>
  <c r="FV10" i="37"/>
  <c r="FU12" i="37"/>
  <c r="FU11" i="37"/>
  <c r="FU14" i="37"/>
  <c r="L174" i="28"/>
  <c r="R174" i="28"/>
  <c r="I175" i="28"/>
  <c r="D184" i="28"/>
  <c r="E183" i="28"/>
  <c r="G195" i="28"/>
  <c r="F181" i="28"/>
  <c r="B180" i="28"/>
  <c r="C180" i="28"/>
  <c r="FU15" i="37" l="1"/>
  <c r="FV13" i="37"/>
  <c r="FW10" i="37"/>
  <c r="FV11" i="37"/>
  <c r="FV14" i="37"/>
  <c r="FV12" i="37"/>
  <c r="L175" i="28"/>
  <c r="I176" i="28"/>
  <c r="R175" i="28"/>
  <c r="D185" i="28"/>
  <c r="E184" i="28"/>
  <c r="G196" i="28"/>
  <c r="F182" i="28"/>
  <c r="B181" i="28"/>
  <c r="C181" i="28"/>
  <c r="FV15" i="37" l="1"/>
  <c r="FW13" i="37"/>
  <c r="FX10" i="37"/>
  <c r="FW12" i="37"/>
  <c r="FW11" i="37"/>
  <c r="FW14" i="37"/>
  <c r="L176" i="28"/>
  <c r="I177" i="28"/>
  <c r="R176" i="28"/>
  <c r="D186" i="28"/>
  <c r="E185" i="28"/>
  <c r="G197" i="28"/>
  <c r="C182" i="28"/>
  <c r="F183" i="28"/>
  <c r="B182" i="28"/>
  <c r="FW15" i="37" l="1"/>
  <c r="FX13" i="37"/>
  <c r="FY10" i="37"/>
  <c r="FX12" i="37"/>
  <c r="FX11" i="37"/>
  <c r="FX14" i="37"/>
  <c r="L177" i="28"/>
  <c r="R177" i="28"/>
  <c r="I178" i="28"/>
  <c r="D187" i="28"/>
  <c r="E186" i="28"/>
  <c r="G198" i="28"/>
  <c r="B183" i="28"/>
  <c r="F184" i="28"/>
  <c r="C183" i="28"/>
  <c r="FX15" i="37" l="1"/>
  <c r="FY11" i="37"/>
  <c r="FY13" i="37"/>
  <c r="FZ10" i="37"/>
  <c r="FY12" i="37"/>
  <c r="FY14" i="37"/>
  <c r="L178" i="28"/>
  <c r="I179" i="28"/>
  <c r="R178" i="28"/>
  <c r="D188" i="28"/>
  <c r="E187" i="28"/>
  <c r="G199" i="28"/>
  <c r="B184" i="28"/>
  <c r="C184" i="28"/>
  <c r="F185" i="28"/>
  <c r="FY15" i="37" l="1"/>
  <c r="FZ11" i="37"/>
  <c r="FZ13" i="37"/>
  <c r="GA10" i="37"/>
  <c r="FZ12" i="37"/>
  <c r="FZ14" i="37"/>
  <c r="R179" i="28"/>
  <c r="I180" i="28"/>
  <c r="L179" i="28"/>
  <c r="D189" i="28"/>
  <c r="E188" i="28"/>
  <c r="G200" i="28"/>
  <c r="B185" i="28"/>
  <c r="C185" i="28"/>
  <c r="F186" i="28"/>
  <c r="FZ15" i="37" l="1"/>
  <c r="GA11" i="37"/>
  <c r="GA13" i="37"/>
  <c r="GB10" i="37"/>
  <c r="GA12" i="37"/>
  <c r="GA14" i="37"/>
  <c r="L180" i="28"/>
  <c r="R180" i="28"/>
  <c r="I181" i="28"/>
  <c r="D190" i="28"/>
  <c r="E189" i="28"/>
  <c r="G201" i="28"/>
  <c r="B186" i="28"/>
  <c r="C186" i="28"/>
  <c r="F187" i="28"/>
  <c r="GB11" i="37" l="1"/>
  <c r="GC10" i="37"/>
  <c r="GB12" i="37"/>
  <c r="GB13" i="37"/>
  <c r="GB14" i="37"/>
  <c r="GA15" i="37"/>
  <c r="L181" i="28"/>
  <c r="R181" i="28"/>
  <c r="I182" i="28"/>
  <c r="D191" i="28"/>
  <c r="E190" i="28"/>
  <c r="G202" i="28"/>
  <c r="C187" i="28"/>
  <c r="F188" i="28"/>
  <c r="B187" i="28"/>
  <c r="GC11" i="37" l="1"/>
  <c r="GC13" i="37"/>
  <c r="GD10" i="37"/>
  <c r="GC14" i="37"/>
  <c r="GC12" i="37"/>
  <c r="GB15" i="37"/>
  <c r="L182" i="28"/>
  <c r="I183" i="28"/>
  <c r="R182" i="28"/>
  <c r="D192" i="28"/>
  <c r="E191" i="28"/>
  <c r="G203" i="28"/>
  <c r="B188" i="28"/>
  <c r="F189" i="28"/>
  <c r="C188" i="28"/>
  <c r="GD11" i="37" l="1"/>
  <c r="GD13" i="37"/>
  <c r="GE10" i="37"/>
  <c r="GD14" i="37"/>
  <c r="GD12" i="37"/>
  <c r="GC15" i="37"/>
  <c r="L183" i="28"/>
  <c r="I184" i="28"/>
  <c r="R183" i="28"/>
  <c r="D193" i="28"/>
  <c r="E192" i="28"/>
  <c r="G204" i="28"/>
  <c r="B189" i="28"/>
  <c r="C189" i="28"/>
  <c r="F190" i="28"/>
  <c r="GE12" i="37" l="1"/>
  <c r="GE11" i="37"/>
  <c r="GE13" i="37"/>
  <c r="GF10" i="37"/>
  <c r="GE14" i="37"/>
  <c r="GD15" i="37"/>
  <c r="L184" i="28"/>
  <c r="I185" i="28"/>
  <c r="R184" i="28"/>
  <c r="D194" i="28"/>
  <c r="E193" i="28"/>
  <c r="G205" i="28"/>
  <c r="B190" i="28"/>
  <c r="C190" i="28"/>
  <c r="F191" i="28"/>
  <c r="GE15" i="37" l="1"/>
  <c r="GF12" i="37"/>
  <c r="GF11" i="37"/>
  <c r="GF13" i="37"/>
  <c r="GF14" i="37"/>
  <c r="GG10" i="37"/>
  <c r="I186" i="28"/>
  <c r="R185" i="28"/>
  <c r="L185" i="28"/>
  <c r="D195" i="28"/>
  <c r="E194" i="28"/>
  <c r="G206" i="28"/>
  <c r="B191" i="28"/>
  <c r="C191" i="28"/>
  <c r="F192" i="28"/>
  <c r="GF15" i="37" l="1"/>
  <c r="GG12" i="37"/>
  <c r="GG11" i="37"/>
  <c r="GG13" i="37"/>
  <c r="GG14" i="37"/>
  <c r="GH10" i="37"/>
  <c r="L186" i="28"/>
  <c r="R186" i="28"/>
  <c r="I187" i="28"/>
  <c r="D196" i="28"/>
  <c r="E195" i="28"/>
  <c r="G207" i="28"/>
  <c r="B192" i="28"/>
  <c r="C192" i="28"/>
  <c r="F193" i="28"/>
  <c r="GI10" i="37" l="1"/>
  <c r="GH12" i="37"/>
  <c r="GH11" i="37"/>
  <c r="GH14" i="37"/>
  <c r="GH13" i="37"/>
  <c r="GG15" i="37"/>
  <c r="L187" i="28"/>
  <c r="R187" i="28"/>
  <c r="I188" i="28"/>
  <c r="D197" i="28"/>
  <c r="E196" i="28"/>
  <c r="G208" i="28"/>
  <c r="B193" i="28"/>
  <c r="C193" i="28"/>
  <c r="F194" i="28"/>
  <c r="GH15" i="37" l="1"/>
  <c r="GJ10" i="37"/>
  <c r="GI12" i="37"/>
  <c r="GI11" i="37"/>
  <c r="GI13" i="37"/>
  <c r="GI14" i="37"/>
  <c r="L188" i="28"/>
  <c r="I189" i="28"/>
  <c r="R188" i="28"/>
  <c r="D198" i="28"/>
  <c r="E197" i="28"/>
  <c r="G209" i="28"/>
  <c r="B194" i="28"/>
  <c r="C194" i="28"/>
  <c r="F195" i="28"/>
  <c r="GI15" i="37" l="1"/>
  <c r="GK10" i="37"/>
  <c r="GJ12" i="37"/>
  <c r="GJ11" i="37"/>
  <c r="GJ13" i="37"/>
  <c r="GJ14" i="37"/>
  <c r="L189" i="28"/>
  <c r="I190" i="28"/>
  <c r="R189" i="28"/>
  <c r="D199" i="28"/>
  <c r="E198" i="28"/>
  <c r="G210" i="28"/>
  <c r="C195" i="28"/>
  <c r="F196" i="28"/>
  <c r="B195" i="28"/>
  <c r="GK13" i="37" l="1"/>
  <c r="GL10" i="37"/>
  <c r="GK12" i="37"/>
  <c r="GK11" i="37"/>
  <c r="GK14" i="37"/>
  <c r="GJ15" i="37"/>
  <c r="L190" i="28"/>
  <c r="R190" i="28"/>
  <c r="I191" i="28"/>
  <c r="D200" i="28"/>
  <c r="E199" i="28"/>
  <c r="G211" i="28"/>
  <c r="F197" i="28"/>
  <c r="B196" i="28"/>
  <c r="C196" i="28"/>
  <c r="GK15" i="37" l="1"/>
  <c r="GL13" i="37"/>
  <c r="GM10" i="37"/>
  <c r="GL11" i="37"/>
  <c r="GL14" i="37"/>
  <c r="GL12" i="37"/>
  <c r="R191" i="28"/>
  <c r="L191" i="28"/>
  <c r="I192" i="28"/>
  <c r="D201" i="28"/>
  <c r="E200" i="28"/>
  <c r="G212" i="28"/>
  <c r="F198" i="28"/>
  <c r="B197" i="28"/>
  <c r="C197" i="28"/>
  <c r="GL15" i="37" l="1"/>
  <c r="GM13" i="37"/>
  <c r="GN10" i="37"/>
  <c r="GM12" i="37"/>
  <c r="GM14" i="37"/>
  <c r="GM11" i="37"/>
  <c r="L192" i="28"/>
  <c r="I193" i="28"/>
  <c r="R192" i="28"/>
  <c r="D202" i="28"/>
  <c r="E201" i="28"/>
  <c r="G213" i="28"/>
  <c r="B198" i="28"/>
  <c r="C198" i="28"/>
  <c r="F199" i="28"/>
  <c r="GM15" i="37" l="1"/>
  <c r="GN13" i="37"/>
  <c r="GO10" i="37"/>
  <c r="GN12" i="37"/>
  <c r="GN14" i="37"/>
  <c r="GN11" i="37"/>
  <c r="L193" i="28"/>
  <c r="R193" i="28"/>
  <c r="I194" i="28"/>
  <c r="D203" i="28"/>
  <c r="E202" i="28"/>
  <c r="G214" i="28"/>
  <c r="B199" i="28"/>
  <c r="F200" i="28"/>
  <c r="C199" i="28"/>
  <c r="GN15" i="37" l="1"/>
  <c r="GO11" i="37"/>
  <c r="GO13" i="37"/>
  <c r="GP10" i="37"/>
  <c r="GO12" i="37"/>
  <c r="GO14" i="37"/>
  <c r="L194" i="28"/>
  <c r="I195" i="28"/>
  <c r="R194" i="28"/>
  <c r="D204" i="28"/>
  <c r="E203" i="28"/>
  <c r="G215" i="28"/>
  <c r="B200" i="28"/>
  <c r="C200" i="28"/>
  <c r="F201" i="28"/>
  <c r="GP11" i="37" l="1"/>
  <c r="GP13" i="37"/>
  <c r="GQ10" i="37"/>
  <c r="GP12" i="37"/>
  <c r="GP14" i="37"/>
  <c r="GO15" i="37"/>
  <c r="L195" i="28"/>
  <c r="I196" i="28"/>
  <c r="R195" i="28"/>
  <c r="D205" i="28"/>
  <c r="E204" i="28"/>
  <c r="G216" i="28"/>
  <c r="B201" i="28"/>
  <c r="C201" i="28"/>
  <c r="F202" i="28"/>
  <c r="GQ11" i="37" l="1"/>
  <c r="GQ13" i="37"/>
  <c r="GR10" i="37"/>
  <c r="GQ12" i="37"/>
  <c r="GQ14" i="37"/>
  <c r="GP15" i="37"/>
  <c r="L196" i="28"/>
  <c r="I197" i="28"/>
  <c r="R196" i="28"/>
  <c r="D206" i="28"/>
  <c r="E205" i="28"/>
  <c r="G217" i="28"/>
  <c r="C202" i="28"/>
  <c r="F203" i="28"/>
  <c r="B202" i="28"/>
  <c r="GR11" i="37" l="1"/>
  <c r="GS10" i="37"/>
  <c r="GR12" i="37"/>
  <c r="GR13" i="37"/>
  <c r="GR14" i="37"/>
  <c r="GQ15" i="37"/>
  <c r="L197" i="28"/>
  <c r="I198" i="28"/>
  <c r="R197" i="28"/>
  <c r="D207" i="28"/>
  <c r="E206" i="28"/>
  <c r="G218" i="28"/>
  <c r="B203" i="28"/>
  <c r="F204" i="28"/>
  <c r="C203" i="28"/>
  <c r="GS11" i="37" l="1"/>
  <c r="GS13" i="37"/>
  <c r="GT10" i="37"/>
  <c r="GS14" i="37"/>
  <c r="GS12" i="37"/>
  <c r="GR15" i="37"/>
  <c r="R198" i="28"/>
  <c r="I199" i="28"/>
  <c r="L198" i="28"/>
  <c r="D208" i="28"/>
  <c r="E207" i="28"/>
  <c r="G219" i="28"/>
  <c r="B204" i="28"/>
  <c r="C204" i="28"/>
  <c r="F205" i="28"/>
  <c r="GS15" i="37" l="1"/>
  <c r="GT11" i="37"/>
  <c r="GT13" i="37"/>
  <c r="GU10" i="37"/>
  <c r="GT12" i="37"/>
  <c r="GT14" i="37"/>
  <c r="I200" i="28"/>
  <c r="L199" i="28"/>
  <c r="R199" i="28"/>
  <c r="D209" i="28"/>
  <c r="E208" i="28"/>
  <c r="G220" i="28"/>
  <c r="F206" i="28"/>
  <c r="B205" i="28"/>
  <c r="C205" i="28"/>
  <c r="GT15" i="37" l="1"/>
  <c r="GU12" i="37"/>
  <c r="GU11" i="37"/>
  <c r="GU13" i="37"/>
  <c r="GV10" i="37"/>
  <c r="GU14" i="37"/>
  <c r="L200" i="28"/>
  <c r="I201" i="28"/>
  <c r="R200" i="28"/>
  <c r="D210" i="28"/>
  <c r="E209" i="28"/>
  <c r="G221" i="28"/>
  <c r="B206" i="28"/>
  <c r="C206" i="28"/>
  <c r="F207" i="28"/>
  <c r="GV12" i="37" l="1"/>
  <c r="GV11" i="37"/>
  <c r="GV13" i="37"/>
  <c r="GV14" i="37"/>
  <c r="GW10" i="37"/>
  <c r="GU15" i="37"/>
  <c r="L201" i="28"/>
  <c r="R201" i="28"/>
  <c r="I202" i="28"/>
  <c r="D211" i="28"/>
  <c r="E210" i="28"/>
  <c r="G222" i="28"/>
  <c r="B207" i="28"/>
  <c r="C207" i="28"/>
  <c r="F208" i="28"/>
  <c r="GW12" i="37" l="1"/>
  <c r="GW11" i="37"/>
  <c r="GW13" i="37"/>
  <c r="GW14" i="37"/>
  <c r="GX10" i="37"/>
  <c r="GV15" i="37"/>
  <c r="L202" i="28"/>
  <c r="I203" i="28"/>
  <c r="R202" i="28"/>
  <c r="D212" i="28"/>
  <c r="E211" i="28"/>
  <c r="G223" i="28"/>
  <c r="B208" i="28"/>
  <c r="C208" i="28"/>
  <c r="F209" i="28"/>
  <c r="GY10" i="37" l="1"/>
  <c r="GX12" i="37"/>
  <c r="GX11" i="37"/>
  <c r="GX13" i="37"/>
  <c r="GX14" i="37"/>
  <c r="GW15" i="37"/>
  <c r="R203" i="28"/>
  <c r="L203" i="28"/>
  <c r="I204" i="28"/>
  <c r="D213" i="28"/>
  <c r="E212" i="28"/>
  <c r="G224" i="28"/>
  <c r="B209" i="28"/>
  <c r="C209" i="28"/>
  <c r="F210" i="28"/>
  <c r="GX15" i="37" l="1"/>
  <c r="GZ10" i="37"/>
  <c r="GY12" i="37"/>
  <c r="GY11" i="37"/>
  <c r="GY13" i="37"/>
  <c r="GY14" i="37"/>
  <c r="L204" i="28"/>
  <c r="R204" i="28"/>
  <c r="I205" i="28"/>
  <c r="D214" i="28"/>
  <c r="E213" i="28"/>
  <c r="G225" i="28"/>
  <c r="C210" i="28"/>
  <c r="F211" i="28"/>
  <c r="B210" i="28"/>
  <c r="GY15" i="37" l="1"/>
  <c r="HA10" i="37"/>
  <c r="GZ12" i="37"/>
  <c r="GZ11" i="37"/>
  <c r="GZ13" i="37"/>
  <c r="GZ14" i="37"/>
  <c r="L205" i="28"/>
  <c r="R205" i="28"/>
  <c r="I206" i="28"/>
  <c r="D215" i="28"/>
  <c r="E214" i="28"/>
  <c r="G226" i="28"/>
  <c r="F212" i="28"/>
  <c r="B211" i="28"/>
  <c r="C211" i="28"/>
  <c r="GZ15" i="37" l="1"/>
  <c r="HA13" i="37"/>
  <c r="HB10" i="37"/>
  <c r="HA12" i="37"/>
  <c r="HA11" i="37"/>
  <c r="HA14" i="37"/>
  <c r="L206" i="28"/>
  <c r="R206" i="28"/>
  <c r="I207" i="28"/>
  <c r="D216" i="28"/>
  <c r="E215" i="28"/>
  <c r="G227" i="28"/>
  <c r="F213" i="28"/>
  <c r="B212" i="28"/>
  <c r="C212" i="28"/>
  <c r="HA15" i="37" l="1"/>
  <c r="HB13" i="37"/>
  <c r="HC10" i="37"/>
  <c r="HB11" i="37"/>
  <c r="HB12" i="37"/>
  <c r="HB14" i="37"/>
  <c r="L207" i="28"/>
  <c r="I208" i="28"/>
  <c r="R207" i="28"/>
  <c r="D217" i="28"/>
  <c r="E216" i="28"/>
  <c r="G228" i="28"/>
  <c r="B213" i="28"/>
  <c r="C213" i="28"/>
  <c r="F214" i="28"/>
  <c r="HB15" i="37" l="1"/>
  <c r="HC13" i="37"/>
  <c r="HD10" i="37"/>
  <c r="HC12" i="37"/>
  <c r="HC14" i="37"/>
  <c r="HC11" i="37"/>
  <c r="I209" i="28"/>
  <c r="R208" i="28"/>
  <c r="L208" i="28"/>
  <c r="D218" i="28"/>
  <c r="E217" i="28"/>
  <c r="G229" i="28"/>
  <c r="F215" i="28"/>
  <c r="B214" i="28"/>
  <c r="C214" i="28"/>
  <c r="HC15" i="37" l="1"/>
  <c r="HD13" i="37"/>
  <c r="HE10" i="37"/>
  <c r="HD12" i="37"/>
  <c r="HD14" i="37"/>
  <c r="HD11" i="37"/>
  <c r="L209" i="28"/>
  <c r="I210" i="28"/>
  <c r="R209" i="28"/>
  <c r="D219" i="28"/>
  <c r="E218" i="28"/>
  <c r="G230" i="28"/>
  <c r="B215" i="28"/>
  <c r="C215" i="28"/>
  <c r="F216" i="28"/>
  <c r="HD15" i="37" l="1"/>
  <c r="HE11" i="37"/>
  <c r="HE13" i="37"/>
  <c r="HF10" i="37"/>
  <c r="HE12" i="37"/>
  <c r="HE14" i="37"/>
  <c r="L210" i="28"/>
  <c r="R210" i="28"/>
  <c r="I211" i="28"/>
  <c r="D220" i="28"/>
  <c r="E219" i="28"/>
  <c r="G231" i="28"/>
  <c r="B216" i="28"/>
  <c r="C216" i="28"/>
  <c r="F217" i="28"/>
  <c r="HF11" i="37" l="1"/>
  <c r="HF13" i="37"/>
  <c r="HG10" i="37"/>
  <c r="HF12" i="37"/>
  <c r="HF14" i="37"/>
  <c r="HE15" i="37"/>
  <c r="R211" i="28"/>
  <c r="I212" i="28"/>
  <c r="L211" i="28"/>
  <c r="D221" i="28"/>
  <c r="E220" i="28"/>
  <c r="G232" i="28"/>
  <c r="B217" i="28"/>
  <c r="C217" i="28"/>
  <c r="F218" i="28"/>
  <c r="HG11" i="37" l="1"/>
  <c r="HG13" i="37"/>
  <c r="HH10" i="37"/>
  <c r="HG12" i="37"/>
  <c r="HG14" i="37"/>
  <c r="HF15" i="37"/>
  <c r="L212" i="28"/>
  <c r="R212" i="28"/>
  <c r="I213" i="28"/>
  <c r="D222" i="28"/>
  <c r="E221" i="28"/>
  <c r="G233" i="28"/>
  <c r="B218" i="28"/>
  <c r="C218" i="28"/>
  <c r="F219" i="28"/>
  <c r="HG15" i="37" l="1"/>
  <c r="HH11" i="37"/>
  <c r="HI10" i="37"/>
  <c r="HH12" i="37"/>
  <c r="HH13" i="37"/>
  <c r="HH14" i="37"/>
  <c r="L213" i="28"/>
  <c r="R213" i="28"/>
  <c r="I214" i="28"/>
  <c r="D223" i="28"/>
  <c r="E222" i="28"/>
  <c r="G234" i="28"/>
  <c r="C219" i="28"/>
  <c r="B219" i="28"/>
  <c r="F220" i="28"/>
  <c r="HH15" i="37" l="1"/>
  <c r="HI11" i="37"/>
  <c r="HI13" i="37"/>
  <c r="HJ10" i="37"/>
  <c r="HI14" i="37"/>
  <c r="HI12" i="37"/>
  <c r="L214" i="28"/>
  <c r="R214" i="28"/>
  <c r="I215" i="28"/>
  <c r="D224" i="28"/>
  <c r="E223" i="28"/>
  <c r="G235" i="28"/>
  <c r="B220" i="28"/>
  <c r="C220" i="28"/>
  <c r="F221" i="28"/>
  <c r="HJ11" i="37" l="1"/>
  <c r="HJ13" i="37"/>
  <c r="HK10" i="37"/>
  <c r="HJ14" i="37"/>
  <c r="HJ12" i="37"/>
  <c r="HI15" i="37"/>
  <c r="L215" i="28"/>
  <c r="I216" i="28"/>
  <c r="R215" i="28"/>
  <c r="D225" i="28"/>
  <c r="E224" i="28"/>
  <c r="G236" i="28"/>
  <c r="F222" i="28"/>
  <c r="B221" i="28"/>
  <c r="C221" i="28"/>
  <c r="HK12" i="37" l="1"/>
  <c r="HK11" i="37"/>
  <c r="HK13" i="37"/>
  <c r="HL10" i="37"/>
  <c r="HK14" i="37"/>
  <c r="HJ15" i="37"/>
  <c r="L216" i="28"/>
  <c r="R216" i="28"/>
  <c r="I217" i="28"/>
  <c r="D226" i="28"/>
  <c r="E225" i="28"/>
  <c r="G237" i="28"/>
  <c r="B222" i="28"/>
  <c r="C222" i="28"/>
  <c r="F223" i="28"/>
  <c r="HL12" i="37" l="1"/>
  <c r="HL11" i="37"/>
  <c r="HL13" i="37"/>
  <c r="HL14" i="37"/>
  <c r="HM10" i="37"/>
  <c r="HK15" i="37"/>
  <c r="R217" i="28"/>
  <c r="I218" i="28"/>
  <c r="L217" i="28"/>
  <c r="D227" i="28"/>
  <c r="E226" i="28"/>
  <c r="G238" i="28"/>
  <c r="B223" i="28"/>
  <c r="C223" i="28"/>
  <c r="F224" i="28"/>
  <c r="HL15" i="37" l="1"/>
  <c r="HM12" i="37"/>
  <c r="HM11" i="37"/>
  <c r="HM13" i="37"/>
  <c r="HM14" i="37"/>
  <c r="HN10" i="37"/>
  <c r="R218" i="28"/>
  <c r="L218" i="28"/>
  <c r="I219" i="28"/>
  <c r="D228" i="28"/>
  <c r="E227" i="28"/>
  <c r="G239" i="28"/>
  <c r="B224" i="28"/>
  <c r="C224" i="28"/>
  <c r="F225" i="28"/>
  <c r="HO10" i="37" l="1"/>
  <c r="HN12" i="37"/>
  <c r="HN11" i="37"/>
  <c r="HN14" i="37"/>
  <c r="HN13" i="37"/>
  <c r="HM15" i="37"/>
  <c r="R219" i="28"/>
  <c r="L219" i="28"/>
  <c r="I220" i="28"/>
  <c r="D229" i="28"/>
  <c r="E228" i="28"/>
  <c r="G240" i="28"/>
  <c r="B225" i="28"/>
  <c r="C225" i="28"/>
  <c r="F226" i="28"/>
  <c r="HN15" i="37" l="1"/>
  <c r="HP10" i="37"/>
  <c r="HO12" i="37"/>
  <c r="HO11" i="37"/>
  <c r="HO14" i="37"/>
  <c r="HO13" i="37"/>
  <c r="L220" i="28"/>
  <c r="I221" i="28"/>
  <c r="R220" i="28"/>
  <c r="D230" i="28"/>
  <c r="E229" i="28"/>
  <c r="G241" i="28"/>
  <c r="C226" i="28"/>
  <c r="F227" i="28"/>
  <c r="B226" i="28"/>
  <c r="HO15" i="37" l="1"/>
  <c r="HQ10" i="37"/>
  <c r="HP12" i="37"/>
  <c r="HP11" i="37"/>
  <c r="HP14" i="37"/>
  <c r="HP13" i="37"/>
  <c r="L221" i="28"/>
  <c r="I222" i="28"/>
  <c r="R221" i="28"/>
  <c r="D231" i="28"/>
  <c r="E230" i="28"/>
  <c r="G242" i="28"/>
  <c r="F228" i="28"/>
  <c r="B227" i="28"/>
  <c r="C227" i="28"/>
  <c r="HP15" i="37" l="1"/>
  <c r="HQ13" i="37"/>
  <c r="HR10" i="37"/>
  <c r="HQ12" i="37"/>
  <c r="HQ11" i="37"/>
  <c r="HQ14" i="37"/>
  <c r="I223" i="28"/>
  <c r="R222" i="28"/>
  <c r="L222" i="28"/>
  <c r="D232" i="28"/>
  <c r="E231" i="28"/>
  <c r="G243" i="28"/>
  <c r="F229" i="28"/>
  <c r="C228" i="28"/>
  <c r="B228" i="28"/>
  <c r="HQ15" i="37" l="1"/>
  <c r="HR13" i="37"/>
  <c r="HS10" i="37"/>
  <c r="HR11" i="37"/>
  <c r="HR12" i="37"/>
  <c r="HR14" i="37"/>
  <c r="L223" i="28"/>
  <c r="I224" i="28"/>
  <c r="R223" i="28"/>
  <c r="D233" i="28"/>
  <c r="E232" i="28"/>
  <c r="G244" i="28"/>
  <c r="B229" i="28"/>
  <c r="C229" i="28"/>
  <c r="F230" i="28"/>
  <c r="HR15" i="37" l="1"/>
  <c r="HS13" i="37"/>
  <c r="HT10" i="37"/>
  <c r="HS12" i="37"/>
  <c r="HS14" i="37"/>
  <c r="HS11" i="37"/>
  <c r="I225" i="28"/>
  <c r="R224" i="28"/>
  <c r="L224" i="28"/>
  <c r="D234" i="28"/>
  <c r="E233" i="28"/>
  <c r="G245" i="28"/>
  <c r="B230" i="28"/>
  <c r="F231" i="28"/>
  <c r="C230" i="28"/>
  <c r="HS15" i="37" l="1"/>
  <c r="HT13" i="37"/>
  <c r="HU10" i="37"/>
  <c r="HT12" i="37"/>
  <c r="HT11" i="37"/>
  <c r="HT14" i="37"/>
  <c r="L225" i="28"/>
  <c r="R225" i="28"/>
  <c r="I226" i="28"/>
  <c r="D235" i="28"/>
  <c r="E234" i="28"/>
  <c r="G246" i="28"/>
  <c r="B231" i="28"/>
  <c r="C231" i="28"/>
  <c r="F232" i="28"/>
  <c r="HT15" i="37" l="1"/>
  <c r="HU11" i="37"/>
  <c r="HU13" i="37"/>
  <c r="HV10" i="37"/>
  <c r="HU12" i="37"/>
  <c r="HU14" i="37"/>
  <c r="L226" i="28"/>
  <c r="R226" i="28"/>
  <c r="I227" i="28"/>
  <c r="D236" i="28"/>
  <c r="E235" i="28"/>
  <c r="G247" i="28"/>
  <c r="B232" i="28"/>
  <c r="C232" i="28"/>
  <c r="F233" i="28"/>
  <c r="HU15" i="37" l="1"/>
  <c r="HV11" i="37"/>
  <c r="HV13" i="37"/>
  <c r="HW10" i="37"/>
  <c r="HV12" i="37"/>
  <c r="HV14" i="37"/>
  <c r="I228" i="28"/>
  <c r="L227" i="28"/>
  <c r="R227" i="28"/>
  <c r="D237" i="28"/>
  <c r="E236" i="28"/>
  <c r="G248" i="28"/>
  <c r="B233" i="28"/>
  <c r="C233" i="28"/>
  <c r="F234" i="28"/>
  <c r="P14" i="28"/>
  <c r="J15" i="28"/>
  <c r="M15" i="28" s="1"/>
  <c r="E28" i="28"/>
  <c r="E25" i="28"/>
  <c r="E24" i="28"/>
  <c r="E23" i="28"/>
  <c r="E22" i="28"/>
  <c r="E21" i="28"/>
  <c r="E20" i="28"/>
  <c r="E19" i="28"/>
  <c r="E27" i="28"/>
  <c r="E18" i="28"/>
  <c r="E14" i="28"/>
  <c r="E26" i="28"/>
  <c r="E17" i="28"/>
  <c r="E16" i="28"/>
  <c r="E15" i="28"/>
  <c r="HV15" i="37" l="1"/>
  <c r="HW11" i="37"/>
  <c r="HW13" i="37"/>
  <c r="HX10" i="37"/>
  <c r="HW12" i="37"/>
  <c r="HW14" i="37"/>
  <c r="I229" i="28"/>
  <c r="L228" i="28"/>
  <c r="O228" i="28" s="1"/>
  <c r="R228" i="28"/>
  <c r="D238" i="28"/>
  <c r="E237" i="28"/>
  <c r="S15" i="28"/>
  <c r="G249" i="28"/>
  <c r="O15" i="28"/>
  <c r="O29" i="28"/>
  <c r="O30" i="28"/>
  <c r="O31" i="28"/>
  <c r="O32" i="28"/>
  <c r="O33" i="28"/>
  <c r="O34" i="28"/>
  <c r="O35" i="28"/>
  <c r="O36" i="28"/>
  <c r="O37" i="28"/>
  <c r="O38" i="28"/>
  <c r="O39" i="28"/>
  <c r="O40" i="28"/>
  <c r="O41" i="28"/>
  <c r="O42" i="28"/>
  <c r="O43" i="28"/>
  <c r="O44" i="28"/>
  <c r="O45" i="28"/>
  <c r="O46" i="28"/>
  <c r="O47" i="28"/>
  <c r="O48" i="28"/>
  <c r="O49" i="28"/>
  <c r="O50" i="28"/>
  <c r="O51" i="28"/>
  <c r="O52" i="28"/>
  <c r="O53" i="28"/>
  <c r="O54" i="28"/>
  <c r="O55" i="28"/>
  <c r="O56" i="28"/>
  <c r="O57" i="28"/>
  <c r="O58" i="28"/>
  <c r="O59" i="28"/>
  <c r="O60" i="28"/>
  <c r="O61" i="28"/>
  <c r="O62" i="28"/>
  <c r="O63" i="28"/>
  <c r="O64" i="28"/>
  <c r="O65" i="28"/>
  <c r="O66" i="28"/>
  <c r="O67" i="28"/>
  <c r="O68" i="28"/>
  <c r="O69" i="28"/>
  <c r="O70" i="28"/>
  <c r="O71" i="28"/>
  <c r="O72" i="28"/>
  <c r="O73" i="28"/>
  <c r="O74" i="28"/>
  <c r="O75" i="28"/>
  <c r="O76" i="28"/>
  <c r="O77" i="28"/>
  <c r="O78" i="28"/>
  <c r="O79" i="28"/>
  <c r="O80" i="28"/>
  <c r="O81" i="28"/>
  <c r="O82" i="28"/>
  <c r="O83" i="28"/>
  <c r="O84" i="28"/>
  <c r="O85" i="28"/>
  <c r="O86" i="28"/>
  <c r="O87" i="28"/>
  <c r="O88" i="28"/>
  <c r="O89" i="28"/>
  <c r="O90" i="28"/>
  <c r="O91" i="28"/>
  <c r="O92" i="28"/>
  <c r="O93" i="28"/>
  <c r="O94" i="28"/>
  <c r="O95" i="28"/>
  <c r="O96" i="28"/>
  <c r="O97" i="28"/>
  <c r="O98" i="28"/>
  <c r="O99" i="28"/>
  <c r="O100" i="28"/>
  <c r="O101" i="28"/>
  <c r="O102" i="28"/>
  <c r="O103" i="28"/>
  <c r="O104" i="28"/>
  <c r="O105" i="28"/>
  <c r="O106" i="28"/>
  <c r="O107" i="28"/>
  <c r="O108" i="28"/>
  <c r="O109" i="28"/>
  <c r="O110" i="28"/>
  <c r="O111" i="28"/>
  <c r="O112" i="28"/>
  <c r="O113" i="28"/>
  <c r="O114" i="28"/>
  <c r="O115" i="28"/>
  <c r="O116" i="28"/>
  <c r="O117" i="28"/>
  <c r="O118" i="28"/>
  <c r="O119" i="28"/>
  <c r="O120" i="28"/>
  <c r="O121" i="28"/>
  <c r="O122" i="28"/>
  <c r="O123" i="28"/>
  <c r="O124" i="28"/>
  <c r="O125" i="28"/>
  <c r="O126" i="28"/>
  <c r="O127" i="28"/>
  <c r="O128" i="28"/>
  <c r="O129" i="28"/>
  <c r="O130" i="28"/>
  <c r="O131" i="28"/>
  <c r="O132" i="28"/>
  <c r="O133" i="28"/>
  <c r="O134" i="28"/>
  <c r="O135" i="28"/>
  <c r="O136" i="28"/>
  <c r="O137" i="28"/>
  <c r="O138" i="28"/>
  <c r="O139" i="28"/>
  <c r="O140" i="28"/>
  <c r="O141" i="28"/>
  <c r="O142" i="28"/>
  <c r="O143" i="28"/>
  <c r="O144" i="28"/>
  <c r="O145" i="28"/>
  <c r="O146" i="28"/>
  <c r="O147" i="28"/>
  <c r="O148" i="28"/>
  <c r="O149" i="28"/>
  <c r="O150" i="28"/>
  <c r="O151" i="28"/>
  <c r="O152" i="28"/>
  <c r="O153" i="28"/>
  <c r="O154" i="28"/>
  <c r="O155" i="28"/>
  <c r="O156" i="28"/>
  <c r="O157" i="28"/>
  <c r="O158" i="28"/>
  <c r="O159" i="28"/>
  <c r="O160" i="28"/>
  <c r="O161" i="28"/>
  <c r="O162" i="28"/>
  <c r="O163" i="28"/>
  <c r="O164" i="28"/>
  <c r="O165" i="28"/>
  <c r="O166" i="28"/>
  <c r="O167" i="28"/>
  <c r="O168" i="28"/>
  <c r="O169" i="28"/>
  <c r="O170" i="28"/>
  <c r="O171" i="28"/>
  <c r="O172" i="28"/>
  <c r="O173" i="28"/>
  <c r="O174" i="28"/>
  <c r="O175" i="28"/>
  <c r="O176" i="28"/>
  <c r="O177" i="28"/>
  <c r="O178" i="28"/>
  <c r="O179" i="28"/>
  <c r="O180" i="28"/>
  <c r="O181" i="28"/>
  <c r="O182" i="28"/>
  <c r="O183" i="28"/>
  <c r="O184" i="28"/>
  <c r="O185" i="28"/>
  <c r="O186" i="28"/>
  <c r="O187" i="28"/>
  <c r="O188" i="28"/>
  <c r="O189" i="28"/>
  <c r="O190" i="28"/>
  <c r="O191" i="28"/>
  <c r="O192" i="28"/>
  <c r="O193" i="28"/>
  <c r="O194" i="28"/>
  <c r="O195" i="28"/>
  <c r="O196" i="28"/>
  <c r="O197" i="28"/>
  <c r="O198" i="28"/>
  <c r="O199" i="28"/>
  <c r="O200" i="28"/>
  <c r="O201" i="28"/>
  <c r="O202" i="28"/>
  <c r="O203" i="28"/>
  <c r="O204" i="28"/>
  <c r="O205" i="28"/>
  <c r="O206" i="28"/>
  <c r="O207" i="28"/>
  <c r="O208" i="28"/>
  <c r="O209" i="28"/>
  <c r="O210" i="28"/>
  <c r="O211" i="28"/>
  <c r="O212" i="28"/>
  <c r="O213" i="28"/>
  <c r="O214" i="28"/>
  <c r="O215" i="28"/>
  <c r="O216" i="28"/>
  <c r="O217" i="28"/>
  <c r="O218" i="28"/>
  <c r="O219" i="28"/>
  <c r="O220" i="28"/>
  <c r="O221" i="28"/>
  <c r="O222" i="28"/>
  <c r="O223" i="28"/>
  <c r="O224" i="28"/>
  <c r="O225" i="28"/>
  <c r="O226" i="28"/>
  <c r="O227" i="28"/>
  <c r="B234" i="28"/>
  <c r="C234" i="28"/>
  <c r="F235" i="28"/>
  <c r="O18" i="28"/>
  <c r="O17" i="28"/>
  <c r="O20" i="28"/>
  <c r="O22" i="28"/>
  <c r="J16" i="28"/>
  <c r="O26" i="28"/>
  <c r="O21" i="28"/>
  <c r="O19" i="28"/>
  <c r="O23" i="28"/>
  <c r="O24" i="28"/>
  <c r="O25" i="28"/>
  <c r="P15" i="28"/>
  <c r="O28" i="28"/>
  <c r="O14" i="28"/>
  <c r="O27" i="28"/>
  <c r="O16" i="28"/>
  <c r="HW15" i="37" l="1"/>
  <c r="HX11" i="37"/>
  <c r="HY10" i="37"/>
  <c r="HX12" i="37"/>
  <c r="HX13" i="37"/>
  <c r="HX14" i="37"/>
  <c r="R229" i="28"/>
  <c r="L229" i="28"/>
  <c r="I230" i="28"/>
  <c r="J17" i="28"/>
  <c r="M17" i="28" s="1"/>
  <c r="M16" i="28"/>
  <c r="P16" i="28" s="1"/>
  <c r="D239" i="28"/>
  <c r="E238" i="28"/>
  <c r="G250" i="28"/>
  <c r="C235" i="28"/>
  <c r="B235" i="28"/>
  <c r="F236" i="28"/>
  <c r="S16" i="28"/>
  <c r="HY11" i="37" l="1"/>
  <c r="HY13" i="37"/>
  <c r="HZ10" i="37"/>
  <c r="HY14" i="37"/>
  <c r="HY12" i="37"/>
  <c r="HX15" i="37"/>
  <c r="J18" i="28"/>
  <c r="M18" i="28" s="1"/>
  <c r="P18" i="28" s="1"/>
  <c r="O229" i="28"/>
  <c r="R230" i="28"/>
  <c r="L230" i="28"/>
  <c r="O230" i="28" s="1"/>
  <c r="I231" i="28"/>
  <c r="S17" i="28"/>
  <c r="D240" i="28"/>
  <c r="E239" i="28"/>
  <c r="G251" i="28"/>
  <c r="P17" i="28"/>
  <c r="B236" i="28"/>
  <c r="C236" i="28"/>
  <c r="F237" i="28"/>
  <c r="HZ11" i="37" l="1"/>
  <c r="HZ13" i="37"/>
  <c r="IA10" i="37"/>
  <c r="HZ14" i="37"/>
  <c r="HZ12" i="37"/>
  <c r="HY15" i="37"/>
  <c r="S18" i="28"/>
  <c r="J19" i="28"/>
  <c r="M19" i="28" s="1"/>
  <c r="P19" i="28" s="1"/>
  <c r="R231" i="28"/>
  <c r="I232" i="28"/>
  <c r="L231" i="28"/>
  <c r="O231" i="28" s="1"/>
  <c r="D241" i="28"/>
  <c r="E240" i="28"/>
  <c r="G252" i="28"/>
  <c r="F238" i="28"/>
  <c r="B237" i="28"/>
  <c r="C237" i="28"/>
  <c r="IA12" i="37" l="1"/>
  <c r="IA11" i="37"/>
  <c r="IA13" i="37"/>
  <c r="IB10" i="37"/>
  <c r="IA14" i="37"/>
  <c r="HZ15" i="37"/>
  <c r="J20" i="28"/>
  <c r="M20" i="28" s="1"/>
  <c r="P20" i="28" s="1"/>
  <c r="S19" i="28"/>
  <c r="L232" i="28"/>
  <c r="O232" i="28" s="1"/>
  <c r="I233" i="28"/>
  <c r="R232" i="28"/>
  <c r="D242" i="28"/>
  <c r="E241" i="28"/>
  <c r="G253" i="28"/>
  <c r="B238" i="28"/>
  <c r="C238" i="28"/>
  <c r="F239" i="28"/>
  <c r="IA15" i="37" l="1"/>
  <c r="IB12" i="37"/>
  <c r="IB11" i="37"/>
  <c r="IB13" i="37"/>
  <c r="IC10" i="37"/>
  <c r="IB14" i="37"/>
  <c r="J21" i="28"/>
  <c r="M21" i="28" s="1"/>
  <c r="P21" i="28" s="1"/>
  <c r="S20" i="28"/>
  <c r="L233" i="28"/>
  <c r="R233" i="28"/>
  <c r="I234" i="28"/>
  <c r="D243" i="28"/>
  <c r="E242" i="28"/>
  <c r="G254" i="28"/>
  <c r="B239" i="28"/>
  <c r="C239" i="28"/>
  <c r="F240" i="28"/>
  <c r="IB15" i="37" l="1"/>
  <c r="IC12" i="37"/>
  <c r="IC11" i="37"/>
  <c r="IC13" i="37"/>
  <c r="IC14" i="37"/>
  <c r="ID10" i="37"/>
  <c r="S21" i="28"/>
  <c r="J22" i="28"/>
  <c r="M22" i="28" s="1"/>
  <c r="P22" i="28" s="1"/>
  <c r="L234" i="28"/>
  <c r="O234" i="28" s="1"/>
  <c r="R234" i="28"/>
  <c r="I235" i="28"/>
  <c r="O233" i="28"/>
  <c r="D244" i="28"/>
  <c r="E243" i="28"/>
  <c r="G255" i="28"/>
  <c r="B240" i="28"/>
  <c r="C240" i="28"/>
  <c r="F241" i="28"/>
  <c r="IC15" i="37" l="1"/>
  <c r="IE10" i="37"/>
  <c r="ID12" i="37"/>
  <c r="ID11" i="37"/>
  <c r="ID14" i="37"/>
  <c r="ID13" i="37"/>
  <c r="S22" i="28"/>
  <c r="J23" i="28"/>
  <c r="M23" i="28" s="1"/>
  <c r="P23" i="28" s="1"/>
  <c r="L235" i="28"/>
  <c r="O235" i="28" s="1"/>
  <c r="I236" i="28"/>
  <c r="R235" i="28"/>
  <c r="D245" i="28"/>
  <c r="E244" i="28"/>
  <c r="G256" i="28"/>
  <c r="B241" i="28"/>
  <c r="C241" i="28"/>
  <c r="F242" i="28"/>
  <c r="ID15" i="37" l="1"/>
  <c r="IF10" i="37"/>
  <c r="IE12" i="37"/>
  <c r="IE11" i="37"/>
  <c r="IE13" i="37"/>
  <c r="IE14" i="37"/>
  <c r="J24" i="28"/>
  <c r="M24" i="28" s="1"/>
  <c r="P24" i="28" s="1"/>
  <c r="S23" i="28"/>
  <c r="L236" i="28"/>
  <c r="O236" i="28" s="1"/>
  <c r="R236" i="28"/>
  <c r="I237" i="28"/>
  <c r="D246" i="28"/>
  <c r="E245" i="28"/>
  <c r="G257" i="28"/>
  <c r="C242" i="28"/>
  <c r="F243" i="28"/>
  <c r="B242" i="28"/>
  <c r="IE15" i="37" l="1"/>
  <c r="IG10" i="37"/>
  <c r="IF12" i="37"/>
  <c r="IF11" i="37"/>
  <c r="IF14" i="37"/>
  <c r="IF13" i="37"/>
  <c r="S24" i="28"/>
  <c r="J25" i="28"/>
  <c r="M25" i="28" s="1"/>
  <c r="P25" i="28" s="1"/>
  <c r="L237" i="28"/>
  <c r="I238" i="28"/>
  <c r="R237" i="28"/>
  <c r="D247" i="28"/>
  <c r="E246" i="28"/>
  <c r="G258" i="28"/>
  <c r="F244" i="28"/>
  <c r="B243" i="28"/>
  <c r="C243" i="28"/>
  <c r="IF15" i="37" l="1"/>
  <c r="IG13" i="37"/>
  <c r="IH10" i="37"/>
  <c r="IG12" i="37"/>
  <c r="IG11" i="37"/>
  <c r="IG14" i="37"/>
  <c r="J26" i="28"/>
  <c r="M26" i="28" s="1"/>
  <c r="P26" i="28" s="1"/>
  <c r="S25" i="28"/>
  <c r="R238" i="28"/>
  <c r="L238" i="28"/>
  <c r="O238" i="28" s="1"/>
  <c r="I239" i="28"/>
  <c r="O237" i="28"/>
  <c r="D248" i="28"/>
  <c r="E247" i="28"/>
  <c r="G259" i="28"/>
  <c r="F245" i="28"/>
  <c r="C244" i="28"/>
  <c r="B244" i="28"/>
  <c r="IG15" i="37" l="1"/>
  <c r="IH13" i="37"/>
  <c r="II10" i="37"/>
  <c r="IH11" i="37"/>
  <c r="IH12" i="37"/>
  <c r="IH14" i="37"/>
  <c r="J27" i="28"/>
  <c r="M27" i="28" s="1"/>
  <c r="P27" i="28" s="1"/>
  <c r="S26" i="28"/>
  <c r="L239" i="28"/>
  <c r="O239" i="28" s="1"/>
  <c r="I240" i="28"/>
  <c r="R239" i="28"/>
  <c r="D249" i="28"/>
  <c r="E248" i="28"/>
  <c r="G260" i="28"/>
  <c r="B245" i="28"/>
  <c r="C245" i="28"/>
  <c r="F246" i="28"/>
  <c r="IH15" i="37" l="1"/>
  <c r="II13" i="37"/>
  <c r="IJ10" i="37"/>
  <c r="II12" i="37"/>
  <c r="II14" i="37"/>
  <c r="II11" i="37"/>
  <c r="S27" i="28"/>
  <c r="J28" i="28"/>
  <c r="M28" i="28" s="1"/>
  <c r="P28" i="28" s="1"/>
  <c r="L240" i="28"/>
  <c r="O240" i="28" s="1"/>
  <c r="R240" i="28"/>
  <c r="I241" i="28"/>
  <c r="D250" i="28"/>
  <c r="E249" i="28"/>
  <c r="G261" i="28"/>
  <c r="F247" i="28"/>
  <c r="B246" i="28"/>
  <c r="C246" i="28"/>
  <c r="II15" i="37" l="1"/>
  <c r="IJ13" i="37"/>
  <c r="IK10" i="37"/>
  <c r="IJ12" i="37"/>
  <c r="IJ11" i="37"/>
  <c r="IJ14" i="37"/>
  <c r="J29" i="28"/>
  <c r="M29" i="28" s="1"/>
  <c r="P29" i="28" s="1"/>
  <c r="S28" i="28"/>
  <c r="I242" i="28"/>
  <c r="R241" i="28"/>
  <c r="L241" i="28"/>
  <c r="D251" i="28"/>
  <c r="E250" i="28"/>
  <c r="G262" i="28"/>
  <c r="B247" i="28"/>
  <c r="C247" i="28"/>
  <c r="F248" i="28"/>
  <c r="IJ15" i="37" l="1"/>
  <c r="IK11" i="37"/>
  <c r="IK13" i="37"/>
  <c r="IL10" i="37"/>
  <c r="IK12" i="37"/>
  <c r="IK14" i="37"/>
  <c r="S29" i="28"/>
  <c r="J30" i="28"/>
  <c r="M30" i="28" s="1"/>
  <c r="P30" i="28" s="1"/>
  <c r="O241" i="28"/>
  <c r="I243" i="28"/>
  <c r="L242" i="28"/>
  <c r="O242" i="28" s="1"/>
  <c r="R242" i="28"/>
  <c r="D252" i="28"/>
  <c r="E251" i="28"/>
  <c r="G263" i="28"/>
  <c r="B248" i="28"/>
  <c r="C248" i="28"/>
  <c r="F249" i="28"/>
  <c r="IL11" i="37" l="1"/>
  <c r="IL13" i="37"/>
  <c r="IM10" i="37"/>
  <c r="IL12" i="37"/>
  <c r="IL14" i="37"/>
  <c r="IK15" i="37"/>
  <c r="J31" i="28"/>
  <c r="M31" i="28" s="1"/>
  <c r="P31" i="28" s="1"/>
  <c r="S30" i="28"/>
  <c r="R243" i="28"/>
  <c r="L243" i="28"/>
  <c r="O243" i="28" s="1"/>
  <c r="I244" i="28"/>
  <c r="D253" i="28"/>
  <c r="E252" i="28"/>
  <c r="G264" i="28"/>
  <c r="B249" i="28"/>
  <c r="C249" i="28"/>
  <c r="F250" i="28"/>
  <c r="IM11" i="37" l="1"/>
  <c r="IM13" i="37"/>
  <c r="IN10" i="37"/>
  <c r="IM12" i="37"/>
  <c r="IM14" i="37"/>
  <c r="IL15" i="37"/>
  <c r="S31" i="28"/>
  <c r="J32" i="28"/>
  <c r="M32" i="28" s="1"/>
  <c r="P32" i="28" s="1"/>
  <c r="R244" i="28"/>
  <c r="L244" i="28"/>
  <c r="O244" i="28" s="1"/>
  <c r="I245" i="28"/>
  <c r="D254" i="28"/>
  <c r="E253" i="28"/>
  <c r="G265" i="28"/>
  <c r="B250" i="28"/>
  <c r="C250" i="28"/>
  <c r="F251" i="28"/>
  <c r="IN11" i="37" l="1"/>
  <c r="IO10" i="37"/>
  <c r="IN12" i="37"/>
  <c r="IN13" i="37"/>
  <c r="IN14" i="37"/>
  <c r="IM15" i="37"/>
  <c r="S32" i="28"/>
  <c r="J33" i="28"/>
  <c r="M33" i="28" s="1"/>
  <c r="P33" i="28" s="1"/>
  <c r="L245" i="28"/>
  <c r="O245" i="28" s="1"/>
  <c r="R245" i="28"/>
  <c r="I246" i="28"/>
  <c r="D255" i="28"/>
  <c r="E254" i="28"/>
  <c r="G266" i="28"/>
  <c r="C251" i="28"/>
  <c r="B251" i="28"/>
  <c r="F252" i="28"/>
  <c r="IO11" i="37" l="1"/>
  <c r="IO13" i="37"/>
  <c r="IP10" i="37"/>
  <c r="IO14" i="37"/>
  <c r="IO12" i="37"/>
  <c r="IN15" i="37"/>
  <c r="S33" i="28"/>
  <c r="J34" i="28"/>
  <c r="M34" i="28" s="1"/>
  <c r="P34" i="28" s="1"/>
  <c r="L246" i="28"/>
  <c r="O246" i="28" s="1"/>
  <c r="I247" i="28"/>
  <c r="R246" i="28"/>
  <c r="D256" i="28"/>
  <c r="E255" i="28"/>
  <c r="G267" i="28"/>
  <c r="B252" i="28"/>
  <c r="C252" i="28"/>
  <c r="F253" i="28"/>
  <c r="IP11" i="37" l="1"/>
  <c r="IP13" i="37"/>
  <c r="IQ10" i="37"/>
  <c r="IP14" i="37"/>
  <c r="IP12" i="37"/>
  <c r="IO15" i="37"/>
  <c r="J35" i="28"/>
  <c r="M35" i="28" s="1"/>
  <c r="P35" i="28" s="1"/>
  <c r="S34" i="28"/>
  <c r="R247" i="28"/>
  <c r="I248" i="28"/>
  <c r="L247" i="28"/>
  <c r="O247" i="28" s="1"/>
  <c r="D257" i="28"/>
  <c r="E256" i="28"/>
  <c r="G268" i="28"/>
  <c r="B253" i="28"/>
  <c r="C253" i="28"/>
  <c r="F254" i="28"/>
  <c r="IP15" i="37" l="1"/>
  <c r="IQ12" i="37"/>
  <c r="IQ11" i="37"/>
  <c r="IQ13" i="37"/>
  <c r="IR10" i="37"/>
  <c r="IQ14" i="37"/>
  <c r="S35" i="28"/>
  <c r="J36" i="28"/>
  <c r="M36" i="28" s="1"/>
  <c r="P36" i="28" s="1"/>
  <c r="L248" i="28"/>
  <c r="O248" i="28" s="1"/>
  <c r="I249" i="28"/>
  <c r="R248" i="28"/>
  <c r="D258" i="28"/>
  <c r="E257" i="28"/>
  <c r="G269" i="28"/>
  <c r="B254" i="28"/>
  <c r="C254" i="28"/>
  <c r="F255" i="28"/>
  <c r="IQ15" i="37" l="1"/>
  <c r="IR12" i="37"/>
  <c r="IR11" i="37"/>
  <c r="IR13" i="37"/>
  <c r="IR14" i="37"/>
  <c r="IS10" i="37"/>
  <c r="S36" i="28"/>
  <c r="J37" i="28"/>
  <c r="M37" i="28" s="1"/>
  <c r="P37" i="28" s="1"/>
  <c r="L249" i="28"/>
  <c r="O249" i="28" s="1"/>
  <c r="R249" i="28"/>
  <c r="I250" i="28"/>
  <c r="D259" i="28"/>
  <c r="E258" i="28"/>
  <c r="G270" i="28"/>
  <c r="B255" i="28"/>
  <c r="C255" i="28"/>
  <c r="F256" i="28"/>
  <c r="IS12" i="37" l="1"/>
  <c r="IS11" i="37"/>
  <c r="IS13" i="37"/>
  <c r="IS14" i="37"/>
  <c r="IT10" i="37"/>
  <c r="IR15" i="37"/>
  <c r="J38" i="28"/>
  <c r="M38" i="28" s="1"/>
  <c r="P38" i="28" s="1"/>
  <c r="S37" i="28"/>
  <c r="L250" i="28"/>
  <c r="O250" i="28" s="1"/>
  <c r="R250" i="28"/>
  <c r="I251" i="28"/>
  <c r="D260" i="28"/>
  <c r="E259" i="28"/>
  <c r="G271" i="28"/>
  <c r="B256" i="28"/>
  <c r="C256" i="28"/>
  <c r="F257" i="28"/>
  <c r="IU10" i="37" l="1"/>
  <c r="IT12" i="37"/>
  <c r="IT11" i="37"/>
  <c r="IT14" i="37"/>
  <c r="IT13" i="37"/>
  <c r="IS15" i="37"/>
  <c r="J39" i="28"/>
  <c r="M39" i="28" s="1"/>
  <c r="P39" i="28" s="1"/>
  <c r="S38" i="28"/>
  <c r="L251" i="28"/>
  <c r="O251" i="28" s="1"/>
  <c r="R251" i="28"/>
  <c r="I252" i="28"/>
  <c r="D261" i="28"/>
  <c r="E260" i="28"/>
  <c r="G272" i="28"/>
  <c r="B257" i="28"/>
  <c r="C257" i="28"/>
  <c r="F258" i="28"/>
  <c r="IT15" i="37" l="1"/>
  <c r="IV10" i="37"/>
  <c r="IU12" i="37"/>
  <c r="IU11" i="37"/>
  <c r="IU13" i="37"/>
  <c r="IU14" i="37"/>
  <c r="S39" i="28"/>
  <c r="J40" i="28"/>
  <c r="M40" i="28" s="1"/>
  <c r="P40" i="28" s="1"/>
  <c r="L252" i="28"/>
  <c r="O252" i="28" s="1"/>
  <c r="I253" i="28"/>
  <c r="R252" i="28"/>
  <c r="D262" i="28"/>
  <c r="E261" i="28"/>
  <c r="G273" i="28"/>
  <c r="C258" i="28"/>
  <c r="F259" i="28"/>
  <c r="B258" i="28"/>
  <c r="IU15" i="37" l="1"/>
  <c r="IW10" i="37"/>
  <c r="IV12" i="37"/>
  <c r="IV11" i="37"/>
  <c r="IV13" i="37"/>
  <c r="IV14" i="37"/>
  <c r="S40" i="28"/>
  <c r="J41" i="28"/>
  <c r="M41" i="28" s="1"/>
  <c r="P41" i="28" s="1"/>
  <c r="L253" i="28"/>
  <c r="O253" i="28" s="1"/>
  <c r="R253" i="28"/>
  <c r="I254" i="28"/>
  <c r="D263" i="28"/>
  <c r="E262" i="28"/>
  <c r="G274" i="28"/>
  <c r="F260" i="28"/>
  <c r="F261" i="28" s="1"/>
  <c r="B259" i="28"/>
  <c r="C259" i="28"/>
  <c r="IV15" i="37" l="1"/>
  <c r="IW13" i="37"/>
  <c r="IX10" i="37"/>
  <c r="IY10" i="37" s="1"/>
  <c r="IW12" i="37"/>
  <c r="IW11" i="37"/>
  <c r="IW14" i="37"/>
  <c r="S41" i="28"/>
  <c r="J42" i="28"/>
  <c r="M42" i="28" s="1"/>
  <c r="P42" i="28" s="1"/>
  <c r="R254" i="28"/>
  <c r="I255" i="28"/>
  <c r="L254" i="28"/>
  <c r="O254" i="28" s="1"/>
  <c r="D264" i="28"/>
  <c r="E263" i="28"/>
  <c r="G275" i="28"/>
  <c r="B261" i="28"/>
  <c r="C261" i="28"/>
  <c r="F262" i="28"/>
  <c r="B260" i="28"/>
  <c r="C260" i="28"/>
  <c r="IW15" i="37" l="1"/>
  <c r="IY11" i="37"/>
  <c r="IZ10" i="37"/>
  <c r="IY13" i="37"/>
  <c r="IY12" i="37"/>
  <c r="IY14" i="37"/>
  <c r="IX13" i="37"/>
  <c r="IX11" i="37"/>
  <c r="IX12" i="37"/>
  <c r="IX14" i="37"/>
  <c r="J43" i="28"/>
  <c r="M43" i="28" s="1"/>
  <c r="P43" i="28" s="1"/>
  <c r="S42" i="28"/>
  <c r="L255" i="28"/>
  <c r="O255" i="28" s="1"/>
  <c r="I256" i="28"/>
  <c r="R255" i="28"/>
  <c r="D265" i="28"/>
  <c r="E264" i="28"/>
  <c r="G276" i="28"/>
  <c r="C262" i="28"/>
  <c r="F263" i="28"/>
  <c r="B262" i="28"/>
  <c r="IX15" i="37" l="1"/>
  <c r="IZ13" i="37"/>
  <c r="IZ12" i="37"/>
  <c r="IZ14" i="37"/>
  <c r="IZ11" i="37"/>
  <c r="JA10" i="37"/>
  <c r="IY15" i="37"/>
  <c r="J44" i="28"/>
  <c r="M44" i="28" s="1"/>
  <c r="P44" i="28" s="1"/>
  <c r="S43" i="28"/>
  <c r="I257" i="28"/>
  <c r="R256" i="28"/>
  <c r="L256" i="28"/>
  <c r="O256" i="28" s="1"/>
  <c r="D266" i="28"/>
  <c r="E265" i="28"/>
  <c r="G277" i="28"/>
  <c r="F264" i="28"/>
  <c r="B263" i="28"/>
  <c r="C263" i="28"/>
  <c r="IZ15" i="37" l="1"/>
  <c r="JA13" i="37"/>
  <c r="JA11" i="37"/>
  <c r="JA12" i="37"/>
  <c r="JA14" i="37"/>
  <c r="JB10" i="37"/>
  <c r="S44" i="28"/>
  <c r="J45" i="28"/>
  <c r="M45" i="28" s="1"/>
  <c r="P45" i="28" s="1"/>
  <c r="L257" i="28"/>
  <c r="O257" i="28" s="1"/>
  <c r="I258" i="28"/>
  <c r="R257" i="28"/>
  <c r="D267" i="28"/>
  <c r="E266" i="28"/>
  <c r="G278" i="28"/>
  <c r="F265" i="28"/>
  <c r="B264" i="28"/>
  <c r="C264" i="28"/>
  <c r="JB14" i="37" l="1"/>
  <c r="JB13" i="37"/>
  <c r="JB11" i="37"/>
  <c r="JC10" i="37"/>
  <c r="JB12" i="37"/>
  <c r="JA15" i="37"/>
  <c r="S45" i="28"/>
  <c r="J46" i="28"/>
  <c r="M46" i="28" s="1"/>
  <c r="P46" i="28" s="1"/>
  <c r="L258" i="28"/>
  <c r="O258" i="28" s="1"/>
  <c r="R258" i="28"/>
  <c r="I259" i="28"/>
  <c r="D268" i="28"/>
  <c r="E267" i="28"/>
  <c r="G279" i="28"/>
  <c r="B265" i="28"/>
  <c r="C265" i="28"/>
  <c r="F266" i="28"/>
  <c r="JC14" i="37" l="1"/>
  <c r="JC11" i="37"/>
  <c r="JC13" i="37"/>
  <c r="JC12" i="37"/>
  <c r="JD10" i="37"/>
  <c r="JB15" i="37"/>
  <c r="S46" i="28"/>
  <c r="J47" i="28"/>
  <c r="M47" i="28" s="1"/>
  <c r="P47" i="28" s="1"/>
  <c r="L259" i="28"/>
  <c r="O259" i="28" s="1"/>
  <c r="I260" i="28"/>
  <c r="R259" i="28"/>
  <c r="D269" i="28"/>
  <c r="E268" i="28"/>
  <c r="G280" i="28"/>
  <c r="B266" i="28"/>
  <c r="C266" i="28"/>
  <c r="F267" i="28"/>
  <c r="JD12" i="37" l="1"/>
  <c r="JD14" i="37"/>
  <c r="JD13" i="37"/>
  <c r="JD11" i="37"/>
  <c r="JE10" i="37"/>
  <c r="JC15" i="37"/>
  <c r="S47" i="28"/>
  <c r="J48" i="28"/>
  <c r="M48" i="28" s="1"/>
  <c r="P48" i="28" s="1"/>
  <c r="L260" i="28"/>
  <c r="O260" i="28" s="1"/>
  <c r="R260" i="28"/>
  <c r="I261" i="28"/>
  <c r="D270" i="28"/>
  <c r="E269" i="28"/>
  <c r="G281" i="28"/>
  <c r="B267" i="28"/>
  <c r="C267" i="28"/>
  <c r="F268" i="28"/>
  <c r="JD15" i="37" l="1"/>
  <c r="JF10" i="37"/>
  <c r="JE12" i="37"/>
  <c r="JE14" i="37"/>
  <c r="JE13" i="37"/>
  <c r="JE11" i="37"/>
  <c r="S48" i="28"/>
  <c r="J49" i="28"/>
  <c r="M49" i="28" s="1"/>
  <c r="P49" i="28" s="1"/>
  <c r="L261" i="28"/>
  <c r="O261" i="28" s="1"/>
  <c r="R261" i="28"/>
  <c r="I262" i="28"/>
  <c r="D271" i="28"/>
  <c r="E270" i="28"/>
  <c r="G282" i="28"/>
  <c r="B268" i="28"/>
  <c r="C268" i="28"/>
  <c r="F269" i="28"/>
  <c r="JE15" i="37" l="1"/>
  <c r="JG10" i="37"/>
  <c r="JH10" i="37" s="1"/>
  <c r="JF12" i="37"/>
  <c r="JF14" i="37"/>
  <c r="JF13" i="37"/>
  <c r="JF11" i="37"/>
  <c r="S49" i="28"/>
  <c r="J50" i="28"/>
  <c r="M50" i="28" s="1"/>
  <c r="P50" i="28" s="1"/>
  <c r="L262" i="28"/>
  <c r="O262" i="28" s="1"/>
  <c r="R262" i="28"/>
  <c r="I263" i="28"/>
  <c r="D272" i="28"/>
  <c r="E271" i="28"/>
  <c r="G283" i="28"/>
  <c r="B269" i="28"/>
  <c r="C269" i="28"/>
  <c r="F270" i="28"/>
  <c r="JF15" i="37" l="1"/>
  <c r="JH12" i="37"/>
  <c r="JH13" i="37"/>
  <c r="JH11" i="37"/>
  <c r="JH14" i="37"/>
  <c r="JI10" i="37"/>
  <c r="JG12" i="37"/>
  <c r="JG14" i="37"/>
  <c r="JG13" i="37"/>
  <c r="JG11" i="37"/>
  <c r="S50" i="28"/>
  <c r="J51" i="28"/>
  <c r="M51" i="28" s="1"/>
  <c r="P51" i="28" s="1"/>
  <c r="R263" i="28"/>
  <c r="I264" i="28"/>
  <c r="L263" i="28"/>
  <c r="O263" i="28" s="1"/>
  <c r="D273" i="28"/>
  <c r="E272" i="28"/>
  <c r="G284" i="28"/>
  <c r="B270" i="28"/>
  <c r="C270" i="28"/>
  <c r="F271" i="28"/>
  <c r="JG15" i="37" l="1"/>
  <c r="JI12" i="37"/>
  <c r="JI11" i="37"/>
  <c r="JJ10" i="37"/>
  <c r="JI13" i="37"/>
  <c r="JI14" i="37"/>
  <c r="JH15" i="37"/>
  <c r="S51" i="28"/>
  <c r="J52" i="28"/>
  <c r="M52" i="28" s="1"/>
  <c r="P52" i="28" s="1"/>
  <c r="L264" i="28"/>
  <c r="O264" i="28" s="1"/>
  <c r="I265" i="28"/>
  <c r="R264" i="28"/>
  <c r="D274" i="28"/>
  <c r="E273" i="28"/>
  <c r="G285" i="28"/>
  <c r="B271" i="28"/>
  <c r="C271" i="28"/>
  <c r="F272" i="28"/>
  <c r="JJ14" i="37" l="1"/>
  <c r="JJ13" i="37"/>
  <c r="JJ12" i="37"/>
  <c r="JJ11" i="37"/>
  <c r="JK10" i="37"/>
  <c r="JI15" i="37"/>
  <c r="J53" i="28"/>
  <c r="M53" i="28" s="1"/>
  <c r="P53" i="28" s="1"/>
  <c r="S52" i="28"/>
  <c r="L265" i="28"/>
  <c r="O265" i="28" s="1"/>
  <c r="I266" i="28"/>
  <c r="R265" i="28"/>
  <c r="D275" i="28"/>
  <c r="E274" i="28"/>
  <c r="G286" i="28"/>
  <c r="B272" i="28"/>
  <c r="C272" i="28"/>
  <c r="F273" i="28"/>
  <c r="JJ15" i="37" l="1"/>
  <c r="JL10" i="37"/>
  <c r="JK11" i="37"/>
  <c r="JK14" i="37"/>
  <c r="JK12" i="37"/>
  <c r="JK13" i="37"/>
  <c r="S53" i="28"/>
  <c r="J54" i="28"/>
  <c r="M54" i="28" s="1"/>
  <c r="P54" i="28" s="1"/>
  <c r="L266" i="28"/>
  <c r="O266" i="28" s="1"/>
  <c r="R266" i="28"/>
  <c r="I267" i="28"/>
  <c r="D276" i="28"/>
  <c r="E275" i="28"/>
  <c r="G287" i="28"/>
  <c r="B273" i="28"/>
  <c r="C273" i="28"/>
  <c r="F274" i="28"/>
  <c r="JK15" i="37" l="1"/>
  <c r="JL11" i="37"/>
  <c r="JL14" i="37"/>
  <c r="JL13" i="37"/>
  <c r="JL12" i="37"/>
  <c r="JM10" i="37"/>
  <c r="S54" i="28"/>
  <c r="J55" i="28"/>
  <c r="M55" i="28" s="1"/>
  <c r="P55" i="28" s="1"/>
  <c r="L267" i="28"/>
  <c r="O267" i="28" s="1"/>
  <c r="I268" i="28"/>
  <c r="R267" i="28"/>
  <c r="D277" i="28"/>
  <c r="E276" i="28"/>
  <c r="G288" i="28"/>
  <c r="B274" i="28"/>
  <c r="C274" i="28"/>
  <c r="F275" i="28"/>
  <c r="JL15" i="37" l="1"/>
  <c r="JM11" i="37"/>
  <c r="JM13" i="37"/>
  <c r="JM14" i="37"/>
  <c r="JM12" i="37"/>
  <c r="JN10" i="37"/>
  <c r="S55" i="28"/>
  <c r="J56" i="28"/>
  <c r="M56" i="28" s="1"/>
  <c r="P56" i="28" s="1"/>
  <c r="L268" i="28"/>
  <c r="O268" i="28" s="1"/>
  <c r="R268" i="28"/>
  <c r="I269" i="28"/>
  <c r="D278" i="28"/>
  <c r="E277" i="28"/>
  <c r="G289" i="28"/>
  <c r="B275" i="28"/>
  <c r="C275" i="28"/>
  <c r="F276" i="28"/>
  <c r="JN13" i="37" l="1"/>
  <c r="JN11" i="37"/>
  <c r="JN12" i="37"/>
  <c r="JN14" i="37"/>
  <c r="JO10" i="37"/>
  <c r="JM15" i="37"/>
  <c r="J57" i="28"/>
  <c r="M57" i="28" s="1"/>
  <c r="P57" i="28" s="1"/>
  <c r="S56" i="28"/>
  <c r="L269" i="28"/>
  <c r="O269" i="28" s="1"/>
  <c r="I270" i="28"/>
  <c r="R269" i="28"/>
  <c r="D279" i="28"/>
  <c r="E278" i="28"/>
  <c r="G290" i="28"/>
  <c r="B276" i="28"/>
  <c r="C276" i="28"/>
  <c r="F277" i="28"/>
  <c r="JP10" i="37" l="1"/>
  <c r="JO11" i="37"/>
  <c r="JO14" i="37"/>
  <c r="JO12" i="37"/>
  <c r="JO13" i="37"/>
  <c r="JN15" i="37"/>
  <c r="S57" i="28"/>
  <c r="J58" i="28"/>
  <c r="M58" i="28" s="1"/>
  <c r="P58" i="28" s="1"/>
  <c r="L270" i="28"/>
  <c r="O270" i="28" s="1"/>
  <c r="I271" i="28"/>
  <c r="R270" i="28"/>
  <c r="D280" i="28"/>
  <c r="E279" i="28"/>
  <c r="G291" i="28"/>
  <c r="B277" i="28"/>
  <c r="C277" i="28"/>
  <c r="F278" i="28"/>
  <c r="JO15" i="37" l="1"/>
  <c r="JP13" i="37"/>
  <c r="JP11" i="37"/>
  <c r="JQ10" i="37"/>
  <c r="JP12" i="37"/>
  <c r="JP14" i="37"/>
  <c r="J59" i="28"/>
  <c r="M59" i="28" s="1"/>
  <c r="P59" i="28" s="1"/>
  <c r="S58" i="28"/>
  <c r="L271" i="28"/>
  <c r="O271" i="28" s="1"/>
  <c r="I272" i="28"/>
  <c r="R271" i="28"/>
  <c r="D281" i="28"/>
  <c r="E280" i="28"/>
  <c r="G292" i="28"/>
  <c r="C278" i="28"/>
  <c r="F279" i="28"/>
  <c r="B278" i="28"/>
  <c r="JR10" i="37" l="1"/>
  <c r="JQ13" i="37"/>
  <c r="JQ11" i="37"/>
  <c r="JQ14" i="37"/>
  <c r="JQ12" i="37"/>
  <c r="JP15" i="37"/>
  <c r="S59" i="28"/>
  <c r="J60" i="28"/>
  <c r="M60" i="28" s="1"/>
  <c r="P60" i="28" s="1"/>
  <c r="L272" i="28"/>
  <c r="O272" i="28" s="1"/>
  <c r="I273" i="28"/>
  <c r="R272" i="28"/>
  <c r="D282" i="28"/>
  <c r="E281" i="28"/>
  <c r="G293" i="28"/>
  <c r="F280" i="28"/>
  <c r="B279" i="28"/>
  <c r="C279" i="28"/>
  <c r="JQ15" i="37" l="1"/>
  <c r="JR14" i="37"/>
  <c r="JS10" i="37"/>
  <c r="JR13" i="37"/>
  <c r="JR12" i="37"/>
  <c r="JR11" i="37"/>
  <c r="S60" i="28"/>
  <c r="J61" i="28"/>
  <c r="M61" i="28" s="1"/>
  <c r="P61" i="28" s="1"/>
  <c r="L273" i="28"/>
  <c r="O273" i="28" s="1"/>
  <c r="R273" i="28"/>
  <c r="I274" i="28"/>
  <c r="D283" i="28"/>
  <c r="E282" i="28"/>
  <c r="G294" i="28"/>
  <c r="F281" i="28"/>
  <c r="B280" i="28"/>
  <c r="C280" i="28"/>
  <c r="JR15" i="37" l="1"/>
  <c r="JS12" i="37"/>
  <c r="JT10" i="37"/>
  <c r="JS13" i="37"/>
  <c r="JS14" i="37"/>
  <c r="JS11" i="37"/>
  <c r="S61" i="28"/>
  <c r="J62" i="28"/>
  <c r="M62" i="28" s="1"/>
  <c r="P62" i="28" s="1"/>
  <c r="L274" i="28"/>
  <c r="O274" i="28" s="1"/>
  <c r="R274" i="28"/>
  <c r="I275" i="28"/>
  <c r="D284" i="28"/>
  <c r="E283" i="28"/>
  <c r="G295" i="28"/>
  <c r="B281" i="28"/>
  <c r="C281" i="28"/>
  <c r="F282" i="28"/>
  <c r="JS15" i="37" l="1"/>
  <c r="JT14" i="37"/>
  <c r="JU10" i="37"/>
  <c r="JT13" i="37"/>
  <c r="JT11" i="37"/>
  <c r="JT12" i="37"/>
  <c r="J63" i="28"/>
  <c r="M63" i="28" s="1"/>
  <c r="P63" i="28" s="1"/>
  <c r="S62" i="28"/>
  <c r="L275" i="28"/>
  <c r="O275" i="28" s="1"/>
  <c r="I276" i="28"/>
  <c r="R275" i="28"/>
  <c r="D285" i="28"/>
  <c r="E284" i="28"/>
  <c r="G296" i="28"/>
  <c r="B282" i="28"/>
  <c r="C282" i="28"/>
  <c r="F283" i="28"/>
  <c r="JT15" i="37" l="1"/>
  <c r="JV10" i="37"/>
  <c r="JU13" i="37"/>
  <c r="JU12" i="37"/>
  <c r="JU11" i="37"/>
  <c r="JU14" i="37"/>
  <c r="S63" i="28"/>
  <c r="J64" i="28"/>
  <c r="M64" i="28" s="1"/>
  <c r="P64" i="28" s="1"/>
  <c r="L276" i="28"/>
  <c r="O276" i="28" s="1"/>
  <c r="R276" i="28"/>
  <c r="I277" i="28"/>
  <c r="D286" i="28"/>
  <c r="E285" i="28"/>
  <c r="G297" i="28"/>
  <c r="B283" i="28"/>
  <c r="C283" i="28"/>
  <c r="F284" i="28"/>
  <c r="JU15" i="37" l="1"/>
  <c r="JV12" i="37"/>
  <c r="JV14" i="37"/>
  <c r="JW10" i="37"/>
  <c r="JV13" i="37"/>
  <c r="JV11" i="37"/>
  <c r="J65" i="28"/>
  <c r="M65" i="28" s="1"/>
  <c r="P65" i="28" s="1"/>
  <c r="S64" i="28"/>
  <c r="L277" i="28"/>
  <c r="O277" i="28" s="1"/>
  <c r="R277" i="28"/>
  <c r="I278" i="28"/>
  <c r="D287" i="28"/>
  <c r="E286" i="28"/>
  <c r="G298" i="28"/>
  <c r="B284" i="28"/>
  <c r="C284" i="28"/>
  <c r="F285" i="28"/>
  <c r="JV15" i="37" l="1"/>
  <c r="JW12" i="37"/>
  <c r="JX10" i="37"/>
  <c r="JW14" i="37"/>
  <c r="JW13" i="37"/>
  <c r="JW11" i="37"/>
  <c r="S65" i="28"/>
  <c r="J66" i="28"/>
  <c r="M66" i="28" s="1"/>
  <c r="P66" i="28" s="1"/>
  <c r="L278" i="28"/>
  <c r="O278" i="28" s="1"/>
  <c r="R278" i="28"/>
  <c r="I279" i="28"/>
  <c r="D288" i="28"/>
  <c r="E287" i="28"/>
  <c r="G299" i="28"/>
  <c r="B285" i="28"/>
  <c r="C285" i="28"/>
  <c r="F286" i="28"/>
  <c r="JW15" i="37" l="1"/>
  <c r="JX11" i="37"/>
  <c r="JX13" i="37"/>
  <c r="JX12" i="37"/>
  <c r="JX14" i="37"/>
  <c r="JY10" i="37"/>
  <c r="J67" i="28"/>
  <c r="M67" i="28" s="1"/>
  <c r="P67" i="28" s="1"/>
  <c r="S66" i="28"/>
  <c r="R279" i="28"/>
  <c r="I280" i="28"/>
  <c r="L279" i="28"/>
  <c r="O279" i="28" s="1"/>
  <c r="D289" i="28"/>
  <c r="E288" i="28"/>
  <c r="G300" i="28"/>
  <c r="B286" i="28"/>
  <c r="C286" i="28"/>
  <c r="F287" i="28"/>
  <c r="JY13" i="37" l="1"/>
  <c r="JY14" i="37"/>
  <c r="JY12" i="37"/>
  <c r="JY11" i="37"/>
  <c r="JZ10" i="37"/>
  <c r="JX15" i="37"/>
  <c r="J68" i="28"/>
  <c r="M68" i="28" s="1"/>
  <c r="P68" i="28" s="1"/>
  <c r="S67" i="28"/>
  <c r="L280" i="28"/>
  <c r="O280" i="28" s="1"/>
  <c r="R280" i="28"/>
  <c r="I281" i="28"/>
  <c r="D290" i="28"/>
  <c r="E289" i="28"/>
  <c r="G301" i="28"/>
  <c r="B287" i="28"/>
  <c r="C287" i="28"/>
  <c r="F288" i="28"/>
  <c r="JY15" i="37" l="1"/>
  <c r="JZ14" i="37"/>
  <c r="JZ12" i="37"/>
  <c r="JZ11" i="37"/>
  <c r="KA10" i="37"/>
  <c r="JZ13" i="37"/>
  <c r="S68" i="28"/>
  <c r="J69" i="28"/>
  <c r="M69" i="28" s="1"/>
  <c r="P69" i="28" s="1"/>
  <c r="R281" i="28"/>
  <c r="L281" i="28"/>
  <c r="O281" i="28" s="1"/>
  <c r="I282" i="28"/>
  <c r="D291" i="28"/>
  <c r="E290" i="28"/>
  <c r="G302" i="28"/>
  <c r="B288" i="28"/>
  <c r="C288" i="28"/>
  <c r="F289" i="28"/>
  <c r="JZ15" i="37" l="1"/>
  <c r="KA14" i="37"/>
  <c r="KB10" i="37"/>
  <c r="KA11" i="37"/>
  <c r="KA12" i="37"/>
  <c r="KA13" i="37"/>
  <c r="J70" i="28"/>
  <c r="M70" i="28" s="1"/>
  <c r="P70" i="28" s="1"/>
  <c r="S69" i="28"/>
  <c r="L282" i="28"/>
  <c r="O282" i="28" s="1"/>
  <c r="I283" i="28"/>
  <c r="R282" i="28"/>
  <c r="D292" i="28"/>
  <c r="E291" i="28"/>
  <c r="G303" i="28"/>
  <c r="B289" i="28"/>
  <c r="C289" i="28"/>
  <c r="F290" i="28"/>
  <c r="KA15" i="37" l="1"/>
  <c r="KB11" i="37"/>
  <c r="KB14" i="37"/>
  <c r="KB12" i="37"/>
  <c r="KB13" i="37"/>
  <c r="KC10" i="37"/>
  <c r="KD10" i="37" s="1"/>
  <c r="J71" i="28"/>
  <c r="M71" i="28" s="1"/>
  <c r="P71" i="28" s="1"/>
  <c r="S70" i="28"/>
  <c r="L283" i="28"/>
  <c r="O283" i="28" s="1"/>
  <c r="I284" i="28"/>
  <c r="R283" i="28"/>
  <c r="D293" i="28"/>
  <c r="E292" i="28"/>
  <c r="G304" i="28"/>
  <c r="B290" i="28"/>
  <c r="C290" i="28"/>
  <c r="F291" i="28"/>
  <c r="KD12" i="37" l="1"/>
  <c r="KD14" i="37"/>
  <c r="KE10" i="37"/>
  <c r="KD13" i="37"/>
  <c r="KD11" i="37"/>
  <c r="KB15" i="37"/>
  <c r="KC11" i="37"/>
  <c r="KC14" i="37"/>
  <c r="KC13" i="37"/>
  <c r="KC12" i="37"/>
  <c r="J72" i="28"/>
  <c r="M72" i="28" s="1"/>
  <c r="P72" i="28" s="1"/>
  <c r="S71" i="28"/>
  <c r="I285" i="28"/>
  <c r="L284" i="28"/>
  <c r="O284" i="28" s="1"/>
  <c r="R284" i="28"/>
  <c r="D294" i="28"/>
  <c r="E293" i="28"/>
  <c r="G305" i="28"/>
  <c r="B291" i="28"/>
  <c r="C291" i="28"/>
  <c r="F292" i="28"/>
  <c r="KD15" i="37" l="1"/>
  <c r="KE12" i="37"/>
  <c r="KE11" i="37"/>
  <c r="KF10" i="37"/>
  <c r="KE13" i="37"/>
  <c r="KE14" i="37"/>
  <c r="KC15" i="37"/>
  <c r="S72" i="28"/>
  <c r="J73" i="28"/>
  <c r="M73" i="28" s="1"/>
  <c r="P73" i="28" s="1"/>
  <c r="L285" i="28"/>
  <c r="O285" i="28" s="1"/>
  <c r="R285" i="28"/>
  <c r="I286" i="28"/>
  <c r="D295" i="28"/>
  <c r="E294" i="28"/>
  <c r="G306" i="28"/>
  <c r="B292" i="28"/>
  <c r="C292" i="28"/>
  <c r="F293" i="28"/>
  <c r="KF14" i="37" l="1"/>
  <c r="KF11" i="37"/>
  <c r="KF12" i="37"/>
  <c r="KG10" i="37"/>
  <c r="KF13" i="37"/>
  <c r="KE15" i="37"/>
  <c r="J74" i="28"/>
  <c r="M74" i="28" s="1"/>
  <c r="P74" i="28" s="1"/>
  <c r="S73" i="28"/>
  <c r="L286" i="28"/>
  <c r="O286" i="28" s="1"/>
  <c r="I287" i="28"/>
  <c r="R286" i="28"/>
  <c r="D296" i="28"/>
  <c r="E295" i="28"/>
  <c r="G307" i="28"/>
  <c r="B293" i="28"/>
  <c r="C293" i="28"/>
  <c r="F294" i="28"/>
  <c r="KF15" i="37" l="1"/>
  <c r="KG14" i="37"/>
  <c r="KG12" i="37"/>
  <c r="KH10" i="37"/>
  <c r="KG11" i="37"/>
  <c r="KG13" i="37"/>
  <c r="J75" i="28"/>
  <c r="M75" i="28" s="1"/>
  <c r="P75" i="28" s="1"/>
  <c r="S74" i="28"/>
  <c r="L287" i="28"/>
  <c r="O287" i="28" s="1"/>
  <c r="I288" i="28"/>
  <c r="R287" i="28"/>
  <c r="D297" i="28"/>
  <c r="E296" i="28"/>
  <c r="G308" i="28"/>
  <c r="C294" i="28"/>
  <c r="F295" i="28"/>
  <c r="B294" i="28"/>
  <c r="KG15" i="37" l="1"/>
  <c r="KH11" i="37"/>
  <c r="KH13" i="37"/>
  <c r="KH14" i="37"/>
  <c r="KH12" i="37"/>
  <c r="KI10" i="37"/>
  <c r="J76" i="28"/>
  <c r="M76" i="28" s="1"/>
  <c r="P76" i="28" s="1"/>
  <c r="S75" i="28"/>
  <c r="L288" i="28"/>
  <c r="O288" i="28" s="1"/>
  <c r="R288" i="28"/>
  <c r="I289" i="28"/>
  <c r="D298" i="28"/>
  <c r="E297" i="28"/>
  <c r="G309" i="28"/>
  <c r="F296" i="28"/>
  <c r="B295" i="28"/>
  <c r="C295" i="28"/>
  <c r="KI11" i="37" l="1"/>
  <c r="KI14" i="37"/>
  <c r="KJ10" i="37"/>
  <c r="KI12" i="37"/>
  <c r="KI13" i="37"/>
  <c r="KH15" i="37"/>
  <c r="S76" i="28"/>
  <c r="J77" i="28"/>
  <c r="M77" i="28" s="1"/>
  <c r="P77" i="28" s="1"/>
  <c r="R289" i="28"/>
  <c r="I290" i="28"/>
  <c r="L289" i="28"/>
  <c r="O289" i="28" s="1"/>
  <c r="D299" i="28"/>
  <c r="E298" i="28"/>
  <c r="G310" i="28"/>
  <c r="F297" i="28"/>
  <c r="B296" i="28"/>
  <c r="C296" i="28"/>
  <c r="KJ11" i="37" l="1"/>
  <c r="KJ14" i="37"/>
  <c r="KK10" i="37"/>
  <c r="KJ12" i="37"/>
  <c r="KJ13" i="37"/>
  <c r="KI15" i="37"/>
  <c r="S77" i="28"/>
  <c r="J78" i="28"/>
  <c r="M78" i="28" s="1"/>
  <c r="P78" i="28" s="1"/>
  <c r="I291" i="28"/>
  <c r="R290" i="28"/>
  <c r="L290" i="28"/>
  <c r="O290" i="28" s="1"/>
  <c r="D300" i="28"/>
  <c r="E299" i="28"/>
  <c r="G311" i="28"/>
  <c r="B297" i="28"/>
  <c r="C297" i="28"/>
  <c r="F298" i="28"/>
  <c r="KK11" i="37" l="1"/>
  <c r="KK14" i="37"/>
  <c r="KL10" i="37"/>
  <c r="KK13" i="37"/>
  <c r="KK12" i="37"/>
  <c r="KJ15" i="37"/>
  <c r="J79" i="28"/>
  <c r="M79" i="28" s="1"/>
  <c r="P79" i="28" s="1"/>
  <c r="S78" i="28"/>
  <c r="L291" i="28"/>
  <c r="O291" i="28" s="1"/>
  <c r="I292" i="28"/>
  <c r="R291" i="28"/>
  <c r="D301" i="28"/>
  <c r="E300" i="28"/>
  <c r="G312" i="28"/>
  <c r="B298" i="28"/>
  <c r="C298" i="28"/>
  <c r="F299" i="28"/>
  <c r="KL13" i="37" l="1"/>
  <c r="KL11" i="37"/>
  <c r="KL14" i="37"/>
  <c r="KM10" i="37"/>
  <c r="KL12" i="37"/>
  <c r="KK15" i="37"/>
  <c r="S79" i="28"/>
  <c r="J80" i="28"/>
  <c r="M80" i="28" s="1"/>
  <c r="P80" i="28" s="1"/>
  <c r="I293" i="28"/>
  <c r="R292" i="28"/>
  <c r="L292" i="28"/>
  <c r="O292" i="28" s="1"/>
  <c r="D302" i="28"/>
  <c r="E301" i="28"/>
  <c r="G313" i="28"/>
  <c r="B299" i="28"/>
  <c r="C299" i="28"/>
  <c r="F300" i="28"/>
  <c r="KN10" i="37" l="1"/>
  <c r="KM13" i="37"/>
  <c r="KM11" i="37"/>
  <c r="KM14" i="37"/>
  <c r="KM12" i="37"/>
  <c r="KL15" i="37"/>
  <c r="S80" i="28"/>
  <c r="J81" i="28"/>
  <c r="M81" i="28" s="1"/>
  <c r="P81" i="28" s="1"/>
  <c r="L293" i="28"/>
  <c r="O293" i="28" s="1"/>
  <c r="I294" i="28"/>
  <c r="R293" i="28"/>
  <c r="D303" i="28"/>
  <c r="E302" i="28"/>
  <c r="G314" i="28"/>
  <c r="B300" i="28"/>
  <c r="C300" i="28"/>
  <c r="F301" i="28"/>
  <c r="KM15" i="37" l="1"/>
  <c r="KO10" i="37"/>
  <c r="KN12" i="37"/>
  <c r="KN13" i="37"/>
  <c r="KN11" i="37"/>
  <c r="KN14" i="37"/>
  <c r="S81" i="28"/>
  <c r="J82" i="28"/>
  <c r="M82" i="28" s="1"/>
  <c r="P82" i="28" s="1"/>
  <c r="L294" i="28"/>
  <c r="O294" i="28" s="1"/>
  <c r="I295" i="28"/>
  <c r="R294" i="28"/>
  <c r="D304" i="28"/>
  <c r="E303" i="28"/>
  <c r="G315" i="28"/>
  <c r="B301" i="28"/>
  <c r="C301" i="28"/>
  <c r="F302" i="28"/>
  <c r="KN15" i="37" l="1"/>
  <c r="KP10" i="37"/>
  <c r="KO12" i="37"/>
  <c r="KO13" i="37"/>
  <c r="KO11" i="37"/>
  <c r="KO14" i="37"/>
  <c r="J83" i="28"/>
  <c r="M83" i="28" s="1"/>
  <c r="S82" i="28"/>
  <c r="L295" i="28"/>
  <c r="O295" i="28" s="1"/>
  <c r="I296" i="28"/>
  <c r="R295" i="28"/>
  <c r="D305" i="28"/>
  <c r="E304" i="28"/>
  <c r="G316" i="28"/>
  <c r="B302" i="28"/>
  <c r="C302" i="28"/>
  <c r="F303" i="28"/>
  <c r="P83" i="28" l="1"/>
  <c r="KO15" i="37"/>
  <c r="KQ10" i="37"/>
  <c r="KP13" i="37"/>
  <c r="KP11" i="37"/>
  <c r="KP14" i="37"/>
  <c r="KP12" i="37"/>
  <c r="S83" i="28"/>
  <c r="J84" i="28"/>
  <c r="M84" i="28" s="1"/>
  <c r="P84" i="28" s="1"/>
  <c r="L296" i="28"/>
  <c r="O296" i="28" s="1"/>
  <c r="R296" i="28"/>
  <c r="I297" i="28"/>
  <c r="D306" i="28"/>
  <c r="E305" i="28"/>
  <c r="G317" i="28"/>
  <c r="B303" i="28"/>
  <c r="C303" i="28"/>
  <c r="F304" i="28"/>
  <c r="KP15" i="37" l="1"/>
  <c r="KQ14" i="37"/>
  <c r="KR10" i="37"/>
  <c r="KQ13" i="37"/>
  <c r="KQ12" i="37"/>
  <c r="KQ11" i="37"/>
  <c r="J85" i="28"/>
  <c r="M85" i="28" s="1"/>
  <c r="P85" i="28" s="1"/>
  <c r="S84" i="28"/>
  <c r="L297" i="28"/>
  <c r="O297" i="28" s="1"/>
  <c r="I298" i="28"/>
  <c r="R297" i="28"/>
  <c r="D307" i="28"/>
  <c r="E306" i="28"/>
  <c r="G318" i="28"/>
  <c r="B304" i="28"/>
  <c r="C304" i="28"/>
  <c r="F305" i="28"/>
  <c r="KQ15" i="37" l="1"/>
  <c r="KR12" i="37"/>
  <c r="KR14" i="37"/>
  <c r="KS10" i="37"/>
  <c r="KR13" i="37"/>
  <c r="KR11" i="37"/>
  <c r="J86" i="28"/>
  <c r="M86" i="28" s="1"/>
  <c r="P86" i="28" s="1"/>
  <c r="S85" i="28"/>
  <c r="R298" i="28"/>
  <c r="I299" i="28"/>
  <c r="L298" i="28"/>
  <c r="O298" i="28" s="1"/>
  <c r="D308" i="28"/>
  <c r="E307" i="28"/>
  <c r="G319" i="28"/>
  <c r="B305" i="28"/>
  <c r="C305" i="28"/>
  <c r="F306" i="28"/>
  <c r="KR15" i="37" l="1"/>
  <c r="KS12" i="37"/>
  <c r="KT10" i="37"/>
  <c r="KS13" i="37"/>
  <c r="KS14" i="37"/>
  <c r="KS11" i="37"/>
  <c r="J87" i="28"/>
  <c r="M87" i="28" s="1"/>
  <c r="P87" i="28" s="1"/>
  <c r="S86" i="28"/>
  <c r="I300" i="28"/>
  <c r="L299" i="28"/>
  <c r="O299" i="28" s="1"/>
  <c r="R299" i="28"/>
  <c r="D309" i="28"/>
  <c r="E308" i="28"/>
  <c r="G320" i="28"/>
  <c r="B306" i="28"/>
  <c r="C306" i="28"/>
  <c r="F307" i="28"/>
  <c r="KS15" i="37" l="1"/>
  <c r="KT14" i="37"/>
  <c r="KT12" i="37"/>
  <c r="KT11" i="37"/>
  <c r="KU10" i="37"/>
  <c r="KT13" i="37"/>
  <c r="J88" i="28"/>
  <c r="M88" i="28" s="1"/>
  <c r="P88" i="28" s="1"/>
  <c r="S87" i="28"/>
  <c r="I301" i="28"/>
  <c r="L300" i="28"/>
  <c r="O300" i="28" s="1"/>
  <c r="R300" i="28"/>
  <c r="D310" i="28"/>
  <c r="E309" i="28"/>
  <c r="G321" i="28"/>
  <c r="B307" i="28"/>
  <c r="C307" i="28"/>
  <c r="F308" i="28"/>
  <c r="KT15" i="37" l="1"/>
  <c r="KU11" i="37"/>
  <c r="KU12" i="37"/>
  <c r="KU14" i="37"/>
  <c r="KV10" i="37"/>
  <c r="KU13" i="37"/>
  <c r="J89" i="28"/>
  <c r="M89" i="28" s="1"/>
  <c r="P89" i="28" s="1"/>
  <c r="S88" i="28"/>
  <c r="I302" i="28"/>
  <c r="R301" i="28"/>
  <c r="L301" i="28"/>
  <c r="O301" i="28" s="1"/>
  <c r="D311" i="28"/>
  <c r="E310" i="28"/>
  <c r="G322" i="28"/>
  <c r="B308" i="28"/>
  <c r="C308" i="28"/>
  <c r="F309" i="28"/>
  <c r="KU15" i="37" l="1"/>
  <c r="KV14" i="37"/>
  <c r="KV12" i="37"/>
  <c r="KW10" i="37"/>
  <c r="KV13" i="37"/>
  <c r="KV11" i="37"/>
  <c r="J90" i="28"/>
  <c r="M90" i="28" s="1"/>
  <c r="P90" i="28" s="1"/>
  <c r="S89" i="28"/>
  <c r="L302" i="28"/>
  <c r="O302" i="28" s="1"/>
  <c r="R302" i="28"/>
  <c r="I303" i="28"/>
  <c r="D312" i="28"/>
  <c r="E311" i="28"/>
  <c r="G323" i="28"/>
  <c r="B309" i="28"/>
  <c r="C309" i="28"/>
  <c r="F310" i="28"/>
  <c r="KV15" i="37" l="1"/>
  <c r="KW14" i="37"/>
  <c r="KW11" i="37"/>
  <c r="KW12" i="37"/>
  <c r="KX10" i="37"/>
  <c r="KW13" i="37"/>
  <c r="J91" i="28"/>
  <c r="M91" i="28" s="1"/>
  <c r="P91" i="28" s="1"/>
  <c r="S90" i="28"/>
  <c r="L303" i="28"/>
  <c r="O303" i="28" s="1"/>
  <c r="R303" i="28"/>
  <c r="I304" i="28"/>
  <c r="D313" i="28"/>
  <c r="E312" i="28"/>
  <c r="G324" i="28"/>
  <c r="C310" i="28"/>
  <c r="F311" i="28"/>
  <c r="B310" i="28"/>
  <c r="KW15" i="37" l="1"/>
  <c r="KX11" i="37"/>
  <c r="KX14" i="37"/>
  <c r="KX12" i="37"/>
  <c r="KX13" i="37"/>
  <c r="KY10" i="37"/>
  <c r="S91" i="28"/>
  <c r="J92" i="28"/>
  <c r="M92" i="28" s="1"/>
  <c r="P92" i="28" s="1"/>
  <c r="L304" i="28"/>
  <c r="O304" i="28" s="1"/>
  <c r="R304" i="28"/>
  <c r="I305" i="28"/>
  <c r="D314" i="28"/>
  <c r="E313" i="28"/>
  <c r="G325" i="28"/>
  <c r="F312" i="28"/>
  <c r="B311" i="28"/>
  <c r="C311" i="28"/>
  <c r="KY11" i="37" l="1"/>
  <c r="KZ10" i="37"/>
  <c r="KY14" i="37"/>
  <c r="KY13" i="37"/>
  <c r="KY12" i="37"/>
  <c r="KX15" i="37"/>
  <c r="S92" i="28"/>
  <c r="J93" i="28"/>
  <c r="M93" i="28" s="1"/>
  <c r="P93" i="28" s="1"/>
  <c r="R305" i="28"/>
  <c r="I306" i="28"/>
  <c r="L305" i="28"/>
  <c r="O305" i="28" s="1"/>
  <c r="D315" i="28"/>
  <c r="E314" i="28"/>
  <c r="G326" i="28"/>
  <c r="F313" i="28"/>
  <c r="B312" i="28"/>
  <c r="C312" i="28"/>
  <c r="KZ11" i="37" l="1"/>
  <c r="KZ13" i="37"/>
  <c r="KZ14" i="37"/>
  <c r="KZ12" i="37"/>
  <c r="LA10" i="37"/>
  <c r="KY15" i="37"/>
  <c r="S93" i="28"/>
  <c r="J94" i="28"/>
  <c r="M94" i="28" s="1"/>
  <c r="P94" i="28" s="1"/>
  <c r="I307" i="28"/>
  <c r="R306" i="28"/>
  <c r="L306" i="28"/>
  <c r="O306" i="28" s="1"/>
  <c r="D316" i="28"/>
  <c r="E315" i="28"/>
  <c r="G327" i="28"/>
  <c r="B313" i="28"/>
  <c r="C313" i="28"/>
  <c r="F314" i="28"/>
  <c r="LB10" i="37" l="1"/>
  <c r="LA11" i="37"/>
  <c r="LA14" i="37"/>
  <c r="LA13" i="37"/>
  <c r="LA12" i="37"/>
  <c r="KZ15" i="37"/>
  <c r="S94" i="28"/>
  <c r="J95" i="28"/>
  <c r="M95" i="28" s="1"/>
  <c r="P95" i="28" s="1"/>
  <c r="R307" i="28"/>
  <c r="I308" i="28"/>
  <c r="L307" i="28"/>
  <c r="O307" i="28" s="1"/>
  <c r="D317" i="28"/>
  <c r="E316" i="28"/>
  <c r="G328" i="28"/>
  <c r="B314" i="28"/>
  <c r="C314" i="28"/>
  <c r="F315" i="28"/>
  <c r="LA15" i="37" l="1"/>
  <c r="LB13" i="37"/>
  <c r="LB14" i="37"/>
  <c r="LB11" i="37"/>
  <c r="LB12" i="37"/>
  <c r="LC10" i="37"/>
  <c r="J96" i="28"/>
  <c r="M96" i="28" s="1"/>
  <c r="P96" i="28" s="1"/>
  <c r="S95" i="28"/>
  <c r="L308" i="28"/>
  <c r="O308" i="28" s="1"/>
  <c r="R308" i="28"/>
  <c r="I309" i="28"/>
  <c r="D318" i="28"/>
  <c r="E317" i="28"/>
  <c r="G329" i="28"/>
  <c r="B315" i="28"/>
  <c r="C315" i="28"/>
  <c r="F316" i="28"/>
  <c r="LB15" i="37" l="1"/>
  <c r="LD10" i="37"/>
  <c r="LC13" i="37"/>
  <c r="LC11" i="37"/>
  <c r="LC14" i="37"/>
  <c r="LC12" i="37"/>
  <c r="S96" i="28"/>
  <c r="J97" i="28"/>
  <c r="M97" i="28" s="1"/>
  <c r="P97" i="28" s="1"/>
  <c r="R309" i="28"/>
  <c r="I310" i="28"/>
  <c r="L309" i="28"/>
  <c r="O309" i="28" s="1"/>
  <c r="D319" i="28"/>
  <c r="E318" i="28"/>
  <c r="G330" i="28"/>
  <c r="B316" i="28"/>
  <c r="C316" i="28"/>
  <c r="F317" i="28"/>
  <c r="LC15" i="37" l="1"/>
  <c r="LE10" i="37"/>
  <c r="LD13" i="37"/>
  <c r="LD11" i="37"/>
  <c r="LD14" i="37"/>
  <c r="LD12" i="37"/>
  <c r="J98" i="28"/>
  <c r="M98" i="28" s="1"/>
  <c r="P98" i="28" s="1"/>
  <c r="S97" i="28"/>
  <c r="L310" i="28"/>
  <c r="O310" i="28" s="1"/>
  <c r="I311" i="28"/>
  <c r="R310" i="28"/>
  <c r="D320" i="28"/>
  <c r="E319" i="28"/>
  <c r="G331" i="28"/>
  <c r="B317" i="28"/>
  <c r="C317" i="28"/>
  <c r="F318" i="28"/>
  <c r="LD15" i="37" l="1"/>
  <c r="LF10" i="37"/>
  <c r="LE13" i="37"/>
  <c r="LE11" i="37"/>
  <c r="LE12" i="37"/>
  <c r="LE14" i="37"/>
  <c r="J99" i="28"/>
  <c r="M99" i="28" s="1"/>
  <c r="P99" i="28" s="1"/>
  <c r="S98" i="28"/>
  <c r="L311" i="28"/>
  <c r="O311" i="28" s="1"/>
  <c r="R311" i="28"/>
  <c r="I312" i="28"/>
  <c r="D321" i="28"/>
  <c r="E320" i="28"/>
  <c r="G332" i="28"/>
  <c r="B318" i="28"/>
  <c r="C318" i="28"/>
  <c r="F319" i="28"/>
  <c r="LE15" i="37" l="1"/>
  <c r="LG10" i="37"/>
  <c r="LF12" i="37"/>
  <c r="LF13" i="37"/>
  <c r="LF11" i="37"/>
  <c r="LF14" i="37"/>
  <c r="J100" i="28"/>
  <c r="M100" i="28" s="1"/>
  <c r="P100" i="28" s="1"/>
  <c r="S99" i="28"/>
  <c r="I313" i="28"/>
  <c r="R312" i="28"/>
  <c r="L312" i="28"/>
  <c r="O312" i="28" s="1"/>
  <c r="D322" i="28"/>
  <c r="E321" i="28"/>
  <c r="G333" i="28"/>
  <c r="B319" i="28"/>
  <c r="C319" i="28"/>
  <c r="F320" i="28"/>
  <c r="LF15" i="37" l="1"/>
  <c r="LH10" i="37"/>
  <c r="LG12" i="37"/>
  <c r="LG13" i="37"/>
  <c r="LG11" i="37"/>
  <c r="LG14" i="37"/>
  <c r="J101" i="28"/>
  <c r="M101" i="28" s="1"/>
  <c r="P101" i="28" s="1"/>
  <c r="S100" i="28"/>
  <c r="L313" i="28"/>
  <c r="O313" i="28" s="1"/>
  <c r="R313" i="28"/>
  <c r="I314" i="28"/>
  <c r="D323" i="28"/>
  <c r="E322" i="28"/>
  <c r="G334" i="28"/>
  <c r="B320" i="28"/>
  <c r="C320" i="28"/>
  <c r="F321" i="28"/>
  <c r="LG15" i="37" l="1"/>
  <c r="LH12" i="37"/>
  <c r="LH14" i="37"/>
  <c r="LI10" i="37"/>
  <c r="LH13" i="37"/>
  <c r="LH11" i="37"/>
  <c r="S101" i="28"/>
  <c r="J102" i="28"/>
  <c r="M102" i="28" s="1"/>
  <c r="P102" i="28" s="1"/>
  <c r="I315" i="28"/>
  <c r="R314" i="28"/>
  <c r="L314" i="28"/>
  <c r="O314" i="28" s="1"/>
  <c r="D324" i="28"/>
  <c r="E323" i="28"/>
  <c r="G335" i="28"/>
  <c r="B321" i="28"/>
  <c r="C321" i="28"/>
  <c r="F322" i="28"/>
  <c r="LH15" i="37" l="1"/>
  <c r="LI12" i="37"/>
  <c r="LI14" i="37"/>
  <c r="LJ10" i="37"/>
  <c r="LI13" i="37"/>
  <c r="LI11" i="37"/>
  <c r="S102" i="28"/>
  <c r="J103" i="28"/>
  <c r="M103" i="28" s="1"/>
  <c r="P103" i="28" s="1"/>
  <c r="L315" i="28"/>
  <c r="O315" i="28" s="1"/>
  <c r="I316" i="28"/>
  <c r="R315" i="28"/>
  <c r="D325" i="28"/>
  <c r="E324" i="28"/>
  <c r="G336" i="28"/>
  <c r="B322" i="28"/>
  <c r="C322" i="28"/>
  <c r="F323" i="28"/>
  <c r="LI15" i="37" l="1"/>
  <c r="LJ12" i="37"/>
  <c r="LJ14" i="37"/>
  <c r="LK10" i="37"/>
  <c r="LJ13" i="37"/>
  <c r="LJ11" i="37"/>
  <c r="S103" i="28"/>
  <c r="J104" i="28"/>
  <c r="M104" i="28" s="1"/>
  <c r="P104" i="28" s="1"/>
  <c r="R316" i="28"/>
  <c r="L316" i="28"/>
  <c r="O316" i="28" s="1"/>
  <c r="I317" i="28"/>
  <c r="D326" i="28"/>
  <c r="E325" i="28"/>
  <c r="G337" i="28"/>
  <c r="B323" i="28"/>
  <c r="C323" i="28"/>
  <c r="F324" i="28"/>
  <c r="LJ15" i="37" l="1"/>
  <c r="LK14" i="37"/>
  <c r="LK12" i="37"/>
  <c r="LL10" i="37"/>
  <c r="LK13" i="37"/>
  <c r="LK11" i="37"/>
  <c r="J105" i="28"/>
  <c r="M105" i="28" s="1"/>
  <c r="P105" i="28" s="1"/>
  <c r="S104" i="28"/>
  <c r="I318" i="28"/>
  <c r="R317" i="28"/>
  <c r="L317" i="28"/>
  <c r="O317" i="28" s="1"/>
  <c r="D327" i="28"/>
  <c r="E326" i="28"/>
  <c r="G338" i="28"/>
  <c r="B324" i="28"/>
  <c r="C324" i="28"/>
  <c r="F325" i="28"/>
  <c r="LK15" i="37" l="1"/>
  <c r="LL14" i="37"/>
  <c r="LL12" i="37"/>
  <c r="LL11" i="37"/>
  <c r="LM10" i="37"/>
  <c r="LL13" i="37"/>
  <c r="S105" i="28"/>
  <c r="J106" i="28"/>
  <c r="M106" i="28" s="1"/>
  <c r="P106" i="28" s="1"/>
  <c r="L318" i="28"/>
  <c r="O318" i="28" s="1"/>
  <c r="I319" i="28"/>
  <c r="R318" i="28"/>
  <c r="D328" i="28"/>
  <c r="E327" i="28"/>
  <c r="G339" i="28"/>
  <c r="B325" i="28"/>
  <c r="C325" i="28"/>
  <c r="F326" i="28"/>
  <c r="LM14" i="37" l="1"/>
  <c r="LM11" i="37"/>
  <c r="LM12" i="37"/>
  <c r="LN10" i="37"/>
  <c r="LM13" i="37"/>
  <c r="LL15" i="37"/>
  <c r="J107" i="28"/>
  <c r="M107" i="28" s="1"/>
  <c r="P107" i="28" s="1"/>
  <c r="S106" i="28"/>
  <c r="L319" i="28"/>
  <c r="O319" i="28" s="1"/>
  <c r="I320" i="28"/>
  <c r="R319" i="28"/>
  <c r="D329" i="28"/>
  <c r="E328" i="28"/>
  <c r="G340" i="28"/>
  <c r="C326" i="28"/>
  <c r="F327" i="28"/>
  <c r="B326" i="28"/>
  <c r="LN11" i="37" l="1"/>
  <c r="LN14" i="37"/>
  <c r="LN12" i="37"/>
  <c r="LN13" i="37"/>
  <c r="LO10" i="37"/>
  <c r="LP10" i="37" s="1"/>
  <c r="LM15" i="37"/>
  <c r="S107" i="28"/>
  <c r="J108" i="28"/>
  <c r="M108" i="28" s="1"/>
  <c r="P108" i="28" s="1"/>
  <c r="I321" i="28"/>
  <c r="R320" i="28"/>
  <c r="L320" i="28"/>
  <c r="O320" i="28" s="1"/>
  <c r="D330" i="28"/>
  <c r="E329" i="28"/>
  <c r="G341" i="28"/>
  <c r="F328" i="28"/>
  <c r="C327" i="28"/>
  <c r="B327" i="28"/>
  <c r="LP12" i="37" l="1"/>
  <c r="LP13" i="37"/>
  <c r="LQ10" i="37"/>
  <c r="LP11" i="37"/>
  <c r="LP14" i="37"/>
  <c r="LO11" i="37"/>
  <c r="LO14" i="37"/>
  <c r="LO13" i="37"/>
  <c r="LO12" i="37"/>
  <c r="LN15" i="37"/>
  <c r="J109" i="28"/>
  <c r="M109" i="28" s="1"/>
  <c r="P109" i="28" s="1"/>
  <c r="S108" i="28"/>
  <c r="L321" i="28"/>
  <c r="O321" i="28" s="1"/>
  <c r="I322" i="28"/>
  <c r="R321" i="28"/>
  <c r="D331" i="28"/>
  <c r="E330" i="28"/>
  <c r="G342" i="28"/>
  <c r="F329" i="28"/>
  <c r="B328" i="28"/>
  <c r="C328" i="28"/>
  <c r="LO15" i="37" l="1"/>
  <c r="LP15" i="37"/>
  <c r="LQ14" i="37"/>
  <c r="LQ12" i="37"/>
  <c r="LR10" i="37"/>
  <c r="LQ11" i="37"/>
  <c r="LQ13" i="37"/>
  <c r="S109" i="28"/>
  <c r="J110" i="28"/>
  <c r="M110" i="28" s="1"/>
  <c r="P110" i="28" s="1"/>
  <c r="L322" i="28"/>
  <c r="O322" i="28" s="1"/>
  <c r="R322" i="28"/>
  <c r="I323" i="28"/>
  <c r="D332" i="28"/>
  <c r="E331" i="28"/>
  <c r="G343" i="28"/>
  <c r="B329" i="28"/>
  <c r="C329" i="28"/>
  <c r="F330" i="28"/>
  <c r="LQ15" i="37" l="1"/>
  <c r="LR12" i="37"/>
  <c r="LR14" i="37"/>
  <c r="LR11" i="37"/>
  <c r="LS10" i="37"/>
  <c r="LR13" i="37"/>
  <c r="J111" i="28"/>
  <c r="M111" i="28" s="1"/>
  <c r="P111" i="28" s="1"/>
  <c r="S110" i="28"/>
  <c r="R323" i="28"/>
  <c r="L323" i="28"/>
  <c r="O323" i="28" s="1"/>
  <c r="I324" i="28"/>
  <c r="D333" i="28"/>
  <c r="E332" i="28"/>
  <c r="G344" i="28"/>
  <c r="B330" i="28"/>
  <c r="C330" i="28"/>
  <c r="F331" i="28"/>
  <c r="LR15" i="37" l="1"/>
  <c r="LS11" i="37"/>
  <c r="LS14" i="37"/>
  <c r="LS12" i="37"/>
  <c r="LS13" i="37"/>
  <c r="LT10" i="37"/>
  <c r="S111" i="28"/>
  <c r="J112" i="28"/>
  <c r="M112" i="28" s="1"/>
  <c r="P112" i="28" s="1"/>
  <c r="I325" i="28"/>
  <c r="R324" i="28"/>
  <c r="L324" i="28"/>
  <c r="O324" i="28" s="1"/>
  <c r="D334" i="28"/>
  <c r="E333" i="28"/>
  <c r="G345" i="28"/>
  <c r="B331" i="28"/>
  <c r="C331" i="28"/>
  <c r="F332" i="28"/>
  <c r="LT13" i="37" l="1"/>
  <c r="LT14" i="37"/>
  <c r="LT12" i="37"/>
  <c r="LT11" i="37"/>
  <c r="LU10" i="37"/>
  <c r="LS15" i="37"/>
  <c r="J113" i="28"/>
  <c r="M113" i="28" s="1"/>
  <c r="P113" i="28" s="1"/>
  <c r="S112" i="28"/>
  <c r="I326" i="28"/>
  <c r="R325" i="28"/>
  <c r="L325" i="28"/>
  <c r="O325" i="28" s="1"/>
  <c r="D335" i="28"/>
  <c r="E334" i="28"/>
  <c r="G346" i="28"/>
  <c r="B332" i="28"/>
  <c r="C332" i="28"/>
  <c r="F333" i="28"/>
  <c r="LU13" i="37" l="1"/>
  <c r="LV10" i="37"/>
  <c r="LU14" i="37"/>
  <c r="LU11" i="37"/>
  <c r="LU12" i="37"/>
  <c r="LT15" i="37"/>
  <c r="S113" i="28"/>
  <c r="J114" i="28"/>
  <c r="M114" i="28" s="1"/>
  <c r="P114" i="28" s="1"/>
  <c r="L326" i="28"/>
  <c r="O326" i="28" s="1"/>
  <c r="R326" i="28"/>
  <c r="I327" i="28"/>
  <c r="D336" i="28"/>
  <c r="E335" i="28"/>
  <c r="G347" i="28"/>
  <c r="C333" i="28"/>
  <c r="B333" i="28"/>
  <c r="F334" i="28"/>
  <c r="LU15" i="37" l="1"/>
  <c r="LV11" i="37"/>
  <c r="LV13" i="37"/>
  <c r="LV14" i="37"/>
  <c r="LW10" i="37"/>
  <c r="LV12" i="37"/>
  <c r="S114" i="28"/>
  <c r="J115" i="28"/>
  <c r="M115" i="28" s="1"/>
  <c r="P115" i="28" s="1"/>
  <c r="L327" i="28"/>
  <c r="O327" i="28" s="1"/>
  <c r="R327" i="28"/>
  <c r="I328" i="28"/>
  <c r="D337" i="28"/>
  <c r="E336" i="28"/>
  <c r="G348" i="28"/>
  <c r="B334" i="28"/>
  <c r="F335" i="28"/>
  <c r="C334" i="28"/>
  <c r="LV15" i="37" l="1"/>
  <c r="LW12" i="37"/>
  <c r="LW14" i="37"/>
  <c r="LW11" i="37"/>
  <c r="LW13" i="37"/>
  <c r="LX10" i="37"/>
  <c r="J116" i="28"/>
  <c r="M116" i="28" s="1"/>
  <c r="P116" i="28" s="1"/>
  <c r="S115" i="28"/>
  <c r="L328" i="28"/>
  <c r="O328" i="28" s="1"/>
  <c r="R328" i="28"/>
  <c r="I329" i="28"/>
  <c r="D338" i="28"/>
  <c r="E337" i="28"/>
  <c r="G349" i="28"/>
  <c r="B335" i="28"/>
  <c r="C335" i="28"/>
  <c r="F336" i="28"/>
  <c r="LW15" i="37" l="1"/>
  <c r="LX12" i="37"/>
  <c r="LX13" i="37"/>
  <c r="LX11" i="37"/>
  <c r="LX14" i="37"/>
  <c r="LY10" i="37"/>
  <c r="S116" i="28"/>
  <c r="J117" i="28"/>
  <c r="M117" i="28" s="1"/>
  <c r="P117" i="28" s="1"/>
  <c r="R329" i="28"/>
  <c r="L329" i="28"/>
  <c r="O329" i="28" s="1"/>
  <c r="I330" i="28"/>
  <c r="D339" i="28"/>
  <c r="E338" i="28"/>
  <c r="G350" i="28"/>
  <c r="B336" i="28"/>
  <c r="C336" i="28"/>
  <c r="F337" i="28"/>
  <c r="LY14" i="37" l="1"/>
  <c r="LZ10" i="37"/>
  <c r="LY12" i="37"/>
  <c r="LY13" i="37"/>
  <c r="LY11" i="37"/>
  <c r="LX15" i="37"/>
  <c r="J118" i="28"/>
  <c r="M118" i="28" s="1"/>
  <c r="P118" i="28" s="1"/>
  <c r="S117" i="28"/>
  <c r="R330" i="28"/>
  <c r="I331" i="28"/>
  <c r="L330" i="28"/>
  <c r="O330" i="28" s="1"/>
  <c r="D340" i="28"/>
  <c r="E339" i="28"/>
  <c r="G351" i="28"/>
  <c r="B337" i="28"/>
  <c r="C337" i="28"/>
  <c r="F338" i="28"/>
  <c r="LY15" i="37" l="1"/>
  <c r="LZ11" i="37"/>
  <c r="MA10" i="37"/>
  <c r="LZ12" i="37"/>
  <c r="LZ13" i="37"/>
  <c r="LZ14" i="37"/>
  <c r="J119" i="28"/>
  <c r="M119" i="28" s="1"/>
  <c r="P119" i="28" s="1"/>
  <c r="S118" i="28"/>
  <c r="L331" i="28"/>
  <c r="O331" i="28" s="1"/>
  <c r="R331" i="28"/>
  <c r="I332" i="28"/>
  <c r="D341" i="28"/>
  <c r="E340" i="28"/>
  <c r="G352" i="28"/>
  <c r="B338" i="28"/>
  <c r="C338" i="28"/>
  <c r="F339" i="28"/>
  <c r="MA11" i="37" l="1"/>
  <c r="MA12" i="37"/>
  <c r="MA13" i="37"/>
  <c r="MA14" i="37"/>
  <c r="MB10" i="37"/>
  <c r="LZ15" i="37"/>
  <c r="S119" i="28"/>
  <c r="J120" i="28"/>
  <c r="M120" i="28" s="1"/>
  <c r="P120" i="28" s="1"/>
  <c r="L332" i="28"/>
  <c r="O332" i="28" s="1"/>
  <c r="I333" i="28"/>
  <c r="R332" i="28"/>
  <c r="D342" i="28"/>
  <c r="E341" i="28"/>
  <c r="G353" i="28"/>
  <c r="B339" i="28"/>
  <c r="C339" i="28"/>
  <c r="F340" i="28"/>
  <c r="MC10" i="37" l="1"/>
  <c r="MB11" i="37"/>
  <c r="MB13" i="37"/>
  <c r="MB12" i="37"/>
  <c r="MB14" i="37"/>
  <c r="MA15" i="37"/>
  <c r="S120" i="28"/>
  <c r="J121" i="28"/>
  <c r="M121" i="28" s="1"/>
  <c r="P121" i="28" s="1"/>
  <c r="R333" i="28"/>
  <c r="I334" i="28"/>
  <c r="L333" i="28"/>
  <c r="O333" i="28" s="1"/>
  <c r="D343" i="28"/>
  <c r="E342" i="28"/>
  <c r="G354" i="28"/>
  <c r="B340" i="28"/>
  <c r="C340" i="28"/>
  <c r="F341" i="28"/>
  <c r="MB15" i="37" l="1"/>
  <c r="MD10" i="37"/>
  <c r="MC12" i="37"/>
  <c r="MC11" i="37"/>
  <c r="MC13" i="37"/>
  <c r="MC14" i="37"/>
  <c r="S121" i="28"/>
  <c r="J122" i="28"/>
  <c r="M122" i="28" s="1"/>
  <c r="P122" i="28" s="1"/>
  <c r="L334" i="28"/>
  <c r="O334" i="28" s="1"/>
  <c r="R334" i="28"/>
  <c r="I335" i="28"/>
  <c r="D344" i="28"/>
  <c r="E343" i="28"/>
  <c r="G355" i="28"/>
  <c r="C341" i="28"/>
  <c r="F342" i="28"/>
  <c r="B341" i="28"/>
  <c r="MC15" i="37" l="1"/>
  <c r="MD14" i="37"/>
  <c r="ME10" i="37"/>
  <c r="MD13" i="37"/>
  <c r="MD11" i="37"/>
  <c r="MD12" i="37"/>
  <c r="J123" i="28"/>
  <c r="M123" i="28" s="1"/>
  <c r="P123" i="28" s="1"/>
  <c r="S122" i="28"/>
  <c r="R335" i="28"/>
  <c r="I336" i="28"/>
  <c r="L335" i="28"/>
  <c r="O335" i="28" s="1"/>
  <c r="D345" i="28"/>
  <c r="E344" i="28"/>
  <c r="G356" i="28"/>
  <c r="F343" i="28"/>
  <c r="B342" i="28"/>
  <c r="C342" i="28"/>
  <c r="MD15" i="37" l="1"/>
  <c r="ME12" i="37"/>
  <c r="ME13" i="37"/>
  <c r="MF10" i="37"/>
  <c r="ME11" i="37"/>
  <c r="ME14" i="37"/>
  <c r="S123" i="28"/>
  <c r="J124" i="28"/>
  <c r="M124" i="28" s="1"/>
  <c r="P124" i="28" s="1"/>
  <c r="L336" i="28"/>
  <c r="O336" i="28" s="1"/>
  <c r="R336" i="28"/>
  <c r="I337" i="28"/>
  <c r="D346" i="28"/>
  <c r="E345" i="28"/>
  <c r="G357" i="28"/>
  <c r="F344" i="28"/>
  <c r="B343" i="28"/>
  <c r="C343" i="28"/>
  <c r="ME15" i="37" l="1"/>
  <c r="MF13" i="37"/>
  <c r="MF14" i="37"/>
  <c r="MF12" i="37"/>
  <c r="MG10" i="37"/>
  <c r="MF11" i="37"/>
  <c r="J125" i="28"/>
  <c r="M125" i="28" s="1"/>
  <c r="P125" i="28" s="1"/>
  <c r="S124" i="28"/>
  <c r="L337" i="28"/>
  <c r="O337" i="28" s="1"/>
  <c r="R337" i="28"/>
  <c r="I338" i="28"/>
  <c r="D347" i="28"/>
  <c r="E346" i="28"/>
  <c r="G358" i="28"/>
  <c r="B344" i="28"/>
  <c r="F345" i="28"/>
  <c r="C344" i="28"/>
  <c r="MF15" i="37" l="1"/>
  <c r="MG14" i="37"/>
  <c r="MG12" i="37"/>
  <c r="MH10" i="37"/>
  <c r="MI10" i="37" s="1"/>
  <c r="MG11" i="37"/>
  <c r="MG13" i="37"/>
  <c r="S125" i="28"/>
  <c r="J126" i="28"/>
  <c r="M126" i="28" s="1"/>
  <c r="P126" i="28" s="1"/>
  <c r="I339" i="28"/>
  <c r="R338" i="28"/>
  <c r="L338" i="28"/>
  <c r="O338" i="28" s="1"/>
  <c r="D348" i="28"/>
  <c r="E347" i="28"/>
  <c r="G359" i="28"/>
  <c r="B345" i="28"/>
  <c r="C345" i="28"/>
  <c r="F346" i="28"/>
  <c r="MG15" i="37" l="1"/>
  <c r="MI11" i="37"/>
  <c r="MI13" i="37"/>
  <c r="MI12" i="37"/>
  <c r="MI14" i="37"/>
  <c r="MJ10" i="37"/>
  <c r="MH14" i="37"/>
  <c r="MH11" i="37"/>
  <c r="MH12" i="37"/>
  <c r="MH13" i="37"/>
  <c r="S126" i="28"/>
  <c r="J127" i="28"/>
  <c r="M127" i="28" s="1"/>
  <c r="P127" i="28" s="1"/>
  <c r="R339" i="28"/>
  <c r="I340" i="28"/>
  <c r="L339" i="28"/>
  <c r="O339" i="28" s="1"/>
  <c r="D349" i="28"/>
  <c r="E348" i="28"/>
  <c r="G360" i="28"/>
  <c r="C346" i="28"/>
  <c r="F347" i="28"/>
  <c r="B346" i="28"/>
  <c r="MJ11" i="37" l="1"/>
  <c r="MJ13" i="37"/>
  <c r="MK10" i="37"/>
  <c r="MJ12" i="37"/>
  <c r="MJ14" i="37"/>
  <c r="MI15" i="37"/>
  <c r="MH15" i="37"/>
  <c r="J128" i="28"/>
  <c r="M128" i="28" s="1"/>
  <c r="P128" i="28" s="1"/>
  <c r="S127" i="28"/>
  <c r="I341" i="28"/>
  <c r="L340" i="28"/>
  <c r="O340" i="28" s="1"/>
  <c r="R340" i="28"/>
  <c r="D350" i="28"/>
  <c r="E349" i="28"/>
  <c r="G361" i="28"/>
  <c r="F348" i="28"/>
  <c r="B347" i="28"/>
  <c r="C347" i="28"/>
  <c r="MJ15" i="37" l="1"/>
  <c r="MK12" i="37"/>
  <c r="MK11" i="37"/>
  <c r="MK13" i="37"/>
  <c r="ML10" i="37"/>
  <c r="MK14" i="37"/>
  <c r="J129" i="28"/>
  <c r="M129" i="28" s="1"/>
  <c r="P129" i="28" s="1"/>
  <c r="S128" i="28"/>
  <c r="R341" i="28"/>
  <c r="I342" i="28"/>
  <c r="L341" i="28"/>
  <c r="O341" i="28" s="1"/>
  <c r="D351" i="28"/>
  <c r="E350" i="28"/>
  <c r="G362" i="28"/>
  <c r="F349" i="28"/>
  <c r="B348" i="28"/>
  <c r="C348" i="28"/>
  <c r="MK15" i="37" l="1"/>
  <c r="MM10" i="37"/>
  <c r="ML11" i="37"/>
  <c r="ML13" i="37"/>
  <c r="ML14" i="37"/>
  <c r="ML12" i="37"/>
  <c r="S129" i="28"/>
  <c r="J130" i="28"/>
  <c r="M130" i="28" s="1"/>
  <c r="P130" i="28" s="1"/>
  <c r="I343" i="28"/>
  <c r="R342" i="28"/>
  <c r="L342" i="28"/>
  <c r="O342" i="28" s="1"/>
  <c r="D352" i="28"/>
  <c r="E351" i="28"/>
  <c r="G363" i="28"/>
  <c r="F350" i="28"/>
  <c r="B349" i="28"/>
  <c r="C349" i="28"/>
  <c r="ML15" i="37" l="1"/>
  <c r="MM12" i="37"/>
  <c r="MM11" i="37"/>
  <c r="MM13" i="37"/>
  <c r="MM14" i="37"/>
  <c r="MN10" i="37"/>
  <c r="J131" i="28"/>
  <c r="M131" i="28" s="1"/>
  <c r="P131" i="28" s="1"/>
  <c r="S130" i="28"/>
  <c r="I344" i="28"/>
  <c r="R343" i="28"/>
  <c r="L343" i="28"/>
  <c r="O343" i="28" s="1"/>
  <c r="D353" i="28"/>
  <c r="E352" i="28"/>
  <c r="G364" i="28"/>
  <c r="F351" i="28"/>
  <c r="B350" i="28"/>
  <c r="C350" i="28"/>
  <c r="MN14" i="37" l="1"/>
  <c r="MO10" i="37"/>
  <c r="MN11" i="37"/>
  <c r="MN13" i="37"/>
  <c r="MN12" i="37"/>
  <c r="MM15" i="37"/>
  <c r="J132" i="28"/>
  <c r="M132" i="28" s="1"/>
  <c r="P132" i="28" s="1"/>
  <c r="S131" i="28"/>
  <c r="L344" i="28"/>
  <c r="O344" i="28" s="1"/>
  <c r="R344" i="28"/>
  <c r="I345" i="28"/>
  <c r="D354" i="28"/>
  <c r="E353" i="28"/>
  <c r="G365" i="28"/>
  <c r="F352" i="28"/>
  <c r="B351" i="28"/>
  <c r="C351" i="28"/>
  <c r="MN15" i="37" l="1"/>
  <c r="MO13" i="37"/>
  <c r="MO12" i="37"/>
  <c r="MO11" i="37"/>
  <c r="MO14" i="37"/>
  <c r="MP10" i="37"/>
  <c r="S132" i="28"/>
  <c r="J133" i="28"/>
  <c r="M133" i="28" s="1"/>
  <c r="P133" i="28" s="1"/>
  <c r="L345" i="28"/>
  <c r="O345" i="28" s="1"/>
  <c r="I346" i="28"/>
  <c r="R345" i="28"/>
  <c r="D355" i="28"/>
  <c r="E354" i="28"/>
  <c r="G366" i="28"/>
  <c r="B352" i="28"/>
  <c r="F353" i="28"/>
  <c r="C352" i="28"/>
  <c r="MQ10" i="37" l="1"/>
  <c r="MP12" i="37"/>
  <c r="MP14" i="37"/>
  <c r="MP11" i="37"/>
  <c r="MP13" i="37"/>
  <c r="MO15" i="37"/>
  <c r="S133" i="28"/>
  <c r="J134" i="28"/>
  <c r="M134" i="28" s="1"/>
  <c r="P134" i="28" s="1"/>
  <c r="L346" i="28"/>
  <c r="O346" i="28" s="1"/>
  <c r="I347" i="28"/>
  <c r="R346" i="28"/>
  <c r="D356" i="28"/>
  <c r="E355" i="28"/>
  <c r="G367" i="28"/>
  <c r="F354" i="28"/>
  <c r="B353" i="28"/>
  <c r="C353" i="28"/>
  <c r="MP15" i="37" l="1"/>
  <c r="MQ12" i="37"/>
  <c r="MQ14" i="37"/>
  <c r="MR10" i="37"/>
  <c r="MQ11" i="37"/>
  <c r="MQ13" i="37"/>
  <c r="S134" i="28"/>
  <c r="J135" i="28"/>
  <c r="M135" i="28" s="1"/>
  <c r="P135" i="28" s="1"/>
  <c r="L347" i="28"/>
  <c r="O347" i="28" s="1"/>
  <c r="I348" i="28"/>
  <c r="R347" i="28"/>
  <c r="D357" i="28"/>
  <c r="E356" i="28"/>
  <c r="G368" i="28"/>
  <c r="B354" i="28"/>
  <c r="C354" i="28"/>
  <c r="F355" i="28"/>
  <c r="MQ15" i="37" l="1"/>
  <c r="MR12" i="37"/>
  <c r="MR14" i="37"/>
  <c r="MS10" i="37"/>
  <c r="MR11" i="37"/>
  <c r="MR13" i="37"/>
  <c r="S135" i="28"/>
  <c r="J136" i="28"/>
  <c r="M136" i="28" s="1"/>
  <c r="P136" i="28" s="1"/>
  <c r="L348" i="28"/>
  <c r="O348" i="28" s="1"/>
  <c r="I349" i="28"/>
  <c r="R348" i="28"/>
  <c r="D358" i="28"/>
  <c r="E357" i="28"/>
  <c r="G369" i="28"/>
  <c r="B355" i="28"/>
  <c r="C355" i="28"/>
  <c r="F356" i="28"/>
  <c r="MR15" i="37" l="1"/>
  <c r="MS12" i="37"/>
  <c r="MS14" i="37"/>
  <c r="MT10" i="37"/>
  <c r="MS13" i="37"/>
  <c r="MS11" i="37"/>
  <c r="J137" i="28"/>
  <c r="M137" i="28" s="1"/>
  <c r="P137" i="28" s="1"/>
  <c r="S136" i="28"/>
  <c r="L349" i="28"/>
  <c r="O349" i="28" s="1"/>
  <c r="I350" i="28"/>
  <c r="R349" i="28"/>
  <c r="D359" i="28"/>
  <c r="E358" i="28"/>
  <c r="G370" i="28"/>
  <c r="C356" i="28"/>
  <c r="B356" i="28"/>
  <c r="F357" i="28"/>
  <c r="MS15" i="37" l="1"/>
  <c r="MT12" i="37"/>
  <c r="MT14" i="37"/>
  <c r="MU10" i="37"/>
  <c r="MT11" i="37"/>
  <c r="MT13" i="37"/>
  <c r="S137" i="28"/>
  <c r="J138" i="28"/>
  <c r="M138" i="28" s="1"/>
  <c r="P138" i="28" s="1"/>
  <c r="L350" i="28"/>
  <c r="O350" i="28" s="1"/>
  <c r="I351" i="28"/>
  <c r="R350" i="28"/>
  <c r="D360" i="28"/>
  <c r="E359" i="28"/>
  <c r="G371" i="28"/>
  <c r="B357" i="28"/>
  <c r="C357" i="28"/>
  <c r="F358" i="28"/>
  <c r="MU12" i="37" l="1"/>
  <c r="MU14" i="37"/>
  <c r="MU11" i="37"/>
  <c r="MV10" i="37"/>
  <c r="MU13" i="37"/>
  <c r="MT15" i="37"/>
  <c r="J139" i="28"/>
  <c r="M139" i="28" s="1"/>
  <c r="P139" i="28" s="1"/>
  <c r="S138" i="28"/>
  <c r="I352" i="28"/>
  <c r="L351" i="28"/>
  <c r="O351" i="28" s="1"/>
  <c r="R351" i="28"/>
  <c r="D361" i="28"/>
  <c r="E360" i="28"/>
  <c r="G372" i="28"/>
  <c r="B358" i="28"/>
  <c r="C358" i="28"/>
  <c r="F359" i="28"/>
  <c r="MV12" i="37" l="1"/>
  <c r="MV14" i="37"/>
  <c r="MV11" i="37"/>
  <c r="MW10" i="37"/>
  <c r="MV13" i="37"/>
  <c r="MU15" i="37"/>
  <c r="S139" i="28"/>
  <c r="J140" i="28"/>
  <c r="M140" i="28" s="1"/>
  <c r="P140" i="28" s="1"/>
  <c r="R352" i="28"/>
  <c r="I353" i="28"/>
  <c r="L352" i="28"/>
  <c r="O352" i="28" s="1"/>
  <c r="D362" i="28"/>
  <c r="E361" i="28"/>
  <c r="G373" i="28"/>
  <c r="B359" i="28"/>
  <c r="C359" i="28"/>
  <c r="F360" i="28"/>
  <c r="MW12" i="37" l="1"/>
  <c r="MW14" i="37"/>
  <c r="MX10" i="37"/>
  <c r="MW13" i="37"/>
  <c r="MW11" i="37"/>
  <c r="MV15" i="37"/>
  <c r="J141" i="28"/>
  <c r="M141" i="28" s="1"/>
  <c r="P141" i="28" s="1"/>
  <c r="S140" i="28"/>
  <c r="L353" i="28"/>
  <c r="O353" i="28" s="1"/>
  <c r="I354" i="28"/>
  <c r="R353" i="28"/>
  <c r="D363" i="28"/>
  <c r="E362" i="28"/>
  <c r="G374" i="28"/>
  <c r="C360" i="28"/>
  <c r="F361" i="28"/>
  <c r="B360" i="28"/>
  <c r="MW15" i="37" l="1"/>
  <c r="MX13" i="37"/>
  <c r="MX12" i="37"/>
  <c r="MX14" i="37"/>
  <c r="MX11" i="37"/>
  <c r="MY10" i="37"/>
  <c r="S141" i="28"/>
  <c r="J142" i="28"/>
  <c r="M142" i="28" s="1"/>
  <c r="L354" i="28"/>
  <c r="O354" i="28" s="1"/>
  <c r="R354" i="28"/>
  <c r="I355" i="28"/>
  <c r="D364" i="28"/>
  <c r="E363" i="28"/>
  <c r="G375" i="28"/>
  <c r="F362" i="28"/>
  <c r="B361" i="28"/>
  <c r="C361" i="28"/>
  <c r="P142" i="28" l="1"/>
  <c r="MX15" i="37"/>
  <c r="MY11" i="37"/>
  <c r="MY13" i="37"/>
  <c r="MY14" i="37"/>
  <c r="MY12" i="37"/>
  <c r="MZ10" i="37"/>
  <c r="J143" i="28"/>
  <c r="M143" i="28" s="1"/>
  <c r="P143" i="28" s="1"/>
  <c r="S142" i="28"/>
  <c r="L355" i="28"/>
  <c r="O355" i="28" s="1"/>
  <c r="R355" i="28"/>
  <c r="I356" i="28"/>
  <c r="D365" i="28"/>
  <c r="E364" i="28"/>
  <c r="G376" i="28"/>
  <c r="F363" i="28"/>
  <c r="C362" i="28"/>
  <c r="B362" i="28"/>
  <c r="MY15" i="37" l="1"/>
  <c r="MZ11" i="37"/>
  <c r="MZ13" i="37"/>
  <c r="NA10" i="37"/>
  <c r="MZ12" i="37"/>
  <c r="MZ14" i="37"/>
  <c r="J144" i="28"/>
  <c r="M144" i="28" s="1"/>
  <c r="P144" i="28" s="1"/>
  <c r="S143" i="28"/>
  <c r="L356" i="28"/>
  <c r="O356" i="28" s="1"/>
  <c r="I357" i="28"/>
  <c r="R356" i="28"/>
  <c r="D366" i="28"/>
  <c r="E365" i="28"/>
  <c r="G377" i="28"/>
  <c r="F364" i="28"/>
  <c r="B363" i="28"/>
  <c r="C363" i="28"/>
  <c r="NA14" i="37" l="1"/>
  <c r="NB10" i="37"/>
  <c r="NA11" i="37"/>
  <c r="NA13" i="37"/>
  <c r="NA12" i="37"/>
  <c r="MZ15" i="37"/>
  <c r="J145" i="28"/>
  <c r="M145" i="28" s="1"/>
  <c r="P145" i="28" s="1"/>
  <c r="S144" i="28"/>
  <c r="L357" i="28"/>
  <c r="O357" i="28" s="1"/>
  <c r="I358" i="28"/>
  <c r="R357" i="28"/>
  <c r="D367" i="28"/>
  <c r="E366" i="28"/>
  <c r="G378" i="28"/>
  <c r="F365" i="28"/>
  <c r="B364" i="28"/>
  <c r="C364" i="28"/>
  <c r="NA15" i="37" l="1"/>
  <c r="NB11" i="37"/>
  <c r="NB13" i="37"/>
  <c r="NB12" i="37"/>
  <c r="NB14" i="37"/>
  <c r="NC10" i="37"/>
  <c r="S145" i="28"/>
  <c r="J146" i="28"/>
  <c r="M146" i="28" s="1"/>
  <c r="P146" i="28" s="1"/>
  <c r="R358" i="28"/>
  <c r="I359" i="28"/>
  <c r="L358" i="28"/>
  <c r="O358" i="28" s="1"/>
  <c r="D368" i="28"/>
  <c r="E367" i="28"/>
  <c r="G379" i="28"/>
  <c r="B365" i="28"/>
  <c r="C365" i="28"/>
  <c r="F366" i="28"/>
  <c r="NB15" i="37" l="1"/>
  <c r="NC14" i="37"/>
  <c r="ND10" i="37"/>
  <c r="NC11" i="37"/>
  <c r="NC13" i="37"/>
  <c r="NC12" i="37"/>
  <c r="S146" i="28"/>
  <c r="J147" i="28"/>
  <c r="M147" i="28" s="1"/>
  <c r="P147" i="28" s="1"/>
  <c r="R359" i="28"/>
  <c r="I360" i="28"/>
  <c r="L359" i="28"/>
  <c r="O359" i="28" s="1"/>
  <c r="D369" i="28"/>
  <c r="E368" i="28"/>
  <c r="G380" i="28"/>
  <c r="B366" i="28"/>
  <c r="C366" i="28"/>
  <c r="F367" i="28"/>
  <c r="NC15" i="37" l="1"/>
  <c r="ND12" i="37"/>
  <c r="ND11" i="37"/>
  <c r="ND13" i="37"/>
  <c r="ND14" i="37"/>
  <c r="NE10" i="37"/>
  <c r="S147" i="28"/>
  <c r="J148" i="28"/>
  <c r="M148" i="28" s="1"/>
  <c r="P148" i="28" s="1"/>
  <c r="L360" i="28"/>
  <c r="O360" i="28" s="1"/>
  <c r="R360" i="28"/>
  <c r="I361" i="28"/>
  <c r="D370" i="28"/>
  <c r="E369" i="28"/>
  <c r="G381" i="28"/>
  <c r="B367" i="28"/>
  <c r="C367" i="28"/>
  <c r="F368" i="28"/>
  <c r="NE12" i="37" l="1"/>
  <c r="NF10" i="37"/>
  <c r="NG10" i="37" s="1"/>
  <c r="NE11" i="37"/>
  <c r="NE13" i="37"/>
  <c r="NE14" i="37"/>
  <c r="ND15" i="37"/>
  <c r="S148" i="28"/>
  <c r="J149" i="28"/>
  <c r="M149" i="28" s="1"/>
  <c r="P149" i="28" s="1"/>
  <c r="L361" i="28"/>
  <c r="O361" i="28" s="1"/>
  <c r="R361" i="28"/>
  <c r="I362" i="28"/>
  <c r="D371" i="28"/>
  <c r="E370" i="28"/>
  <c r="G382" i="28"/>
  <c r="B368" i="28"/>
  <c r="C368" i="28"/>
  <c r="F369" i="28"/>
  <c r="NE15" i="37" l="1"/>
  <c r="NG13" i="37"/>
  <c r="NG11" i="37"/>
  <c r="NG12" i="37"/>
  <c r="NG14" i="37"/>
  <c r="NF14" i="37"/>
  <c r="NF11" i="37"/>
  <c r="NF13" i="37"/>
  <c r="NF12" i="37"/>
  <c r="S149" i="28"/>
  <c r="J150" i="28"/>
  <c r="M150" i="28" s="1"/>
  <c r="P150" i="28" s="1"/>
  <c r="L362" i="28"/>
  <c r="O362" i="28" s="1"/>
  <c r="R362" i="28"/>
  <c r="I363" i="28"/>
  <c r="D372" i="28"/>
  <c r="E371" i="28"/>
  <c r="G383" i="28"/>
  <c r="B369" i="28"/>
  <c r="C369" i="28"/>
  <c r="F370" i="28"/>
  <c r="NF15" i="37" l="1"/>
  <c r="NG15" i="37"/>
  <c r="S150" i="28"/>
  <c r="J151" i="28"/>
  <c r="M151" i="28" s="1"/>
  <c r="P151" i="28" s="1"/>
  <c r="L363" i="28"/>
  <c r="O363" i="28" s="1"/>
  <c r="I364" i="28"/>
  <c r="R363" i="28"/>
  <c r="D373" i="28"/>
  <c r="E372" i="28"/>
  <c r="G384" i="28"/>
  <c r="B370" i="28"/>
  <c r="C370" i="28"/>
  <c r="F371" i="28"/>
  <c r="J152" i="28" l="1"/>
  <c r="M152" i="28" s="1"/>
  <c r="P152" i="28" s="1"/>
  <c r="S151" i="28"/>
  <c r="L364" i="28"/>
  <c r="O364" i="28" s="1"/>
  <c r="R364" i="28"/>
  <c r="I365" i="28"/>
  <c r="D374" i="28"/>
  <c r="E373" i="28"/>
  <c r="G385" i="28"/>
  <c r="B371" i="28"/>
  <c r="C371" i="28"/>
  <c r="F372" i="28"/>
  <c r="J153" i="28" l="1"/>
  <c r="M153" i="28" s="1"/>
  <c r="P153" i="28" s="1"/>
  <c r="S152" i="28"/>
  <c r="R365" i="28"/>
  <c r="I366" i="28"/>
  <c r="L365" i="28"/>
  <c r="O365" i="28" s="1"/>
  <c r="D375" i="28"/>
  <c r="E374" i="28"/>
  <c r="G386" i="28"/>
  <c r="B372" i="28"/>
  <c r="C372" i="28"/>
  <c r="F373" i="28"/>
  <c r="S153" i="28" l="1"/>
  <c r="J154" i="28"/>
  <c r="M154" i="28" s="1"/>
  <c r="P154" i="28" s="1"/>
  <c r="L366" i="28"/>
  <c r="O366" i="28" s="1"/>
  <c r="R366" i="28"/>
  <c r="I367" i="28"/>
  <c r="D376" i="28"/>
  <c r="E375" i="28"/>
  <c r="G387" i="28"/>
  <c r="B373" i="28"/>
  <c r="C373" i="28"/>
  <c r="F374" i="28"/>
  <c r="J155" i="28" l="1"/>
  <c r="M155" i="28" s="1"/>
  <c r="P155" i="28" s="1"/>
  <c r="S154" i="28"/>
  <c r="L367" i="28"/>
  <c r="O367" i="28" s="1"/>
  <c r="R367" i="28"/>
  <c r="I368" i="28"/>
  <c r="D377" i="28"/>
  <c r="E376" i="28"/>
  <c r="G388" i="28"/>
  <c r="B374" i="28"/>
  <c r="C374" i="28"/>
  <c r="F375" i="28"/>
  <c r="J156" i="28" l="1"/>
  <c r="M156" i="28" s="1"/>
  <c r="P156" i="28" s="1"/>
  <c r="S155" i="28"/>
  <c r="L368" i="28"/>
  <c r="O368" i="28" s="1"/>
  <c r="I369" i="28"/>
  <c r="R368" i="28"/>
  <c r="D378" i="28"/>
  <c r="E377" i="28"/>
  <c r="G389" i="28"/>
  <c r="B375" i="28"/>
  <c r="C375" i="28"/>
  <c r="F376" i="28"/>
  <c r="J157" i="28" l="1"/>
  <c r="M157" i="28" s="1"/>
  <c r="P157" i="28" s="1"/>
  <c r="S156" i="28"/>
  <c r="L369" i="28"/>
  <c r="O369" i="28" s="1"/>
  <c r="R369" i="28"/>
  <c r="I370" i="28"/>
  <c r="D379" i="28"/>
  <c r="E378" i="28"/>
  <c r="G390" i="28"/>
  <c r="C376" i="28"/>
  <c r="B376" i="28"/>
  <c r="F377" i="28"/>
  <c r="S157" i="28" l="1"/>
  <c r="J158" i="28"/>
  <c r="M158" i="28" s="1"/>
  <c r="P158" i="28" s="1"/>
  <c r="L370" i="28"/>
  <c r="O370" i="28" s="1"/>
  <c r="R370" i="28"/>
  <c r="I371" i="28"/>
  <c r="D380" i="28"/>
  <c r="E379" i="28"/>
  <c r="G391" i="28"/>
  <c r="F378" i="28"/>
  <c r="C377" i="28"/>
  <c r="B377" i="28"/>
  <c r="S158" i="28" l="1"/>
  <c r="J159" i="28"/>
  <c r="M159" i="28" s="1"/>
  <c r="P159" i="28" s="1"/>
  <c r="L371" i="28"/>
  <c r="O371" i="28" s="1"/>
  <c r="R371" i="28"/>
  <c r="I372" i="28"/>
  <c r="D381" i="28"/>
  <c r="E380" i="28"/>
  <c r="G392" i="28"/>
  <c r="F379" i="28"/>
  <c r="C378" i="28"/>
  <c r="B378" i="28"/>
  <c r="J160" i="28" l="1"/>
  <c r="M160" i="28" s="1"/>
  <c r="P160" i="28" s="1"/>
  <c r="S159" i="28"/>
  <c r="L372" i="28"/>
  <c r="O372" i="28" s="1"/>
  <c r="R372" i="28"/>
  <c r="I373" i="28"/>
  <c r="D382" i="28"/>
  <c r="E381" i="28"/>
  <c r="G393" i="28"/>
  <c r="F380" i="28"/>
  <c r="B379" i="28"/>
  <c r="C379" i="28"/>
  <c r="S160" i="28" l="1"/>
  <c r="J161" i="28"/>
  <c r="M161" i="28" s="1"/>
  <c r="P161" i="28" s="1"/>
  <c r="L373" i="28"/>
  <c r="O373" i="28" s="1"/>
  <c r="I374" i="28"/>
  <c r="R373" i="28"/>
  <c r="D383" i="28"/>
  <c r="E382" i="28"/>
  <c r="G394" i="28"/>
  <c r="F381" i="28"/>
  <c r="B380" i="28"/>
  <c r="C380" i="28"/>
  <c r="J162" i="28" l="1"/>
  <c r="M162" i="28" s="1"/>
  <c r="P162" i="28" s="1"/>
  <c r="S161" i="28"/>
  <c r="L374" i="28"/>
  <c r="O374" i="28" s="1"/>
  <c r="I375" i="28"/>
  <c r="R374" i="28"/>
  <c r="D384" i="28"/>
  <c r="E383" i="28"/>
  <c r="G395" i="28"/>
  <c r="B381" i="28"/>
  <c r="C381" i="28"/>
  <c r="F382" i="28"/>
  <c r="S162" i="28" l="1"/>
  <c r="J163" i="28"/>
  <c r="M163" i="28" s="1"/>
  <c r="P163" i="28" s="1"/>
  <c r="I376" i="28"/>
  <c r="R375" i="28"/>
  <c r="L375" i="28"/>
  <c r="O375" i="28" s="1"/>
  <c r="D385" i="28"/>
  <c r="E384" i="28"/>
  <c r="G396" i="28"/>
  <c r="B382" i="28"/>
  <c r="C382" i="28"/>
  <c r="F383" i="28"/>
  <c r="S163" i="28" l="1"/>
  <c r="J164" i="28"/>
  <c r="M164" i="28" s="1"/>
  <c r="P164" i="28" s="1"/>
  <c r="L376" i="28"/>
  <c r="O376" i="28" s="1"/>
  <c r="R376" i="28"/>
  <c r="I377" i="28"/>
  <c r="D386" i="28"/>
  <c r="E385" i="28"/>
  <c r="G397" i="28"/>
  <c r="B383" i="28"/>
  <c r="C383" i="28"/>
  <c r="F384" i="28"/>
  <c r="S164" i="28" l="1"/>
  <c r="J165" i="28"/>
  <c r="M165" i="28" s="1"/>
  <c r="P165" i="28" s="1"/>
  <c r="L377" i="28"/>
  <c r="O377" i="28" s="1"/>
  <c r="R377" i="28"/>
  <c r="I378" i="28"/>
  <c r="D387" i="28"/>
  <c r="E386" i="28"/>
  <c r="G398" i="28"/>
  <c r="B384" i="28"/>
  <c r="C384" i="28"/>
  <c r="F385" i="28"/>
  <c r="J166" i="28" l="1"/>
  <c r="M166" i="28" s="1"/>
  <c r="P166" i="28" s="1"/>
  <c r="S165" i="28"/>
  <c r="L378" i="28"/>
  <c r="O378" i="28" s="1"/>
  <c r="I379" i="28"/>
  <c r="R378" i="28"/>
  <c r="D388" i="28"/>
  <c r="E387" i="28"/>
  <c r="G399" i="28"/>
  <c r="B385" i="28"/>
  <c r="C385" i="28"/>
  <c r="F386" i="28"/>
  <c r="J167" i="28" l="1"/>
  <c r="M167" i="28" s="1"/>
  <c r="P167" i="28" s="1"/>
  <c r="S166" i="28"/>
  <c r="R379" i="28"/>
  <c r="I380" i="28"/>
  <c r="L379" i="28"/>
  <c r="O379" i="28" s="1"/>
  <c r="D389" i="28"/>
  <c r="E388" i="28"/>
  <c r="G400" i="28"/>
  <c r="B386" i="28"/>
  <c r="C386" i="28"/>
  <c r="F387" i="28"/>
  <c r="S167" i="28" l="1"/>
  <c r="J168" i="28"/>
  <c r="M168" i="28" s="1"/>
  <c r="P168" i="28" s="1"/>
  <c r="L380" i="28"/>
  <c r="O380" i="28" s="1"/>
  <c r="I381" i="28"/>
  <c r="R380" i="28"/>
  <c r="D390" i="28"/>
  <c r="E389" i="28"/>
  <c r="G401" i="28"/>
  <c r="B387" i="28"/>
  <c r="C387" i="28"/>
  <c r="F388" i="28"/>
  <c r="S168" i="28" l="1"/>
  <c r="J169" i="28"/>
  <c r="M169" i="28" s="1"/>
  <c r="P169" i="28" s="1"/>
  <c r="I382" i="28"/>
  <c r="R381" i="28"/>
  <c r="L381" i="28"/>
  <c r="O381" i="28" s="1"/>
  <c r="D391" i="28"/>
  <c r="E390" i="28"/>
  <c r="G402" i="28"/>
  <c r="B388" i="28"/>
  <c r="C388" i="28"/>
  <c r="F389" i="28"/>
  <c r="S169" i="28" l="1"/>
  <c r="J170" i="28"/>
  <c r="M170" i="28" s="1"/>
  <c r="P170" i="28" s="1"/>
  <c r="R382" i="28"/>
  <c r="I383" i="28"/>
  <c r="L382" i="28"/>
  <c r="O382" i="28" s="1"/>
  <c r="D392" i="28"/>
  <c r="E391" i="28"/>
  <c r="G403" i="28"/>
  <c r="B389" i="28"/>
  <c r="C389" i="28"/>
  <c r="F390" i="28"/>
  <c r="J171" i="28" l="1"/>
  <c r="M171" i="28" s="1"/>
  <c r="P171" i="28" s="1"/>
  <c r="S170" i="28"/>
  <c r="R383" i="28"/>
  <c r="L383" i="28"/>
  <c r="O383" i="28" s="1"/>
  <c r="I384" i="28"/>
  <c r="D393" i="28"/>
  <c r="E392" i="28"/>
  <c r="G404" i="28"/>
  <c r="B390" i="28"/>
  <c r="C390" i="28"/>
  <c r="F391" i="28"/>
  <c r="J172" i="28" l="1"/>
  <c r="M172" i="28" s="1"/>
  <c r="P172" i="28" s="1"/>
  <c r="S171" i="28"/>
  <c r="R384" i="28"/>
  <c r="L384" i="28"/>
  <c r="O384" i="28" s="1"/>
  <c r="I385" i="28"/>
  <c r="D394" i="28"/>
  <c r="E393" i="28"/>
  <c r="G405" i="28"/>
  <c r="B391" i="28"/>
  <c r="C391" i="28"/>
  <c r="F392" i="28"/>
  <c r="S172" i="28" l="1"/>
  <c r="J173" i="28"/>
  <c r="M173" i="28" s="1"/>
  <c r="P173" i="28" s="1"/>
  <c r="L385" i="28"/>
  <c r="O385" i="28" s="1"/>
  <c r="I386" i="28"/>
  <c r="R385" i="28"/>
  <c r="D395" i="28"/>
  <c r="E394" i="28"/>
  <c r="G406" i="28"/>
  <c r="C392" i="28"/>
  <c r="F393" i="28"/>
  <c r="B392" i="28"/>
  <c r="S173" i="28" l="1"/>
  <c r="J174" i="28"/>
  <c r="M174" i="28" s="1"/>
  <c r="P174" i="28" s="1"/>
  <c r="L386" i="28"/>
  <c r="O386" i="28" s="1"/>
  <c r="R386" i="28"/>
  <c r="I387" i="28"/>
  <c r="D396" i="28"/>
  <c r="E395" i="28"/>
  <c r="G407" i="28"/>
  <c r="F394" i="28"/>
  <c r="C393" i="28"/>
  <c r="B393" i="28"/>
  <c r="S174" i="28" l="1"/>
  <c r="J175" i="28"/>
  <c r="M175" i="28" s="1"/>
  <c r="P175" i="28" s="1"/>
  <c r="L387" i="28"/>
  <c r="O387" i="28" s="1"/>
  <c r="R387" i="28"/>
  <c r="I388" i="28"/>
  <c r="D397" i="28"/>
  <c r="E396" i="28"/>
  <c r="G408" i="28"/>
  <c r="F395" i="28"/>
  <c r="C394" i="28"/>
  <c r="B394" i="28"/>
  <c r="S175" i="28" l="1"/>
  <c r="J176" i="28"/>
  <c r="M176" i="28" s="1"/>
  <c r="P176" i="28" s="1"/>
  <c r="L388" i="28"/>
  <c r="O388" i="28" s="1"/>
  <c r="R388" i="28"/>
  <c r="I389" i="28"/>
  <c r="D398" i="28"/>
  <c r="E397" i="28"/>
  <c r="G409" i="28"/>
  <c r="F396" i="28"/>
  <c r="F397" i="28" s="1"/>
  <c r="B395" i="28"/>
  <c r="C395" i="28"/>
  <c r="J177" i="28" l="1"/>
  <c r="M177" i="28" s="1"/>
  <c r="P177" i="28" s="1"/>
  <c r="S176" i="28"/>
  <c r="L389" i="28"/>
  <c r="O389" i="28" s="1"/>
  <c r="R389" i="28"/>
  <c r="I390" i="28"/>
  <c r="D399" i="28"/>
  <c r="E398" i="28"/>
  <c r="G410" i="28"/>
  <c r="B397" i="28"/>
  <c r="C397" i="28"/>
  <c r="F398" i="28"/>
  <c r="B396" i="28"/>
  <c r="C396" i="28"/>
  <c r="J178" i="28" l="1"/>
  <c r="M178" i="28" s="1"/>
  <c r="P178" i="28" s="1"/>
  <c r="S177" i="28"/>
  <c r="L390" i="28"/>
  <c r="O390" i="28" s="1"/>
  <c r="I391" i="28"/>
  <c r="R390" i="28"/>
  <c r="D400" i="28"/>
  <c r="E399" i="28"/>
  <c r="G411" i="28"/>
  <c r="C398" i="28"/>
  <c r="F399" i="28"/>
  <c r="B398" i="28"/>
  <c r="S178" i="28" l="1"/>
  <c r="J179" i="28"/>
  <c r="M179" i="28" s="1"/>
  <c r="P179" i="28" s="1"/>
  <c r="I392" i="28"/>
  <c r="L391" i="28"/>
  <c r="O391" i="28" s="1"/>
  <c r="R391" i="28"/>
  <c r="D401" i="28"/>
  <c r="E400" i="28"/>
  <c r="G412" i="28"/>
  <c r="F400" i="28"/>
  <c r="B399" i="28"/>
  <c r="C399" i="28"/>
  <c r="J180" i="28" l="1"/>
  <c r="M180" i="28" s="1"/>
  <c r="P180" i="28" s="1"/>
  <c r="S179" i="28"/>
  <c r="L392" i="28"/>
  <c r="O392" i="28" s="1"/>
  <c r="R392" i="28"/>
  <c r="I393" i="28"/>
  <c r="D402" i="28"/>
  <c r="E401" i="28"/>
  <c r="G413" i="28"/>
  <c r="F401" i="28"/>
  <c r="B400" i="28"/>
  <c r="C400" i="28"/>
  <c r="S180" i="28" l="1"/>
  <c r="J181" i="28"/>
  <c r="M181" i="28" s="1"/>
  <c r="P181" i="28" s="1"/>
  <c r="R393" i="28"/>
  <c r="I394" i="28"/>
  <c r="L393" i="28"/>
  <c r="O393" i="28" s="1"/>
  <c r="D403" i="28"/>
  <c r="E402" i="28"/>
  <c r="G414" i="28"/>
  <c r="B401" i="28"/>
  <c r="C401" i="28"/>
  <c r="F402" i="28"/>
  <c r="J182" i="28" l="1"/>
  <c r="M182" i="28" s="1"/>
  <c r="P182" i="28" s="1"/>
  <c r="S181" i="28"/>
  <c r="L394" i="28"/>
  <c r="O394" i="28" s="1"/>
  <c r="I395" i="28"/>
  <c r="R394" i="28"/>
  <c r="D404" i="28"/>
  <c r="E403" i="28"/>
  <c r="G415" i="28"/>
  <c r="B402" i="28"/>
  <c r="C402" i="28"/>
  <c r="F403" i="28"/>
  <c r="S182" i="28" l="1"/>
  <c r="J183" i="28"/>
  <c r="M183" i="28" s="1"/>
  <c r="P183" i="28" s="1"/>
  <c r="I396" i="28"/>
  <c r="R395" i="28"/>
  <c r="L395" i="28"/>
  <c r="O395" i="28" s="1"/>
  <c r="D405" i="28"/>
  <c r="E404" i="28"/>
  <c r="G416" i="28"/>
  <c r="B403" i="28"/>
  <c r="C403" i="28"/>
  <c r="F404" i="28"/>
  <c r="J184" i="28" l="1"/>
  <c r="M184" i="28" s="1"/>
  <c r="P184" i="28" s="1"/>
  <c r="S183" i="28"/>
  <c r="R396" i="28"/>
  <c r="I397" i="28"/>
  <c r="L396" i="28"/>
  <c r="O396" i="28" s="1"/>
  <c r="D406" i="28"/>
  <c r="E405" i="28"/>
  <c r="G417" i="28"/>
  <c r="B404" i="28"/>
  <c r="C404" i="28"/>
  <c r="F405" i="28"/>
  <c r="J185" i="28" l="1"/>
  <c r="M185" i="28" s="1"/>
  <c r="P185" i="28" s="1"/>
  <c r="S184" i="28"/>
  <c r="I398" i="28"/>
  <c r="L397" i="28"/>
  <c r="O397" i="28" s="1"/>
  <c r="R397" i="28"/>
  <c r="D407" i="28"/>
  <c r="E406" i="28"/>
  <c r="G418" i="28"/>
  <c r="B405" i="28"/>
  <c r="C405" i="28"/>
  <c r="F406" i="28"/>
  <c r="J186" i="28" l="1"/>
  <c r="M186" i="28" s="1"/>
  <c r="P186" i="28" s="1"/>
  <c r="S185" i="28"/>
  <c r="L398" i="28"/>
  <c r="O398" i="28" s="1"/>
  <c r="R398" i="28"/>
  <c r="I399" i="28"/>
  <c r="D408" i="28"/>
  <c r="E407" i="28"/>
  <c r="G419" i="28"/>
  <c r="B406" i="28"/>
  <c r="C406" i="28"/>
  <c r="F407" i="28"/>
  <c r="J187" i="28" l="1"/>
  <c r="M187" i="28" s="1"/>
  <c r="P187" i="28" s="1"/>
  <c r="S186" i="28"/>
  <c r="L399" i="28"/>
  <c r="O399" i="28" s="1"/>
  <c r="R399" i="28"/>
  <c r="I400" i="28"/>
  <c r="D409" i="28"/>
  <c r="E408" i="28"/>
  <c r="G420" i="28"/>
  <c r="B407" i="28"/>
  <c r="C407" i="28"/>
  <c r="F408" i="28"/>
  <c r="J188" i="28" l="1"/>
  <c r="M188" i="28" s="1"/>
  <c r="P188" i="28" s="1"/>
  <c r="S187" i="28"/>
  <c r="I401" i="28"/>
  <c r="L400" i="28"/>
  <c r="O400" i="28" s="1"/>
  <c r="R400" i="28"/>
  <c r="D410" i="28"/>
  <c r="E409" i="28"/>
  <c r="G421" i="28"/>
  <c r="B408" i="28"/>
  <c r="C408" i="28"/>
  <c r="F409" i="28"/>
  <c r="S188" i="28" l="1"/>
  <c r="J189" i="28"/>
  <c r="M189" i="28" s="1"/>
  <c r="P189" i="28" s="1"/>
  <c r="L401" i="28"/>
  <c r="O401" i="28" s="1"/>
  <c r="R401" i="28"/>
  <c r="I402" i="28"/>
  <c r="D411" i="28"/>
  <c r="E410" i="28"/>
  <c r="G422" i="28"/>
  <c r="B409" i="28"/>
  <c r="C409" i="28"/>
  <c r="F410" i="28"/>
  <c r="S189" i="28" l="1"/>
  <c r="J190" i="28"/>
  <c r="M190" i="28" s="1"/>
  <c r="P190" i="28" s="1"/>
  <c r="I403" i="28"/>
  <c r="R402" i="28"/>
  <c r="L402" i="28"/>
  <c r="O402" i="28" s="1"/>
  <c r="D412" i="28"/>
  <c r="E411" i="28"/>
  <c r="G423" i="28"/>
  <c r="B410" i="28"/>
  <c r="C410" i="28"/>
  <c r="F411" i="28"/>
  <c r="J191" i="28" l="1"/>
  <c r="M191" i="28" s="1"/>
  <c r="P191" i="28" s="1"/>
  <c r="S190" i="28"/>
  <c r="L403" i="28"/>
  <c r="O403" i="28" s="1"/>
  <c r="R403" i="28"/>
  <c r="I404" i="28"/>
  <c r="D413" i="28"/>
  <c r="E412" i="28"/>
  <c r="G424" i="28"/>
  <c r="B411" i="28"/>
  <c r="C411" i="28"/>
  <c r="F412" i="28"/>
  <c r="J192" i="28" l="1"/>
  <c r="M192" i="28" s="1"/>
  <c r="P192" i="28" s="1"/>
  <c r="S191" i="28"/>
  <c r="I405" i="28"/>
  <c r="R404" i="28"/>
  <c r="L404" i="28"/>
  <c r="O404" i="28" s="1"/>
  <c r="D414" i="28"/>
  <c r="E413" i="28"/>
  <c r="G425" i="28"/>
  <c r="B412" i="28"/>
  <c r="C412" i="28"/>
  <c r="F413" i="28"/>
  <c r="S192" i="28" l="1"/>
  <c r="J193" i="28"/>
  <c r="M193" i="28" s="1"/>
  <c r="P193" i="28" s="1"/>
  <c r="L405" i="28"/>
  <c r="O405" i="28" s="1"/>
  <c r="I406" i="28"/>
  <c r="R405" i="28"/>
  <c r="D415" i="28"/>
  <c r="E414" i="28"/>
  <c r="G426" i="28"/>
  <c r="B413" i="28"/>
  <c r="C413" i="28"/>
  <c r="F414" i="28"/>
  <c r="S193" i="28" l="1"/>
  <c r="J194" i="28"/>
  <c r="M194" i="28" s="1"/>
  <c r="P194" i="28" s="1"/>
  <c r="I407" i="28"/>
  <c r="L406" i="28"/>
  <c r="O406" i="28" s="1"/>
  <c r="R406" i="28"/>
  <c r="D416" i="28"/>
  <c r="E415" i="28"/>
  <c r="G427" i="28"/>
  <c r="C414" i="28"/>
  <c r="F415" i="28"/>
  <c r="B414" i="28"/>
  <c r="J195" i="28" l="1"/>
  <c r="M195" i="28" s="1"/>
  <c r="P195" i="28" s="1"/>
  <c r="S194" i="28"/>
  <c r="R407" i="28"/>
  <c r="L407" i="28"/>
  <c r="O407" i="28" s="1"/>
  <c r="I408" i="28"/>
  <c r="D417" i="28"/>
  <c r="E416" i="28"/>
  <c r="G428" i="28"/>
  <c r="F416" i="28"/>
  <c r="B415" i="28"/>
  <c r="C415" i="28"/>
  <c r="J196" i="28" l="1"/>
  <c r="M196" i="28" s="1"/>
  <c r="P196" i="28" s="1"/>
  <c r="S195" i="28"/>
  <c r="L408" i="28"/>
  <c r="O408" i="28" s="1"/>
  <c r="I409" i="28"/>
  <c r="R408" i="28"/>
  <c r="D418" i="28"/>
  <c r="E417" i="28"/>
  <c r="G429" i="28"/>
  <c r="F417" i="28"/>
  <c r="B416" i="28"/>
  <c r="C416" i="28"/>
  <c r="J197" i="28" l="1"/>
  <c r="M197" i="28" s="1"/>
  <c r="P197" i="28" s="1"/>
  <c r="S196" i="28"/>
  <c r="R409" i="28"/>
  <c r="I410" i="28"/>
  <c r="L409" i="28"/>
  <c r="O409" i="28" s="1"/>
  <c r="D419" i="28"/>
  <c r="E418" i="28"/>
  <c r="G430" i="28"/>
  <c r="B417" i="28"/>
  <c r="C417" i="28"/>
  <c r="F418" i="28"/>
  <c r="S197" i="28" l="1"/>
  <c r="J198" i="28"/>
  <c r="M198" i="28" s="1"/>
  <c r="P198" i="28" s="1"/>
  <c r="L410" i="28"/>
  <c r="O410" i="28" s="1"/>
  <c r="I411" i="28"/>
  <c r="R410" i="28"/>
  <c r="D420" i="28"/>
  <c r="E419" i="28"/>
  <c r="G431" i="28"/>
  <c r="B418" i="28"/>
  <c r="C418" i="28"/>
  <c r="F419" i="28"/>
  <c r="S198" i="28" l="1"/>
  <c r="J199" i="28"/>
  <c r="M199" i="28" s="1"/>
  <c r="P199" i="28" s="1"/>
  <c r="I412" i="28"/>
  <c r="L411" i="28"/>
  <c r="O411" i="28" s="1"/>
  <c r="R411" i="28"/>
  <c r="D421" i="28"/>
  <c r="E420" i="28"/>
  <c r="G432" i="28"/>
  <c r="B419" i="28"/>
  <c r="C419" i="28"/>
  <c r="F420" i="28"/>
  <c r="J200" i="28" l="1"/>
  <c r="M200" i="28" s="1"/>
  <c r="P200" i="28" s="1"/>
  <c r="S199" i="28"/>
  <c r="I413" i="28"/>
  <c r="R412" i="28"/>
  <c r="L412" i="28"/>
  <c r="O412" i="28" s="1"/>
  <c r="D422" i="28"/>
  <c r="E421" i="28"/>
  <c r="G433" i="28"/>
  <c r="B420" i="28"/>
  <c r="C420" i="28"/>
  <c r="F421" i="28"/>
  <c r="S200" i="28" l="1"/>
  <c r="J201" i="28"/>
  <c r="M201" i="28" s="1"/>
  <c r="P201" i="28" s="1"/>
  <c r="L413" i="28"/>
  <c r="O413" i="28" s="1"/>
  <c r="R413" i="28"/>
  <c r="I414" i="28"/>
  <c r="D423" i="28"/>
  <c r="E422" i="28"/>
  <c r="G434" i="28"/>
  <c r="B421" i="28"/>
  <c r="C421" i="28"/>
  <c r="F422" i="28"/>
  <c r="J202" i="28" l="1"/>
  <c r="M202" i="28" s="1"/>
  <c r="P202" i="28" s="1"/>
  <c r="S201" i="28"/>
  <c r="L414" i="28"/>
  <c r="O414" i="28" s="1"/>
  <c r="I415" i="28"/>
  <c r="R414" i="28"/>
  <c r="D424" i="28"/>
  <c r="E423" i="28"/>
  <c r="G435" i="28"/>
  <c r="B422" i="28"/>
  <c r="C422" i="28"/>
  <c r="F423" i="28"/>
  <c r="S202" i="28" l="1"/>
  <c r="J203" i="28"/>
  <c r="M203" i="28" s="1"/>
  <c r="R415" i="28"/>
  <c r="I416" i="28"/>
  <c r="L415" i="28"/>
  <c r="O415" i="28" s="1"/>
  <c r="D425" i="28"/>
  <c r="E424" i="28"/>
  <c r="G436" i="28"/>
  <c r="B423" i="28"/>
  <c r="C423" i="28"/>
  <c r="F424" i="28"/>
  <c r="P203" i="28" l="1"/>
  <c r="S203" i="28"/>
  <c r="J204" i="28"/>
  <c r="M204" i="28" s="1"/>
  <c r="P204" i="28" s="1"/>
  <c r="L416" i="28"/>
  <c r="O416" i="28" s="1"/>
  <c r="R416" i="28"/>
  <c r="I417" i="28"/>
  <c r="D426" i="28"/>
  <c r="E425" i="28"/>
  <c r="G437" i="28"/>
  <c r="B424" i="28"/>
  <c r="C424" i="28"/>
  <c r="F425" i="28"/>
  <c r="J205" i="28" l="1"/>
  <c r="M205" i="28" s="1"/>
  <c r="P205" i="28" s="1"/>
  <c r="S204" i="28"/>
  <c r="R417" i="28"/>
  <c r="I418" i="28"/>
  <c r="L417" i="28"/>
  <c r="O417" i="28" s="1"/>
  <c r="D427" i="28"/>
  <c r="E426" i="28"/>
  <c r="G438" i="28"/>
  <c r="B425" i="28"/>
  <c r="C425" i="28"/>
  <c r="F426" i="28"/>
  <c r="J206" i="28" l="1"/>
  <c r="M206" i="28" s="1"/>
  <c r="P206" i="28" s="1"/>
  <c r="S205" i="28"/>
  <c r="I419" i="28"/>
  <c r="R418" i="28"/>
  <c r="L418" i="28"/>
  <c r="O418" i="28" s="1"/>
  <c r="D428" i="28"/>
  <c r="E427" i="28"/>
  <c r="G439" i="28"/>
  <c r="B426" i="28"/>
  <c r="C426" i="28"/>
  <c r="F427" i="28"/>
  <c r="S206" i="28" l="1"/>
  <c r="J207" i="28"/>
  <c r="M207" i="28" s="1"/>
  <c r="P207" i="28" s="1"/>
  <c r="L419" i="28"/>
  <c r="O419" i="28" s="1"/>
  <c r="R419" i="28"/>
  <c r="I420" i="28"/>
  <c r="D429" i="28"/>
  <c r="E428" i="28"/>
  <c r="G440" i="28"/>
  <c r="B427" i="28"/>
  <c r="C427" i="28"/>
  <c r="F428" i="28"/>
  <c r="S207" i="28" l="1"/>
  <c r="J208" i="28"/>
  <c r="M208" i="28" s="1"/>
  <c r="P208" i="28" s="1"/>
  <c r="L420" i="28"/>
  <c r="O420" i="28" s="1"/>
  <c r="I421" i="28"/>
  <c r="R420" i="28"/>
  <c r="D430" i="28"/>
  <c r="E429" i="28"/>
  <c r="G441" i="28"/>
  <c r="B428" i="28"/>
  <c r="C428" i="28"/>
  <c r="F429" i="28"/>
  <c r="J209" i="28" l="1"/>
  <c r="M209" i="28" s="1"/>
  <c r="P209" i="28" s="1"/>
  <c r="S208" i="28"/>
  <c r="R421" i="28"/>
  <c r="I422" i="28"/>
  <c r="L421" i="28"/>
  <c r="O421" i="28" s="1"/>
  <c r="D431" i="28"/>
  <c r="E430" i="28"/>
  <c r="G442" i="28"/>
  <c r="B429" i="28"/>
  <c r="C429" i="28"/>
  <c r="F430" i="28"/>
  <c r="S209" i="28" l="1"/>
  <c r="J210" i="28"/>
  <c r="M210" i="28" s="1"/>
  <c r="P210" i="28" s="1"/>
  <c r="I423" i="28"/>
  <c r="R422" i="28"/>
  <c r="L422" i="28"/>
  <c r="O422" i="28" s="1"/>
  <c r="D432" i="28"/>
  <c r="E431" i="28"/>
  <c r="G443" i="28"/>
  <c r="C430" i="28"/>
  <c r="F431" i="28"/>
  <c r="B430" i="28"/>
  <c r="J211" i="28" l="1"/>
  <c r="M211" i="28" s="1"/>
  <c r="P211" i="28" s="1"/>
  <c r="S210" i="28"/>
  <c r="L423" i="28"/>
  <c r="O423" i="28" s="1"/>
  <c r="R423" i="28"/>
  <c r="I424" i="28"/>
  <c r="D433" i="28"/>
  <c r="E432" i="28"/>
  <c r="G444" i="28"/>
  <c r="F432" i="28"/>
  <c r="B431" i="28"/>
  <c r="C431" i="28"/>
  <c r="J212" i="28" l="1"/>
  <c r="M212" i="28" s="1"/>
  <c r="P212" i="28" s="1"/>
  <c r="S211" i="28"/>
  <c r="L424" i="28"/>
  <c r="O424" i="28" s="1"/>
  <c r="I425" i="28"/>
  <c r="R424" i="28"/>
  <c r="D434" i="28"/>
  <c r="E433" i="28"/>
  <c r="G445" i="28"/>
  <c r="F433" i="28"/>
  <c r="B432" i="28"/>
  <c r="C432" i="28"/>
  <c r="J213" i="28" l="1"/>
  <c r="M213" i="28" s="1"/>
  <c r="P213" i="28" s="1"/>
  <c r="S212" i="28"/>
  <c r="L425" i="28"/>
  <c r="O425" i="28" s="1"/>
  <c r="I426" i="28"/>
  <c r="R425" i="28"/>
  <c r="D435" i="28"/>
  <c r="E434" i="28"/>
  <c r="G446" i="28"/>
  <c r="B433" i="28"/>
  <c r="C433" i="28"/>
  <c r="F434" i="28"/>
  <c r="S213" i="28" l="1"/>
  <c r="J214" i="28"/>
  <c r="M214" i="28" s="1"/>
  <c r="P214" i="28" s="1"/>
  <c r="L426" i="28"/>
  <c r="O426" i="28" s="1"/>
  <c r="I427" i="28"/>
  <c r="R426" i="28"/>
  <c r="D436" i="28"/>
  <c r="E435" i="28"/>
  <c r="G447" i="28"/>
  <c r="B434" i="28"/>
  <c r="C434" i="28"/>
  <c r="F435" i="28"/>
  <c r="S214" i="28" l="1"/>
  <c r="J215" i="28"/>
  <c r="M215" i="28" s="1"/>
  <c r="P215" i="28" s="1"/>
  <c r="L427" i="28"/>
  <c r="O427" i="28" s="1"/>
  <c r="R427" i="28"/>
  <c r="I428" i="28"/>
  <c r="D437" i="28"/>
  <c r="E436" i="28"/>
  <c r="G448" i="28"/>
  <c r="B435" i="28"/>
  <c r="C435" i="28"/>
  <c r="F436" i="28"/>
  <c r="J216" i="28" l="1"/>
  <c r="M216" i="28" s="1"/>
  <c r="P216" i="28" s="1"/>
  <c r="S215" i="28"/>
  <c r="I429" i="28"/>
  <c r="R428" i="28"/>
  <c r="L428" i="28"/>
  <c r="O428" i="28" s="1"/>
  <c r="D438" i="28"/>
  <c r="E437" i="28"/>
  <c r="G449" i="28"/>
  <c r="B436" i="28"/>
  <c r="C436" i="28"/>
  <c r="F437" i="28"/>
  <c r="S216" i="28" l="1"/>
  <c r="J217" i="28"/>
  <c r="M217" i="28" s="1"/>
  <c r="P217" i="28" s="1"/>
  <c r="L429" i="28"/>
  <c r="O429" i="28" s="1"/>
  <c r="I430" i="28"/>
  <c r="R429" i="28"/>
  <c r="D439" i="28"/>
  <c r="E438" i="28"/>
  <c r="G450" i="28"/>
  <c r="B437" i="28"/>
  <c r="C437" i="28"/>
  <c r="F438" i="28"/>
  <c r="S217" i="28" l="1"/>
  <c r="J218" i="28"/>
  <c r="M218" i="28" s="1"/>
  <c r="P218" i="28" s="1"/>
  <c r="R430" i="28"/>
  <c r="L430" i="28"/>
  <c r="O430" i="28" s="1"/>
  <c r="I431" i="28"/>
  <c r="D440" i="28"/>
  <c r="E439" i="28"/>
  <c r="G451" i="28"/>
  <c r="B438" i="28"/>
  <c r="C438" i="28"/>
  <c r="F439" i="28"/>
  <c r="J219" i="28" l="1"/>
  <c r="M219" i="28" s="1"/>
  <c r="P219" i="28" s="1"/>
  <c r="S218" i="28"/>
  <c r="L431" i="28"/>
  <c r="O431" i="28" s="1"/>
  <c r="R431" i="28"/>
  <c r="I432" i="28"/>
  <c r="D441" i="28"/>
  <c r="E440" i="28"/>
  <c r="G452" i="28"/>
  <c r="B439" i="28"/>
  <c r="C439" i="28"/>
  <c r="F440" i="28"/>
  <c r="J220" i="28" l="1"/>
  <c r="M220" i="28" s="1"/>
  <c r="P220" i="28" s="1"/>
  <c r="S219" i="28"/>
  <c r="L432" i="28"/>
  <c r="O432" i="28" s="1"/>
  <c r="R432" i="28"/>
  <c r="I433" i="28"/>
  <c r="D442" i="28"/>
  <c r="E441" i="28"/>
  <c r="G453" i="28"/>
  <c r="B440" i="28"/>
  <c r="C440" i="28"/>
  <c r="F441" i="28"/>
  <c r="J221" i="28" l="1"/>
  <c r="M221" i="28" s="1"/>
  <c r="P221" i="28" s="1"/>
  <c r="S220" i="28"/>
  <c r="I434" i="28"/>
  <c r="R433" i="28"/>
  <c r="L433" i="28"/>
  <c r="O433" i="28" s="1"/>
  <c r="D443" i="28"/>
  <c r="E442" i="28"/>
  <c r="G454" i="28"/>
  <c r="B441" i="28"/>
  <c r="C441" i="28"/>
  <c r="F442" i="28"/>
  <c r="S221" i="28" l="1"/>
  <c r="J222" i="28"/>
  <c r="M222" i="28" s="1"/>
  <c r="P222" i="28" s="1"/>
  <c r="R434" i="28"/>
  <c r="I435" i="28"/>
  <c r="L434" i="28"/>
  <c r="O434" i="28" s="1"/>
  <c r="D444" i="28"/>
  <c r="E443" i="28"/>
  <c r="G455" i="28"/>
  <c r="B442" i="28"/>
  <c r="C442" i="28"/>
  <c r="F443" i="28"/>
  <c r="J223" i="28" l="1"/>
  <c r="M223" i="28" s="1"/>
  <c r="P223" i="28" s="1"/>
  <c r="S222" i="28"/>
  <c r="L435" i="28"/>
  <c r="O435" i="28" s="1"/>
  <c r="I436" i="28"/>
  <c r="R435" i="28"/>
  <c r="D445" i="28"/>
  <c r="E444" i="28"/>
  <c r="G456" i="28"/>
  <c r="B443" i="28"/>
  <c r="C443" i="28"/>
  <c r="F444" i="28"/>
  <c r="J224" i="28" l="1"/>
  <c r="M224" i="28" s="1"/>
  <c r="P224" i="28" s="1"/>
  <c r="S223" i="28"/>
  <c r="R436" i="28"/>
  <c r="I437" i="28"/>
  <c r="L436" i="28"/>
  <c r="O436" i="28" s="1"/>
  <c r="D446" i="28"/>
  <c r="E445" i="28"/>
  <c r="G457" i="28"/>
  <c r="B444" i="28"/>
  <c r="C444" i="28"/>
  <c r="F445" i="28"/>
  <c r="S224" i="28" l="1"/>
  <c r="J225" i="28"/>
  <c r="M225" i="28" s="1"/>
  <c r="P225" i="28" s="1"/>
  <c r="L437" i="28"/>
  <c r="O437" i="28" s="1"/>
  <c r="I438" i="28"/>
  <c r="R437" i="28"/>
  <c r="D447" i="28"/>
  <c r="E446" i="28"/>
  <c r="G458" i="28"/>
  <c r="B445" i="28"/>
  <c r="C445" i="28"/>
  <c r="F446" i="28"/>
  <c r="J226" i="28" l="1"/>
  <c r="M226" i="28" s="1"/>
  <c r="P226" i="28" s="1"/>
  <c r="S225" i="28"/>
  <c r="I439" i="28"/>
  <c r="R438" i="28"/>
  <c r="L438" i="28"/>
  <c r="O438" i="28" s="1"/>
  <c r="D448" i="28"/>
  <c r="E447" i="28"/>
  <c r="G459" i="28"/>
  <c r="C446" i="28"/>
  <c r="F447" i="28"/>
  <c r="B446" i="28"/>
  <c r="S226" i="28" l="1"/>
  <c r="J227" i="28"/>
  <c r="M227" i="28" s="1"/>
  <c r="P227" i="28" s="1"/>
  <c r="I440" i="28"/>
  <c r="R439" i="28"/>
  <c r="L439" i="28"/>
  <c r="O439" i="28" s="1"/>
  <c r="D449" i="28"/>
  <c r="E448" i="28"/>
  <c r="G460" i="28"/>
  <c r="F448" i="28"/>
  <c r="B447" i="28"/>
  <c r="C447" i="28"/>
  <c r="S227" i="28" l="1"/>
  <c r="J228" i="28"/>
  <c r="M228" i="28" s="1"/>
  <c r="P228" i="28" s="1"/>
  <c r="L440" i="28"/>
  <c r="O440" i="28" s="1"/>
  <c r="I441" i="28"/>
  <c r="R440" i="28"/>
  <c r="D450" i="28"/>
  <c r="E449" i="28"/>
  <c r="G461" i="28"/>
  <c r="F449" i="28"/>
  <c r="B448" i="28"/>
  <c r="C448" i="28"/>
  <c r="S228" i="28" l="1"/>
  <c r="J229" i="28"/>
  <c r="M229" i="28" s="1"/>
  <c r="P229" i="28" s="1"/>
  <c r="L441" i="28"/>
  <c r="O441" i="28" s="1"/>
  <c r="I442" i="28"/>
  <c r="R441" i="28"/>
  <c r="D451" i="28"/>
  <c r="E450" i="28"/>
  <c r="G462" i="28"/>
  <c r="B449" i="28"/>
  <c r="C449" i="28"/>
  <c r="F450" i="28"/>
  <c r="S229" i="28" l="1"/>
  <c r="J230" i="28"/>
  <c r="M230" i="28" s="1"/>
  <c r="P230" i="28" s="1"/>
  <c r="L442" i="28"/>
  <c r="O442" i="28" s="1"/>
  <c r="R442" i="28"/>
  <c r="I443" i="28"/>
  <c r="D452" i="28"/>
  <c r="E451" i="28"/>
  <c r="G463" i="28"/>
  <c r="B450" i="28"/>
  <c r="C450" i="28"/>
  <c r="F451" i="28"/>
  <c r="J231" i="28" l="1"/>
  <c r="M231" i="28" s="1"/>
  <c r="P231" i="28" s="1"/>
  <c r="S230" i="28"/>
  <c r="L443" i="28"/>
  <c r="O443" i="28" s="1"/>
  <c r="R443" i="28"/>
  <c r="I444" i="28"/>
  <c r="D453" i="28"/>
  <c r="E452" i="28"/>
  <c r="G464" i="28"/>
  <c r="B451" i="28"/>
  <c r="C451" i="28"/>
  <c r="F452" i="28"/>
  <c r="S231" i="28" l="1"/>
  <c r="J232" i="28"/>
  <c r="M232" i="28" s="1"/>
  <c r="P232" i="28" s="1"/>
  <c r="L444" i="28"/>
  <c r="O444" i="28" s="1"/>
  <c r="I445" i="28"/>
  <c r="R444" i="28"/>
  <c r="D454" i="28"/>
  <c r="E453" i="28"/>
  <c r="G465" i="28"/>
  <c r="B452" i="28"/>
  <c r="C452" i="28"/>
  <c r="F453" i="28"/>
  <c r="J233" i="28" l="1"/>
  <c r="M233" i="28" s="1"/>
  <c r="P233" i="28" s="1"/>
  <c r="S232" i="28"/>
  <c r="L445" i="28"/>
  <c r="O445" i="28" s="1"/>
  <c r="I446" i="28"/>
  <c r="R445" i="28"/>
  <c r="D455" i="28"/>
  <c r="E454" i="28"/>
  <c r="G466" i="28"/>
  <c r="B453" i="28"/>
  <c r="C453" i="28"/>
  <c r="F454" i="28"/>
  <c r="S233" i="28" l="1"/>
  <c r="J234" i="28"/>
  <c r="M234" i="28" s="1"/>
  <c r="P234" i="28" s="1"/>
  <c r="L446" i="28"/>
  <c r="O446" i="28" s="1"/>
  <c r="I447" i="28"/>
  <c r="R446" i="28"/>
  <c r="D456" i="28"/>
  <c r="E455" i="28"/>
  <c r="G467" i="28"/>
  <c r="B454" i="28"/>
  <c r="C454" i="28"/>
  <c r="F455" i="28"/>
  <c r="J235" i="28" l="1"/>
  <c r="M235" i="28" s="1"/>
  <c r="P235" i="28" s="1"/>
  <c r="S234" i="28"/>
  <c r="I448" i="28"/>
  <c r="R447" i="28"/>
  <c r="L447" i="28"/>
  <c r="O447" i="28" s="1"/>
  <c r="D457" i="28"/>
  <c r="E456" i="28"/>
  <c r="G468" i="28"/>
  <c r="B455" i="28"/>
  <c r="C455" i="28"/>
  <c r="F456" i="28"/>
  <c r="J236" i="28" l="1"/>
  <c r="M236" i="28" s="1"/>
  <c r="P236" i="28" s="1"/>
  <c r="S235" i="28"/>
  <c r="L448" i="28"/>
  <c r="O448" i="28" s="1"/>
  <c r="I449" i="28"/>
  <c r="R448" i="28"/>
  <c r="D458" i="28"/>
  <c r="E457" i="28"/>
  <c r="G469" i="28"/>
  <c r="B456" i="28"/>
  <c r="C456" i="28"/>
  <c r="F457" i="28"/>
  <c r="J237" i="28" l="1"/>
  <c r="M237" i="28" s="1"/>
  <c r="P237" i="28" s="1"/>
  <c r="S236" i="28"/>
  <c r="L449" i="28"/>
  <c r="O449" i="28" s="1"/>
  <c r="I450" i="28"/>
  <c r="R449" i="28"/>
  <c r="D459" i="28"/>
  <c r="E458" i="28"/>
  <c r="G470" i="28"/>
  <c r="B457" i="28"/>
  <c r="C457" i="28"/>
  <c r="F458" i="28"/>
  <c r="J238" i="28" l="1"/>
  <c r="M238" i="28" s="1"/>
  <c r="P238" i="28" s="1"/>
  <c r="S237" i="28"/>
  <c r="I451" i="28"/>
  <c r="R450" i="28"/>
  <c r="L450" i="28"/>
  <c r="O450" i="28" s="1"/>
  <c r="D460" i="28"/>
  <c r="E459" i="28"/>
  <c r="G471" i="28"/>
  <c r="B458" i="28"/>
  <c r="C458" i="28"/>
  <c r="F459" i="28"/>
  <c r="J239" i="28" l="1"/>
  <c r="M239" i="28" s="1"/>
  <c r="P239" i="28" s="1"/>
  <c r="S238" i="28"/>
  <c r="I452" i="28"/>
  <c r="R451" i="28"/>
  <c r="L451" i="28"/>
  <c r="O451" i="28" s="1"/>
  <c r="D461" i="28"/>
  <c r="E460" i="28"/>
  <c r="G472" i="28"/>
  <c r="B459" i="28"/>
  <c r="C459" i="28"/>
  <c r="F460" i="28"/>
  <c r="S239" i="28" l="1"/>
  <c r="J240" i="28"/>
  <c r="M240" i="28" s="1"/>
  <c r="P240" i="28" s="1"/>
  <c r="I453" i="28"/>
  <c r="R452" i="28"/>
  <c r="L452" i="28"/>
  <c r="O452" i="28" s="1"/>
  <c r="D462" i="28"/>
  <c r="E461" i="28"/>
  <c r="G473" i="28"/>
  <c r="B460" i="28"/>
  <c r="C460" i="28"/>
  <c r="F461" i="28"/>
  <c r="S240" i="28" l="1"/>
  <c r="J241" i="28"/>
  <c r="M241" i="28" s="1"/>
  <c r="P241" i="28" s="1"/>
  <c r="L453" i="28"/>
  <c r="O453" i="28" s="1"/>
  <c r="R453" i="28"/>
  <c r="I454" i="28"/>
  <c r="D463" i="28"/>
  <c r="E462" i="28"/>
  <c r="G474" i="28"/>
  <c r="B461" i="28"/>
  <c r="C461" i="28"/>
  <c r="F462" i="28"/>
  <c r="S241" i="28" l="1"/>
  <c r="J242" i="28"/>
  <c r="M242" i="28" s="1"/>
  <c r="P242" i="28" s="1"/>
  <c r="R454" i="28"/>
  <c r="L454" i="28"/>
  <c r="O454" i="28" s="1"/>
  <c r="I455" i="28"/>
  <c r="D464" i="28"/>
  <c r="E463" i="28"/>
  <c r="G475" i="28"/>
  <c r="C462" i="28"/>
  <c r="F463" i="28"/>
  <c r="B462" i="28"/>
  <c r="S242" i="28" l="1"/>
  <c r="J243" i="28"/>
  <c r="M243" i="28" s="1"/>
  <c r="P243" i="28" s="1"/>
  <c r="L455" i="28"/>
  <c r="O455" i="28" s="1"/>
  <c r="I456" i="28"/>
  <c r="R455" i="28"/>
  <c r="D465" i="28"/>
  <c r="E464" i="28"/>
  <c r="G476" i="28"/>
  <c r="F464" i="28"/>
  <c r="B463" i="28"/>
  <c r="C463" i="28"/>
  <c r="S243" i="28" l="1"/>
  <c r="J244" i="28"/>
  <c r="M244" i="28" s="1"/>
  <c r="P244" i="28" s="1"/>
  <c r="L456" i="28"/>
  <c r="O456" i="28" s="1"/>
  <c r="R456" i="28"/>
  <c r="I457" i="28"/>
  <c r="D466" i="28"/>
  <c r="E465" i="28"/>
  <c r="G477" i="28"/>
  <c r="F465" i="28"/>
  <c r="B464" i="28"/>
  <c r="C464" i="28"/>
  <c r="S244" i="28" l="1"/>
  <c r="J245" i="28"/>
  <c r="M245" i="28" s="1"/>
  <c r="P245" i="28" s="1"/>
  <c r="L457" i="28"/>
  <c r="O457" i="28" s="1"/>
  <c r="I458" i="28"/>
  <c r="R457" i="28"/>
  <c r="D467" i="28"/>
  <c r="E466" i="28"/>
  <c r="G478" i="28"/>
  <c r="B465" i="28"/>
  <c r="C465" i="28"/>
  <c r="F466" i="28"/>
  <c r="S245" i="28" l="1"/>
  <c r="J246" i="28"/>
  <c r="M246" i="28" s="1"/>
  <c r="P246" i="28" s="1"/>
  <c r="L458" i="28"/>
  <c r="O458" i="28" s="1"/>
  <c r="R458" i="28"/>
  <c r="I459" i="28"/>
  <c r="D468" i="28"/>
  <c r="E467" i="28"/>
  <c r="G479" i="28"/>
  <c r="B466" i="28"/>
  <c r="C466" i="28"/>
  <c r="F467" i="28"/>
  <c r="S246" i="28" l="1"/>
  <c r="J247" i="28"/>
  <c r="M247" i="28" s="1"/>
  <c r="P247" i="28" s="1"/>
  <c r="I460" i="28"/>
  <c r="R459" i="28"/>
  <c r="L459" i="28"/>
  <c r="O459" i="28" s="1"/>
  <c r="D469" i="28"/>
  <c r="E468" i="28"/>
  <c r="G480" i="28"/>
  <c r="B467" i="28"/>
  <c r="C467" i="28"/>
  <c r="F468" i="28"/>
  <c r="S247" i="28" l="1"/>
  <c r="J248" i="28"/>
  <c r="M248" i="28" s="1"/>
  <c r="P248" i="28" s="1"/>
  <c r="L460" i="28"/>
  <c r="O460" i="28" s="1"/>
  <c r="I461" i="28"/>
  <c r="R460" i="28"/>
  <c r="D470" i="28"/>
  <c r="E469" i="28"/>
  <c r="G481" i="28"/>
  <c r="B468" i="28"/>
  <c r="C468" i="28"/>
  <c r="F469" i="28"/>
  <c r="J249" i="28" l="1"/>
  <c r="M249" i="28" s="1"/>
  <c r="P249" i="28" s="1"/>
  <c r="S248" i="28"/>
  <c r="L461" i="28"/>
  <c r="O461" i="28" s="1"/>
  <c r="I462" i="28"/>
  <c r="R461" i="28"/>
  <c r="D471" i="28"/>
  <c r="E470" i="28"/>
  <c r="G482" i="28"/>
  <c r="B469" i="28"/>
  <c r="C469" i="28"/>
  <c r="F470" i="28"/>
  <c r="J250" i="28" l="1"/>
  <c r="M250" i="28" s="1"/>
  <c r="P250" i="28" s="1"/>
  <c r="S249" i="28"/>
  <c r="L462" i="28"/>
  <c r="O462" i="28" s="1"/>
  <c r="I463" i="28"/>
  <c r="R462" i="28"/>
  <c r="D472" i="28"/>
  <c r="E471" i="28"/>
  <c r="G483" i="28"/>
  <c r="B470" i="28"/>
  <c r="C470" i="28"/>
  <c r="F471" i="28"/>
  <c r="J251" i="28" l="1"/>
  <c r="M251" i="28" s="1"/>
  <c r="P251" i="28" s="1"/>
  <c r="S250" i="28"/>
  <c r="I464" i="28"/>
  <c r="R463" i="28"/>
  <c r="L463" i="28"/>
  <c r="O463" i="28" s="1"/>
  <c r="D473" i="28"/>
  <c r="E472" i="28"/>
  <c r="G484" i="28"/>
  <c r="B471" i="28"/>
  <c r="C471" i="28"/>
  <c r="F472" i="28"/>
  <c r="J252" i="28" l="1"/>
  <c r="M252" i="28" s="1"/>
  <c r="P252" i="28" s="1"/>
  <c r="S251" i="28"/>
  <c r="L464" i="28"/>
  <c r="O464" i="28" s="1"/>
  <c r="I465" i="28"/>
  <c r="R464" i="28"/>
  <c r="D474" i="28"/>
  <c r="E473" i="28"/>
  <c r="G485" i="28"/>
  <c r="B472" i="28"/>
  <c r="C472" i="28"/>
  <c r="F473" i="28"/>
  <c r="J253" i="28" l="1"/>
  <c r="M253" i="28" s="1"/>
  <c r="P253" i="28" s="1"/>
  <c r="S252" i="28"/>
  <c r="I466" i="28"/>
  <c r="L465" i="28"/>
  <c r="O465" i="28" s="1"/>
  <c r="R465" i="28"/>
  <c r="D475" i="28"/>
  <c r="E474" i="28"/>
  <c r="G486" i="28"/>
  <c r="B473" i="28"/>
  <c r="C473" i="28"/>
  <c r="F474" i="28"/>
  <c r="S253" i="28" l="1"/>
  <c r="J254" i="28"/>
  <c r="M254" i="28" s="1"/>
  <c r="P254" i="28" s="1"/>
  <c r="R466" i="28"/>
  <c r="I467" i="28"/>
  <c r="L466" i="28"/>
  <c r="O466" i="28" s="1"/>
  <c r="D476" i="28"/>
  <c r="E475" i="28"/>
  <c r="G487" i="28"/>
  <c r="B474" i="28"/>
  <c r="C474" i="28"/>
  <c r="F475" i="28"/>
  <c r="S254" i="28" l="1"/>
  <c r="J255" i="28"/>
  <c r="M255" i="28" s="1"/>
  <c r="P255" i="28" s="1"/>
  <c r="I468" i="28"/>
  <c r="R467" i="28"/>
  <c r="L467" i="28"/>
  <c r="O467" i="28" s="1"/>
  <c r="D477" i="28"/>
  <c r="E476" i="28"/>
  <c r="G488" i="28"/>
  <c r="B475" i="28"/>
  <c r="C475" i="28"/>
  <c r="F476" i="28"/>
  <c r="J256" i="28" l="1"/>
  <c r="M256" i="28" s="1"/>
  <c r="P256" i="28" s="1"/>
  <c r="S255" i="28"/>
  <c r="L468" i="28"/>
  <c r="O468" i="28" s="1"/>
  <c r="R468" i="28"/>
  <c r="I469" i="28"/>
  <c r="D478" i="28"/>
  <c r="E477" i="28"/>
  <c r="G489" i="28"/>
  <c r="B476" i="28"/>
  <c r="C476" i="28"/>
  <c r="F477" i="28"/>
  <c r="S256" i="28" l="1"/>
  <c r="J257" i="28"/>
  <c r="M257" i="28" s="1"/>
  <c r="P257" i="28" s="1"/>
  <c r="L469" i="28"/>
  <c r="O469" i="28" s="1"/>
  <c r="R469" i="28"/>
  <c r="I470" i="28"/>
  <c r="D479" i="28"/>
  <c r="E478" i="28"/>
  <c r="G490" i="28"/>
  <c r="B477" i="28"/>
  <c r="C477" i="28"/>
  <c r="F478" i="28"/>
  <c r="S257" i="28" l="1"/>
  <c r="J258" i="28"/>
  <c r="M258" i="28" s="1"/>
  <c r="P258" i="28" s="1"/>
  <c r="I471" i="28"/>
  <c r="R470" i="28"/>
  <c r="L470" i="28"/>
  <c r="O470" i="28" s="1"/>
  <c r="D480" i="28"/>
  <c r="E479" i="28"/>
  <c r="G491" i="28"/>
  <c r="C478" i="28"/>
  <c r="F479" i="28"/>
  <c r="B478" i="28"/>
  <c r="S258" i="28" l="1"/>
  <c r="J259" i="28"/>
  <c r="M259" i="28" s="1"/>
  <c r="P259" i="28" s="1"/>
  <c r="I472" i="28"/>
  <c r="R471" i="28"/>
  <c r="L471" i="28"/>
  <c r="O471" i="28" s="1"/>
  <c r="D481" i="28"/>
  <c r="E480" i="28"/>
  <c r="G492" i="28"/>
  <c r="F480" i="28"/>
  <c r="B479" i="28"/>
  <c r="C479" i="28"/>
  <c r="S259" i="28" l="1"/>
  <c r="J260" i="28"/>
  <c r="M260" i="28" s="1"/>
  <c r="P260" i="28" s="1"/>
  <c r="L472" i="28"/>
  <c r="O472" i="28" s="1"/>
  <c r="I473" i="28"/>
  <c r="R472" i="28"/>
  <c r="D482" i="28"/>
  <c r="E481" i="28"/>
  <c r="G493" i="28"/>
  <c r="F481" i="28"/>
  <c r="B480" i="28"/>
  <c r="C480" i="28"/>
  <c r="J261" i="28" l="1"/>
  <c r="M261" i="28" s="1"/>
  <c r="P261" i="28" s="1"/>
  <c r="S260" i="28"/>
  <c r="R473" i="28"/>
  <c r="I474" i="28"/>
  <c r="L473" i="28"/>
  <c r="O473" i="28" s="1"/>
  <c r="D483" i="28"/>
  <c r="E482" i="28"/>
  <c r="G494" i="28"/>
  <c r="B481" i="28"/>
  <c r="C481" i="28"/>
  <c r="F482" i="28"/>
  <c r="S261" i="28" l="1"/>
  <c r="J262" i="28"/>
  <c r="M262" i="28" s="1"/>
  <c r="P262" i="28" s="1"/>
  <c r="L474" i="28"/>
  <c r="O474" i="28" s="1"/>
  <c r="I475" i="28"/>
  <c r="R474" i="28"/>
  <c r="D484" i="28"/>
  <c r="E483" i="28"/>
  <c r="G495" i="28"/>
  <c r="C482" i="28"/>
  <c r="F483" i="28"/>
  <c r="B482" i="28"/>
  <c r="J263" i="28" l="1"/>
  <c r="M263" i="28" s="1"/>
  <c r="S262" i="28"/>
  <c r="R475" i="28"/>
  <c r="L475" i="28"/>
  <c r="O475" i="28" s="1"/>
  <c r="I476" i="28"/>
  <c r="D485" i="28"/>
  <c r="E484" i="28"/>
  <c r="G496" i="28"/>
  <c r="F484" i="28"/>
  <c r="B483" i="28"/>
  <c r="C483" i="28"/>
  <c r="P263" i="28" l="1"/>
  <c r="J264" i="28"/>
  <c r="M264" i="28" s="1"/>
  <c r="P264" i="28" s="1"/>
  <c r="S263" i="28"/>
  <c r="L476" i="28"/>
  <c r="O476" i="28" s="1"/>
  <c r="I477" i="28"/>
  <c r="R476" i="28"/>
  <c r="D486" i="28"/>
  <c r="E485" i="28"/>
  <c r="G497" i="28"/>
  <c r="F485" i="28"/>
  <c r="C484" i="28"/>
  <c r="B484" i="28"/>
  <c r="S264" i="28" l="1"/>
  <c r="J265" i="28"/>
  <c r="M265" i="28" s="1"/>
  <c r="P265" i="28" s="1"/>
  <c r="R477" i="28"/>
  <c r="L477" i="28"/>
  <c r="O477" i="28" s="1"/>
  <c r="I478" i="28"/>
  <c r="D487" i="28"/>
  <c r="E486" i="28"/>
  <c r="G498" i="28"/>
  <c r="F486" i="28"/>
  <c r="B485" i="28"/>
  <c r="C485" i="28"/>
  <c r="J266" i="28" l="1"/>
  <c r="M266" i="28" s="1"/>
  <c r="P266" i="28" s="1"/>
  <c r="S265" i="28"/>
  <c r="L478" i="28"/>
  <c r="O478" i="28" s="1"/>
  <c r="I479" i="28"/>
  <c r="R478" i="28"/>
  <c r="D488" i="28"/>
  <c r="E487" i="28"/>
  <c r="G499" i="28"/>
  <c r="F487" i="28"/>
  <c r="B486" i="28"/>
  <c r="C486" i="28"/>
  <c r="J267" i="28" l="1"/>
  <c r="M267" i="28" s="1"/>
  <c r="P267" i="28" s="1"/>
  <c r="S266" i="28"/>
  <c r="I480" i="28"/>
  <c r="L479" i="28"/>
  <c r="O479" i="28" s="1"/>
  <c r="R479" i="28"/>
  <c r="D489" i="28"/>
  <c r="E488" i="28"/>
  <c r="G500" i="28"/>
  <c r="F488" i="28"/>
  <c r="B487" i="28"/>
  <c r="C487" i="28"/>
  <c r="S267" i="28" l="1"/>
  <c r="J268" i="28"/>
  <c r="M268" i="28" s="1"/>
  <c r="P268" i="28" s="1"/>
  <c r="I481" i="28"/>
  <c r="R480" i="28"/>
  <c r="L480" i="28"/>
  <c r="O480" i="28" s="1"/>
  <c r="D490" i="28"/>
  <c r="E489" i="28"/>
  <c r="G501" i="28"/>
  <c r="F489" i="28"/>
  <c r="B488" i="28"/>
  <c r="C488" i="28"/>
  <c r="J269" i="28" l="1"/>
  <c r="M269" i="28" s="1"/>
  <c r="P269" i="28" s="1"/>
  <c r="S268" i="28"/>
  <c r="L481" i="28"/>
  <c r="O481" i="28" s="1"/>
  <c r="R481" i="28"/>
  <c r="I482" i="28"/>
  <c r="D491" i="28"/>
  <c r="E490" i="28"/>
  <c r="G502" i="28"/>
  <c r="B489" i="28"/>
  <c r="F490" i="28"/>
  <c r="C489" i="28"/>
  <c r="S269" i="28" l="1"/>
  <c r="J270" i="28"/>
  <c r="M270" i="28" s="1"/>
  <c r="P270" i="28" s="1"/>
  <c r="L482" i="28"/>
  <c r="O482" i="28" s="1"/>
  <c r="R482" i="28"/>
  <c r="I483" i="28"/>
  <c r="D492" i="28"/>
  <c r="E491" i="28"/>
  <c r="G503" i="28"/>
  <c r="C490" i="28"/>
  <c r="F491" i="28"/>
  <c r="B490" i="28"/>
  <c r="S270" i="28" l="1"/>
  <c r="J271" i="28"/>
  <c r="M271" i="28" s="1"/>
  <c r="P271" i="28" s="1"/>
  <c r="R483" i="28"/>
  <c r="I484" i="28"/>
  <c r="L483" i="28"/>
  <c r="O483" i="28" s="1"/>
  <c r="D493" i="28"/>
  <c r="E492" i="28"/>
  <c r="C491" i="28"/>
  <c r="B491" i="28"/>
  <c r="F492" i="28"/>
  <c r="S271" i="28" l="1"/>
  <c r="J272" i="28"/>
  <c r="M272" i="28" s="1"/>
  <c r="P272" i="28" s="1"/>
  <c r="L484" i="28"/>
  <c r="O484" i="28" s="1"/>
  <c r="I485" i="28"/>
  <c r="R484" i="28"/>
  <c r="D494" i="28"/>
  <c r="E493" i="28"/>
  <c r="F493" i="28"/>
  <c r="B492" i="28"/>
  <c r="C492" i="28"/>
  <c r="J273" i="28" l="1"/>
  <c r="M273" i="28" s="1"/>
  <c r="P273" i="28" s="1"/>
  <c r="S272" i="28"/>
  <c r="L485" i="28"/>
  <c r="O485" i="28" s="1"/>
  <c r="R485" i="28"/>
  <c r="I486" i="28"/>
  <c r="D495" i="28"/>
  <c r="E494" i="28"/>
  <c r="B493" i="28"/>
  <c r="C493" i="28"/>
  <c r="F494" i="28"/>
  <c r="S273" i="28" l="1"/>
  <c r="J274" i="28"/>
  <c r="M274" i="28" s="1"/>
  <c r="P274" i="28" s="1"/>
  <c r="L486" i="28"/>
  <c r="O486" i="28" s="1"/>
  <c r="I487" i="28"/>
  <c r="R486" i="28"/>
  <c r="D496" i="28"/>
  <c r="E495" i="28"/>
  <c r="B494" i="28"/>
  <c r="C494" i="28"/>
  <c r="F495" i="28"/>
  <c r="J275" i="28" l="1"/>
  <c r="M275" i="28" s="1"/>
  <c r="P275" i="28" s="1"/>
  <c r="S274" i="28"/>
  <c r="R487" i="28"/>
  <c r="L487" i="28"/>
  <c r="O487" i="28" s="1"/>
  <c r="I488" i="28"/>
  <c r="D497" i="28"/>
  <c r="E496" i="28"/>
  <c r="B495" i="28"/>
  <c r="C495" i="28"/>
  <c r="F496" i="28"/>
  <c r="S275" i="28" l="1"/>
  <c r="J276" i="28"/>
  <c r="M276" i="28" s="1"/>
  <c r="P276" i="28" s="1"/>
  <c r="R488" i="28"/>
  <c r="L488" i="28"/>
  <c r="O488" i="28" s="1"/>
  <c r="I489" i="28"/>
  <c r="D498" i="28"/>
  <c r="E497" i="28"/>
  <c r="B496" i="28"/>
  <c r="C496" i="28"/>
  <c r="F497" i="28"/>
  <c r="S276" i="28" l="1"/>
  <c r="J277" i="28"/>
  <c r="M277" i="28" s="1"/>
  <c r="P277" i="28" s="1"/>
  <c r="R489" i="28"/>
  <c r="L489" i="28"/>
  <c r="O489" i="28" s="1"/>
  <c r="I490" i="28"/>
  <c r="D499" i="28"/>
  <c r="E498" i="28"/>
  <c r="B497" i="28"/>
  <c r="C497" i="28"/>
  <c r="F498" i="28"/>
  <c r="S277" i="28" l="1"/>
  <c r="J278" i="28"/>
  <c r="M278" i="28" s="1"/>
  <c r="P278" i="28" s="1"/>
  <c r="L490" i="28"/>
  <c r="O490" i="28" s="1"/>
  <c r="R490" i="28"/>
  <c r="I491" i="28"/>
  <c r="D500" i="28"/>
  <c r="E499" i="28"/>
  <c r="B498" i="28"/>
  <c r="C498" i="28"/>
  <c r="F499" i="28"/>
  <c r="S278" i="28" l="1"/>
  <c r="J279" i="28"/>
  <c r="M279" i="28" s="1"/>
  <c r="P279" i="28" s="1"/>
  <c r="R491" i="28"/>
  <c r="L491" i="28"/>
  <c r="O491" i="28" s="1"/>
  <c r="I492" i="28"/>
  <c r="D501" i="28"/>
  <c r="E500" i="28"/>
  <c r="B499" i="28"/>
  <c r="C499" i="28"/>
  <c r="F500" i="28"/>
  <c r="S279" i="28" l="1"/>
  <c r="J280" i="28"/>
  <c r="M280" i="28" s="1"/>
  <c r="P280" i="28" s="1"/>
  <c r="R492" i="28"/>
  <c r="L492" i="28"/>
  <c r="O492" i="28" s="1"/>
  <c r="I493" i="28"/>
  <c r="D502" i="28"/>
  <c r="E501" i="28"/>
  <c r="C500" i="28"/>
  <c r="F501" i="28"/>
  <c r="B500" i="28"/>
  <c r="J281" i="28" l="1"/>
  <c r="M281" i="28" s="1"/>
  <c r="P281" i="28" s="1"/>
  <c r="S280" i="28"/>
  <c r="L493" i="28"/>
  <c r="O493" i="28" s="1"/>
  <c r="I494" i="28"/>
  <c r="R493" i="28"/>
  <c r="D503" i="28"/>
  <c r="E503" i="28" s="1"/>
  <c r="E502" i="28"/>
  <c r="F502" i="28"/>
  <c r="C501" i="28"/>
  <c r="B501" i="28"/>
  <c r="S281" i="28" l="1"/>
  <c r="J282" i="28"/>
  <c r="M282" i="28" s="1"/>
  <c r="P282" i="28" s="1"/>
  <c r="L494" i="28"/>
  <c r="O494" i="28" s="1"/>
  <c r="R494" i="28"/>
  <c r="I495" i="28"/>
  <c r="F503" i="28"/>
  <c r="B502" i="28"/>
  <c r="C502" i="28"/>
  <c r="S282" i="28" l="1"/>
  <c r="J283" i="28"/>
  <c r="J32" i="33"/>
  <c r="L32" i="33"/>
  <c r="K36" i="33"/>
  <c r="M36" i="33" s="1"/>
  <c r="H32" i="33"/>
  <c r="R495" i="28"/>
  <c r="I496" i="28"/>
  <c r="L495" i="28"/>
  <c r="O495" i="28" s="1"/>
  <c r="L28" i="33"/>
  <c r="L29" i="33"/>
  <c r="L27" i="33"/>
  <c r="J29" i="33"/>
  <c r="J27" i="33"/>
  <c r="J28" i="33"/>
  <c r="H28" i="33"/>
  <c r="H29" i="33"/>
  <c r="L26" i="33"/>
  <c r="H27" i="33"/>
  <c r="H26" i="33"/>
  <c r="J26" i="33"/>
  <c r="B503" i="28"/>
  <c r="C503" i="28"/>
  <c r="M283" i="28" l="1"/>
  <c r="P283" i="28" s="1"/>
  <c r="S283" i="28"/>
  <c r="J284" i="28"/>
  <c r="M284" i="28" s="1"/>
  <c r="M38" i="33"/>
  <c r="L496" i="28"/>
  <c r="O496" i="28" s="1"/>
  <c r="I497" i="28"/>
  <c r="R496" i="28"/>
  <c r="P284" i="28" l="1"/>
  <c r="S284" i="28"/>
  <c r="J285" i="28"/>
  <c r="M285" i="28" s="1"/>
  <c r="P285" i="28" s="1"/>
  <c r="L497" i="28"/>
  <c r="O497" i="28" s="1"/>
  <c r="R497" i="28"/>
  <c r="I498" i="28"/>
  <c r="S285" i="28" l="1"/>
  <c r="J286" i="28"/>
  <c r="M286" i="28" s="1"/>
  <c r="P286" i="28" s="1"/>
  <c r="L498" i="28"/>
  <c r="O498" i="28" s="1"/>
  <c r="R498" i="28"/>
  <c r="I499" i="28"/>
  <c r="S286" i="28" l="1"/>
  <c r="J287" i="28"/>
  <c r="M287" i="28" s="1"/>
  <c r="P287" i="28" s="1"/>
  <c r="L499" i="28"/>
  <c r="O499" i="28" s="1"/>
  <c r="I500" i="28"/>
  <c r="R499" i="28"/>
  <c r="J288" i="28" l="1"/>
  <c r="M288" i="28" s="1"/>
  <c r="P288" i="28" s="1"/>
  <c r="S287" i="28"/>
  <c r="L500" i="28"/>
  <c r="O500" i="28" s="1"/>
  <c r="R500" i="28"/>
  <c r="I501" i="28"/>
  <c r="S288" i="28" l="1"/>
  <c r="J289" i="28"/>
  <c r="M289" i="28" s="1"/>
  <c r="P289" i="28" s="1"/>
  <c r="L501" i="28"/>
  <c r="O501" i="28" s="1"/>
  <c r="R501" i="28"/>
  <c r="I502" i="28"/>
  <c r="S289" i="28" l="1"/>
  <c r="J290" i="28"/>
  <c r="M290" i="28" s="1"/>
  <c r="P290" i="28" s="1"/>
  <c r="L502" i="28"/>
  <c r="O502" i="28" s="1"/>
  <c r="I503" i="28"/>
  <c r="R502" i="28"/>
  <c r="J291" i="28" l="1"/>
  <c r="M291" i="28" s="1"/>
  <c r="P291" i="28" s="1"/>
  <c r="S290" i="28"/>
  <c r="R503" i="28"/>
  <c r="L503" i="28"/>
  <c r="O503" i="28" s="1"/>
  <c r="J292" i="28" l="1"/>
  <c r="M292" i="28" s="1"/>
  <c r="P292" i="28" s="1"/>
  <c r="S291" i="28"/>
  <c r="J293" i="28" l="1"/>
  <c r="M293" i="28" s="1"/>
  <c r="P293" i="28" s="1"/>
  <c r="S292" i="28"/>
  <c r="S293" i="28" l="1"/>
  <c r="J294" i="28"/>
  <c r="M294" i="28" s="1"/>
  <c r="P294" i="28" s="1"/>
  <c r="J295" i="28" l="1"/>
  <c r="M295" i="28" s="1"/>
  <c r="P295" i="28" s="1"/>
  <c r="S294" i="28"/>
  <c r="J296" i="28" l="1"/>
  <c r="M296" i="28" s="1"/>
  <c r="P296" i="28" s="1"/>
  <c r="S295" i="28"/>
  <c r="J297" i="28" l="1"/>
  <c r="M297" i="28" s="1"/>
  <c r="P297" i="28" s="1"/>
  <c r="S296" i="28"/>
  <c r="J298" i="28" l="1"/>
  <c r="M298" i="28" s="1"/>
  <c r="P298" i="28" s="1"/>
  <c r="S297" i="28"/>
  <c r="S298" i="28" l="1"/>
  <c r="J299" i="28"/>
  <c r="M299" i="28" s="1"/>
  <c r="P299" i="28" s="1"/>
  <c r="S299" i="28" l="1"/>
  <c r="J300" i="28"/>
  <c r="M300" i="28" s="1"/>
  <c r="P300" i="28" s="1"/>
  <c r="J301" i="28" l="1"/>
  <c r="M301" i="28" s="1"/>
  <c r="P301" i="28" s="1"/>
  <c r="S300" i="28"/>
  <c r="J302" i="28" l="1"/>
  <c r="M302" i="28" s="1"/>
  <c r="P302" i="28" s="1"/>
  <c r="S301" i="28"/>
  <c r="S302" i="28" l="1"/>
  <c r="J303" i="28"/>
  <c r="M303" i="28" s="1"/>
  <c r="P303" i="28" s="1"/>
  <c r="J304" i="28" l="1"/>
  <c r="M304" i="28" s="1"/>
  <c r="P304" i="28" s="1"/>
  <c r="S303" i="28"/>
  <c r="J305" i="28" l="1"/>
  <c r="M305" i="28" s="1"/>
  <c r="P305" i="28" s="1"/>
  <c r="S304" i="28"/>
  <c r="J306" i="28" l="1"/>
  <c r="M306" i="28" s="1"/>
  <c r="P306" i="28" s="1"/>
  <c r="S305" i="28"/>
  <c r="S306" i="28" l="1"/>
  <c r="J307" i="28"/>
  <c r="M307" i="28" s="1"/>
  <c r="P307" i="28" s="1"/>
  <c r="S307" i="28" l="1"/>
  <c r="J308" i="28"/>
  <c r="M308" i="28" s="1"/>
  <c r="P308" i="28" s="1"/>
  <c r="S308" i="28" l="1"/>
  <c r="J309" i="28"/>
  <c r="M309" i="28" s="1"/>
  <c r="P309" i="28" s="1"/>
  <c r="J310" i="28" l="1"/>
  <c r="M310" i="28" s="1"/>
  <c r="P310" i="28" s="1"/>
  <c r="S309" i="28"/>
  <c r="S310" i="28" l="1"/>
  <c r="J311" i="28"/>
  <c r="M311" i="28" s="1"/>
  <c r="P311" i="28" s="1"/>
  <c r="J312" i="28" l="1"/>
  <c r="M312" i="28" s="1"/>
  <c r="H30" i="33" s="1"/>
  <c r="S311" i="28"/>
  <c r="P312" i="28" l="1"/>
  <c r="J30" i="33" s="1"/>
  <c r="S312" i="28"/>
  <c r="L30" i="33" s="1"/>
  <c r="J313" i="28"/>
  <c r="M313" i="28" s="1"/>
  <c r="P313" i="28" s="1"/>
  <c r="J314" i="28" l="1"/>
  <c r="M314" i="28" s="1"/>
  <c r="P314" i="28" s="1"/>
  <c r="S313" i="28"/>
  <c r="S314" i="28" l="1"/>
  <c r="J315" i="28"/>
  <c r="M315" i="28" s="1"/>
  <c r="P315" i="28" s="1"/>
  <c r="J316" i="28" l="1"/>
  <c r="M316" i="28" s="1"/>
  <c r="P316" i="28" s="1"/>
  <c r="S315" i="28"/>
  <c r="S316" i="28" l="1"/>
  <c r="J317" i="28"/>
  <c r="M317" i="28" s="1"/>
  <c r="P317" i="28" s="1"/>
  <c r="J318" i="28" l="1"/>
  <c r="M318" i="28" s="1"/>
  <c r="P318" i="28" s="1"/>
  <c r="S317" i="28"/>
  <c r="S318" i="28" l="1"/>
  <c r="J319" i="28"/>
  <c r="M319" i="28" s="1"/>
  <c r="P319" i="28" s="1"/>
  <c r="S319" i="28" l="1"/>
  <c r="J320" i="28"/>
  <c r="M320" i="28" s="1"/>
  <c r="P320" i="28" s="1"/>
  <c r="S320" i="28" l="1"/>
  <c r="J321" i="28"/>
  <c r="M321" i="28" s="1"/>
  <c r="P321" i="28" s="1"/>
  <c r="J322" i="28" l="1"/>
  <c r="M322" i="28" s="1"/>
  <c r="P322" i="28" s="1"/>
  <c r="S321" i="28"/>
  <c r="S322" i="28" l="1"/>
  <c r="J323" i="28"/>
  <c r="M323" i="28" s="1"/>
  <c r="P323" i="28" l="1"/>
  <c r="S323" i="28"/>
  <c r="J324" i="28"/>
  <c r="M324" i="28" s="1"/>
  <c r="P324" i="28" s="1"/>
  <c r="J325" i="28" l="1"/>
  <c r="M325" i="28" s="1"/>
  <c r="P325" i="28" s="1"/>
  <c r="S324" i="28"/>
  <c r="J326" i="28" l="1"/>
  <c r="M326" i="28" s="1"/>
  <c r="P326" i="28" s="1"/>
  <c r="S325" i="28"/>
  <c r="J327" i="28" l="1"/>
  <c r="M327" i="28" s="1"/>
  <c r="P327" i="28" s="1"/>
  <c r="S326" i="28"/>
  <c r="J328" i="28" l="1"/>
  <c r="M328" i="28" s="1"/>
  <c r="P328" i="28" s="1"/>
  <c r="S327" i="28"/>
  <c r="J329" i="28" l="1"/>
  <c r="M329" i="28" s="1"/>
  <c r="P329" i="28" s="1"/>
  <c r="S328" i="28"/>
  <c r="J330" i="28" l="1"/>
  <c r="M330" i="28" s="1"/>
  <c r="P330" i="28" s="1"/>
  <c r="S329" i="28"/>
  <c r="J331" i="28" l="1"/>
  <c r="M331" i="28" s="1"/>
  <c r="P331" i="28" s="1"/>
  <c r="S330" i="28"/>
  <c r="S331" i="28" l="1"/>
  <c r="J332" i="28"/>
  <c r="M332" i="28" s="1"/>
  <c r="P332" i="28" s="1"/>
  <c r="S332" i="28" l="1"/>
  <c r="J333" i="28"/>
  <c r="M333" i="28" s="1"/>
  <c r="P333" i="28" s="1"/>
  <c r="S333" i="28" l="1"/>
  <c r="J334" i="28"/>
  <c r="M334" i="28" s="1"/>
  <c r="P334" i="28" s="1"/>
  <c r="S334" i="28" l="1"/>
  <c r="J335" i="28"/>
  <c r="M335" i="28" s="1"/>
  <c r="P335" i="28" s="1"/>
  <c r="J336" i="28" l="1"/>
  <c r="M336" i="28" s="1"/>
  <c r="P336" i="28" s="1"/>
  <c r="S335" i="28"/>
  <c r="J337" i="28" l="1"/>
  <c r="M337" i="28" s="1"/>
  <c r="P337" i="28" s="1"/>
  <c r="S336" i="28"/>
  <c r="S337" i="28" l="1"/>
  <c r="J338" i="28"/>
  <c r="M338" i="28" s="1"/>
  <c r="P338" i="28" s="1"/>
  <c r="J339" i="28" l="1"/>
  <c r="M339" i="28" s="1"/>
  <c r="P339" i="28" s="1"/>
  <c r="S338" i="28"/>
  <c r="S339" i="28" l="1"/>
  <c r="J340" i="28"/>
  <c r="M340" i="28" s="1"/>
  <c r="P340" i="28" s="1"/>
  <c r="S340" i="28" l="1"/>
  <c r="J341" i="28"/>
  <c r="M341" i="28" s="1"/>
  <c r="P341" i="28" s="1"/>
  <c r="S341" i="28" l="1"/>
  <c r="J342" i="28"/>
  <c r="M342" i="28" s="1"/>
  <c r="P342" i="28" s="1"/>
  <c r="J343" i="28" l="1"/>
  <c r="M343" i="28" s="1"/>
  <c r="P343" i="28" s="1"/>
  <c r="S342" i="28"/>
  <c r="S343" i="28" l="1"/>
  <c r="J344" i="28"/>
  <c r="M344" i="28" s="1"/>
  <c r="P344" i="28" s="1"/>
  <c r="S344" i="28" l="1"/>
  <c r="J345" i="28"/>
  <c r="M345" i="28" s="1"/>
  <c r="P345" i="28" s="1"/>
  <c r="S345" i="28" l="1"/>
  <c r="J346" i="28"/>
  <c r="M346" i="28" s="1"/>
  <c r="P346" i="28" s="1"/>
  <c r="S346" i="28" l="1"/>
  <c r="J347" i="28"/>
  <c r="M347" i="28" s="1"/>
  <c r="P347" i="28" s="1"/>
  <c r="J348" i="28" l="1"/>
  <c r="M348" i="28" s="1"/>
  <c r="P348" i="28" s="1"/>
  <c r="S347" i="28"/>
  <c r="S348" i="28" l="1"/>
  <c r="J349" i="28"/>
  <c r="M349" i="28" s="1"/>
  <c r="P349" i="28" s="1"/>
  <c r="J350" i="28" l="1"/>
  <c r="M350" i="28" s="1"/>
  <c r="P350" i="28" s="1"/>
  <c r="S349" i="28"/>
  <c r="S350" i="28" l="1"/>
  <c r="J351" i="28"/>
  <c r="M351" i="28" s="1"/>
  <c r="P351" i="28" s="1"/>
  <c r="S351" i="28" l="1"/>
  <c r="J352" i="28"/>
  <c r="M352" i="28" s="1"/>
  <c r="P352" i="28" s="1"/>
  <c r="S352" i="28" l="1"/>
  <c r="J353" i="28"/>
  <c r="M353" i="28" s="1"/>
  <c r="P353" i="28" s="1"/>
  <c r="J354" i="28" l="1"/>
  <c r="M354" i="28" s="1"/>
  <c r="P354" i="28" s="1"/>
  <c r="S353" i="28"/>
  <c r="J355" i="28" l="1"/>
  <c r="M355" i="28" s="1"/>
  <c r="P355" i="28" s="1"/>
  <c r="S354" i="28"/>
  <c r="J356" i="28" l="1"/>
  <c r="M356" i="28" s="1"/>
  <c r="P356" i="28" s="1"/>
  <c r="S355" i="28"/>
  <c r="J357" i="28" l="1"/>
  <c r="M357" i="28" s="1"/>
  <c r="P357" i="28" s="1"/>
  <c r="S356" i="28"/>
  <c r="J358" i="28" l="1"/>
  <c r="M358" i="28" s="1"/>
  <c r="P358" i="28" s="1"/>
  <c r="S357" i="28"/>
  <c r="S358" i="28" l="1"/>
  <c r="J359" i="28"/>
  <c r="M359" i="28" s="1"/>
  <c r="P359" i="28" s="1"/>
  <c r="S359" i="28" l="1"/>
  <c r="J360" i="28"/>
  <c r="M360" i="28" s="1"/>
  <c r="P360" i="28" s="1"/>
  <c r="J361" i="28" l="1"/>
  <c r="M361" i="28" s="1"/>
  <c r="P361" i="28" s="1"/>
  <c r="S360" i="28"/>
  <c r="J362" i="28" l="1"/>
  <c r="M362" i="28" s="1"/>
  <c r="P362" i="28" s="1"/>
  <c r="S361" i="28"/>
  <c r="J363" i="28" l="1"/>
  <c r="M363" i="28" s="1"/>
  <c r="P363" i="28" s="1"/>
  <c r="S362" i="28"/>
  <c r="J364" i="28" l="1"/>
  <c r="M364" i="28" s="1"/>
  <c r="P364" i="28" s="1"/>
  <c r="S363" i="28"/>
  <c r="J365" i="28" l="1"/>
  <c r="M365" i="28" s="1"/>
  <c r="P365" i="28" s="1"/>
  <c r="S364" i="28"/>
  <c r="J366" i="28" l="1"/>
  <c r="M366" i="28" s="1"/>
  <c r="P366" i="28" s="1"/>
  <c r="S365" i="28"/>
  <c r="J367" i="28" l="1"/>
  <c r="M367" i="28" s="1"/>
  <c r="P367" i="28" s="1"/>
  <c r="S366" i="28"/>
  <c r="J368" i="28" l="1"/>
  <c r="M368" i="28" s="1"/>
  <c r="P368" i="28" s="1"/>
  <c r="S367" i="28"/>
  <c r="J369" i="28" l="1"/>
  <c r="M369" i="28" s="1"/>
  <c r="P369" i="28" s="1"/>
  <c r="S368" i="28"/>
  <c r="J370" i="28" l="1"/>
  <c r="M370" i="28" s="1"/>
  <c r="P370" i="28" s="1"/>
  <c r="S369" i="28"/>
  <c r="J371" i="28" l="1"/>
  <c r="M371" i="28" s="1"/>
  <c r="P371" i="28" s="1"/>
  <c r="S370" i="28"/>
  <c r="S371" i="28" l="1"/>
  <c r="J372" i="28"/>
  <c r="M372" i="28" s="1"/>
  <c r="H31" i="33" s="1"/>
  <c r="P372" i="28" l="1"/>
  <c r="J31" i="33" s="1"/>
  <c r="S372" i="28"/>
  <c r="L31" i="33" s="1"/>
  <c r="J373" i="28"/>
  <c r="M373" i="28" s="1"/>
  <c r="P373" i="28" s="1"/>
  <c r="J374" i="28" l="1"/>
  <c r="M374" i="28" s="1"/>
  <c r="P374" i="28" s="1"/>
  <c r="S373" i="28"/>
  <c r="J375" i="28" l="1"/>
  <c r="M375" i="28" s="1"/>
  <c r="P375" i="28" s="1"/>
  <c r="S374" i="28"/>
  <c r="J376" i="28" l="1"/>
  <c r="M376" i="28" s="1"/>
  <c r="P376" i="28" s="1"/>
  <c r="S375" i="28"/>
  <c r="S376" i="28" l="1"/>
  <c r="J377" i="28"/>
  <c r="M377" i="28" s="1"/>
  <c r="P377" i="28" s="1"/>
  <c r="J378" i="28" l="1"/>
  <c r="M378" i="28" s="1"/>
  <c r="P378" i="28" s="1"/>
  <c r="S377" i="28"/>
  <c r="J379" i="28" l="1"/>
  <c r="M379" i="28" s="1"/>
  <c r="P379" i="28" s="1"/>
  <c r="S378" i="28"/>
  <c r="S379" i="28" l="1"/>
  <c r="J380" i="28"/>
  <c r="M380" i="28" s="1"/>
  <c r="P380" i="28" s="1"/>
  <c r="J381" i="28" l="1"/>
  <c r="M381" i="28" s="1"/>
  <c r="P381" i="28" s="1"/>
  <c r="S380" i="28"/>
  <c r="J382" i="28" l="1"/>
  <c r="M382" i="28" s="1"/>
  <c r="P382" i="28" s="1"/>
  <c r="S381" i="28"/>
  <c r="S382" i="28" l="1"/>
  <c r="J383" i="28"/>
  <c r="M383" i="28" s="1"/>
  <c r="P383" i="28" l="1"/>
  <c r="S383" i="28"/>
  <c r="J384" i="28"/>
  <c r="M384" i="28" s="1"/>
  <c r="P384" i="28" s="1"/>
  <c r="S384" i="28" l="1"/>
  <c r="J385" i="28"/>
  <c r="M385" i="28" s="1"/>
  <c r="P385" i="28" s="1"/>
  <c r="S385" i="28" l="1"/>
  <c r="J386" i="28"/>
  <c r="M386" i="28" s="1"/>
  <c r="P386" i="28" s="1"/>
  <c r="S386" i="28" l="1"/>
  <c r="J387" i="28"/>
  <c r="M387" i="28" s="1"/>
  <c r="P387" i="28" s="1"/>
  <c r="S387" i="28" l="1"/>
  <c r="J388" i="28"/>
  <c r="M388" i="28" s="1"/>
  <c r="P388" i="28" s="1"/>
  <c r="J389" i="28" l="1"/>
  <c r="M389" i="28" s="1"/>
  <c r="P389" i="28" s="1"/>
  <c r="S388" i="28"/>
  <c r="J390" i="28" l="1"/>
  <c r="M390" i="28" s="1"/>
  <c r="P390" i="28" s="1"/>
  <c r="S389" i="28"/>
  <c r="J391" i="28" l="1"/>
  <c r="M391" i="28" s="1"/>
  <c r="P391" i="28" s="1"/>
  <c r="S390" i="28"/>
  <c r="J392" i="28" l="1"/>
  <c r="M392" i="28" s="1"/>
  <c r="P392" i="28" s="1"/>
  <c r="S391" i="28"/>
  <c r="S392" i="28" l="1"/>
  <c r="J393" i="28"/>
  <c r="M393" i="28" s="1"/>
  <c r="P393" i="28" s="1"/>
  <c r="S393" i="28" l="1"/>
  <c r="J394" i="28"/>
  <c r="M394" i="28" s="1"/>
  <c r="P394" i="28" s="1"/>
  <c r="J395" i="28" l="1"/>
  <c r="M395" i="28" s="1"/>
  <c r="P395" i="28" s="1"/>
  <c r="S394" i="28"/>
  <c r="S395" i="28" l="1"/>
  <c r="J396" i="28"/>
  <c r="M396" i="28" s="1"/>
  <c r="P396" i="28" s="1"/>
  <c r="J397" i="28" l="1"/>
  <c r="M397" i="28" s="1"/>
  <c r="P397" i="28" s="1"/>
  <c r="S396" i="28"/>
  <c r="S397" i="28" l="1"/>
  <c r="J398" i="28"/>
  <c r="M398" i="28" s="1"/>
  <c r="P398" i="28" s="1"/>
  <c r="S398" i="28" l="1"/>
  <c r="J399" i="28"/>
  <c r="M399" i="28" s="1"/>
  <c r="P399" i="28" s="1"/>
  <c r="S399" i="28" l="1"/>
  <c r="J400" i="28"/>
  <c r="M400" i="28" s="1"/>
  <c r="P400" i="28" s="1"/>
  <c r="S400" i="28" l="1"/>
  <c r="J401" i="28"/>
  <c r="M401" i="28" s="1"/>
  <c r="P401" i="28" s="1"/>
  <c r="S401" i="28" l="1"/>
  <c r="J402" i="28"/>
  <c r="M402" i="28" s="1"/>
  <c r="P402" i="28" s="1"/>
  <c r="S402" i="28" l="1"/>
  <c r="J403" i="28"/>
  <c r="M403" i="28" s="1"/>
  <c r="P403" i="28" s="1"/>
  <c r="S403" i="28" l="1"/>
  <c r="J404" i="28"/>
  <c r="M404" i="28" s="1"/>
  <c r="P404" i="28" s="1"/>
  <c r="S404" i="28" l="1"/>
  <c r="J405" i="28"/>
  <c r="M405" i="28" s="1"/>
  <c r="P405" i="28" s="1"/>
  <c r="J406" i="28" l="1"/>
  <c r="M406" i="28" s="1"/>
  <c r="P406" i="28" s="1"/>
  <c r="S405" i="28"/>
  <c r="J407" i="28" l="1"/>
  <c r="M407" i="28" s="1"/>
  <c r="P407" i="28" s="1"/>
  <c r="S406" i="28"/>
  <c r="J408" i="28" l="1"/>
  <c r="M408" i="28" s="1"/>
  <c r="P408" i="28" s="1"/>
  <c r="S407" i="28"/>
  <c r="S408" i="28" l="1"/>
  <c r="J409" i="28"/>
  <c r="M409" i="28" s="1"/>
  <c r="P409" i="28" s="1"/>
  <c r="J410" i="28" l="1"/>
  <c r="M410" i="28" s="1"/>
  <c r="P410" i="28" s="1"/>
  <c r="S409" i="28"/>
  <c r="J411" i="28" l="1"/>
  <c r="M411" i="28" s="1"/>
  <c r="P411" i="28" s="1"/>
  <c r="S410" i="28"/>
  <c r="J412" i="28" l="1"/>
  <c r="M412" i="28" s="1"/>
  <c r="P412" i="28" s="1"/>
  <c r="S411" i="28"/>
  <c r="S412" i="28" l="1"/>
  <c r="J413" i="28"/>
  <c r="M413" i="28" s="1"/>
  <c r="P413" i="28" s="1"/>
  <c r="S413" i="28" l="1"/>
  <c r="J414" i="28"/>
  <c r="M414" i="28" s="1"/>
  <c r="P414" i="28" s="1"/>
  <c r="S414" i="28" l="1"/>
  <c r="J415" i="28"/>
  <c r="M415" i="28" s="1"/>
  <c r="P415" i="28" s="1"/>
  <c r="J416" i="28" l="1"/>
  <c r="M416" i="28" s="1"/>
  <c r="P416" i="28" s="1"/>
  <c r="S415" i="28"/>
  <c r="S416" i="28" l="1"/>
  <c r="J417" i="28"/>
  <c r="M417" i="28" s="1"/>
  <c r="P417" i="28" s="1"/>
  <c r="S417" i="28" l="1"/>
  <c r="J418" i="28"/>
  <c r="M418" i="28" s="1"/>
  <c r="P418" i="28" s="1"/>
  <c r="S418" i="28" l="1"/>
  <c r="J419" i="28"/>
  <c r="M419" i="28" s="1"/>
  <c r="P419" i="28" s="1"/>
  <c r="S419" i="28" l="1"/>
  <c r="J420" i="28"/>
  <c r="M420" i="28" s="1"/>
  <c r="P420" i="28" s="1"/>
  <c r="S420" i="28" l="1"/>
  <c r="J421" i="28"/>
  <c r="M421" i="28" s="1"/>
  <c r="P421" i="28" s="1"/>
  <c r="J422" i="28" l="1"/>
  <c r="M422" i="28" s="1"/>
  <c r="P422" i="28" s="1"/>
  <c r="S421" i="28"/>
  <c r="J423" i="28" l="1"/>
  <c r="M423" i="28" s="1"/>
  <c r="P423" i="28" s="1"/>
  <c r="S422" i="28"/>
  <c r="J424" i="28" l="1"/>
  <c r="M424" i="28" s="1"/>
  <c r="P424" i="28" s="1"/>
  <c r="S423" i="28"/>
  <c r="S424" i="28" l="1"/>
  <c r="J425" i="28"/>
  <c r="M425" i="28" s="1"/>
  <c r="P425" i="28" s="1"/>
  <c r="J426" i="28" l="1"/>
  <c r="M426" i="28" s="1"/>
  <c r="P426" i="28" s="1"/>
  <c r="S425" i="28"/>
  <c r="S426" i="28" l="1"/>
  <c r="J427" i="28"/>
  <c r="M427" i="28" s="1"/>
  <c r="P427" i="28" s="1"/>
  <c r="J428" i="28" l="1"/>
  <c r="M428" i="28" s="1"/>
  <c r="P428" i="28" s="1"/>
  <c r="S427" i="28"/>
  <c r="S428" i="28" l="1"/>
  <c r="J429" i="28"/>
  <c r="M429" i="28" s="1"/>
  <c r="P429" i="28" s="1"/>
  <c r="S429" i="28" l="1"/>
  <c r="J430" i="28"/>
  <c r="M430" i="28" s="1"/>
  <c r="P430" i="28" s="1"/>
  <c r="S430" i="28" l="1"/>
  <c r="J431" i="28"/>
  <c r="M431" i="28" s="1"/>
  <c r="P431" i="28" s="1"/>
  <c r="S431" i="28" l="1"/>
  <c r="J432" i="28"/>
  <c r="M432" i="28" s="1"/>
  <c r="P432" i="28" s="1"/>
  <c r="S432" i="28" l="1"/>
  <c r="J433" i="28"/>
  <c r="M433" i="28" s="1"/>
  <c r="P433" i="28" s="1"/>
  <c r="S433" i="28" l="1"/>
  <c r="J434" i="28"/>
  <c r="M434" i="28" s="1"/>
  <c r="P434" i="28" s="1"/>
  <c r="S434" i="28" l="1"/>
  <c r="J435" i="28"/>
  <c r="M435" i="28" s="1"/>
  <c r="P435" i="28" s="1"/>
  <c r="J436" i="28" l="1"/>
  <c r="M436" i="28" s="1"/>
  <c r="P436" i="28" s="1"/>
  <c r="S435" i="28"/>
  <c r="S436" i="28" l="1"/>
  <c r="J437" i="28"/>
  <c r="M437" i="28" s="1"/>
  <c r="P437" i="28" s="1"/>
  <c r="J438" i="28" l="1"/>
  <c r="M438" i="28" s="1"/>
  <c r="P438" i="28" s="1"/>
  <c r="S437" i="28"/>
  <c r="S438" i="28" l="1"/>
  <c r="J439" i="28"/>
  <c r="M439" i="28" s="1"/>
  <c r="P439" i="28" s="1"/>
  <c r="S439" i="28" l="1"/>
  <c r="J440" i="28"/>
  <c r="M440" i="28" s="1"/>
  <c r="P440" i="28" s="1"/>
  <c r="J441" i="28" l="1"/>
  <c r="M441" i="28" s="1"/>
  <c r="P441" i="28" s="1"/>
  <c r="S440" i="28"/>
  <c r="J442" i="28" l="1"/>
  <c r="M442" i="28" s="1"/>
  <c r="P442" i="28" s="1"/>
  <c r="S441" i="28"/>
  <c r="J443" i="28" l="1"/>
  <c r="M443" i="28" s="1"/>
  <c r="P443" i="28" s="1"/>
  <c r="S442" i="28"/>
  <c r="J444" i="28" l="1"/>
  <c r="M444" i="28" s="1"/>
  <c r="P444" i="28" s="1"/>
  <c r="S443" i="28"/>
  <c r="J445" i="28" l="1"/>
  <c r="M445" i="28" s="1"/>
  <c r="P445" i="28" s="1"/>
  <c r="S444" i="28"/>
  <c r="S445" i="28" l="1"/>
  <c r="J446" i="28"/>
  <c r="M446" i="28" s="1"/>
  <c r="P446" i="28" s="1"/>
  <c r="S446" i="28" l="1"/>
  <c r="J447" i="28"/>
  <c r="M447" i="28" s="1"/>
  <c r="P447" i="28" s="1"/>
  <c r="S447" i="28" l="1"/>
  <c r="J448" i="28"/>
  <c r="M448" i="28" s="1"/>
  <c r="P448" i="28" s="1"/>
  <c r="J449" i="28" l="1"/>
  <c r="M449" i="28" s="1"/>
  <c r="P449" i="28" s="1"/>
  <c r="S448" i="28"/>
  <c r="J450" i="28" l="1"/>
  <c r="M450" i="28" s="1"/>
  <c r="P450" i="28" s="1"/>
  <c r="S449" i="28"/>
  <c r="J451" i="28" l="1"/>
  <c r="M451" i="28" s="1"/>
  <c r="P451" i="28" s="1"/>
  <c r="S450" i="28"/>
  <c r="S451" i="28" l="1"/>
  <c r="J452" i="28"/>
  <c r="M452" i="28" s="1"/>
  <c r="P452" i="28" s="1"/>
  <c r="S452" i="28" l="1"/>
  <c r="J453" i="28"/>
  <c r="M453" i="28" s="1"/>
  <c r="P453" i="28" s="1"/>
  <c r="J454" i="28" l="1"/>
  <c r="M454" i="28" s="1"/>
  <c r="P454" i="28" s="1"/>
  <c r="S453" i="28"/>
  <c r="S454" i="28" l="1"/>
  <c r="J455" i="28"/>
  <c r="M455" i="28" s="1"/>
  <c r="P455" i="28" s="1"/>
  <c r="J456" i="28" l="1"/>
  <c r="M456" i="28" s="1"/>
  <c r="P456" i="28" s="1"/>
  <c r="S455" i="28"/>
  <c r="J457" i="28" l="1"/>
  <c r="M457" i="28" s="1"/>
  <c r="P457" i="28" s="1"/>
  <c r="S456" i="28"/>
  <c r="S457" i="28" l="1"/>
  <c r="J458" i="28"/>
  <c r="M458" i="28" s="1"/>
  <c r="P458" i="28" s="1"/>
  <c r="J459" i="28" l="1"/>
  <c r="M459" i="28" s="1"/>
  <c r="P459" i="28" s="1"/>
  <c r="S458" i="28"/>
  <c r="J460" i="28" l="1"/>
  <c r="M460" i="28" s="1"/>
  <c r="P460" i="28" s="1"/>
  <c r="S459" i="28"/>
  <c r="S460" i="28" l="1"/>
  <c r="J461" i="28"/>
  <c r="M461" i="28" s="1"/>
  <c r="P461" i="28" s="1"/>
  <c r="S461" i="28" l="1"/>
  <c r="J462" i="28"/>
  <c r="M462" i="28" s="1"/>
  <c r="P462" i="28" s="1"/>
  <c r="S462" i="28" l="1"/>
  <c r="J463" i="28"/>
  <c r="M463" i="28" s="1"/>
  <c r="P463" i="28" s="1"/>
  <c r="S463" i="28" l="1"/>
  <c r="J464" i="28"/>
  <c r="M464" i="28" s="1"/>
  <c r="P464" i="28" s="1"/>
  <c r="J465" i="28" l="1"/>
  <c r="M465" i="28" s="1"/>
  <c r="P465" i="28" s="1"/>
  <c r="S464" i="28"/>
  <c r="J466" i="28" l="1"/>
  <c r="M466" i="28" s="1"/>
  <c r="P466" i="28" s="1"/>
  <c r="S465" i="28"/>
  <c r="S466" i="28" l="1"/>
  <c r="J467" i="28"/>
  <c r="M467" i="28" s="1"/>
  <c r="P467" i="28" s="1"/>
  <c r="S467" i="28" l="1"/>
  <c r="J468" i="28"/>
  <c r="M468" i="28" s="1"/>
  <c r="P468" i="28" s="1"/>
  <c r="S468" i="28" l="1"/>
  <c r="J469" i="28"/>
  <c r="M469" i="28" s="1"/>
  <c r="P469" i="28" s="1"/>
  <c r="S469" i="28" l="1"/>
  <c r="J470" i="28"/>
  <c r="M470" i="28" s="1"/>
  <c r="P470" i="28" s="1"/>
  <c r="S470" i="28" l="1"/>
  <c r="J471" i="28"/>
  <c r="M471" i="28" s="1"/>
  <c r="P471" i="28" s="1"/>
  <c r="J472" i="28" l="1"/>
  <c r="M472" i="28" s="1"/>
  <c r="P472" i="28" s="1"/>
  <c r="S471" i="28"/>
  <c r="J473" i="28" l="1"/>
  <c r="M473" i="28" s="1"/>
  <c r="P473" i="28" s="1"/>
  <c r="S472" i="28"/>
  <c r="S473" i="28" l="1"/>
  <c r="J474" i="28"/>
  <c r="M474" i="28" s="1"/>
  <c r="P474" i="28" s="1"/>
  <c r="S474" i="28" l="1"/>
  <c r="J475" i="28"/>
  <c r="M475" i="28" s="1"/>
  <c r="P475" i="28" s="1"/>
  <c r="S475" i="28" l="1"/>
  <c r="J476" i="28"/>
  <c r="M476" i="28" s="1"/>
  <c r="P476" i="28" s="1"/>
  <c r="J477" i="28" l="1"/>
  <c r="M477" i="28" s="1"/>
  <c r="P477" i="28" s="1"/>
  <c r="S476" i="28"/>
  <c r="J478" i="28" l="1"/>
  <c r="M478" i="28" s="1"/>
  <c r="P478" i="28" s="1"/>
  <c r="S477" i="28"/>
  <c r="S478" i="28" l="1"/>
  <c r="J479" i="28"/>
  <c r="M479" i="28" s="1"/>
  <c r="P479" i="28" s="1"/>
  <c r="S479" i="28" l="1"/>
  <c r="J480" i="28"/>
  <c r="M480" i="28" s="1"/>
  <c r="P480" i="28" s="1"/>
  <c r="S480" i="28" l="1"/>
  <c r="J481" i="28"/>
  <c r="M481" i="28" s="1"/>
  <c r="P481" i="28" s="1"/>
  <c r="J482" i="28" l="1"/>
  <c r="M482" i="28" s="1"/>
  <c r="P482" i="28" s="1"/>
  <c r="S481" i="28"/>
  <c r="S482" i="28" l="1"/>
  <c r="J483" i="28"/>
  <c r="M483" i="28" s="1"/>
  <c r="P483" i="28" s="1"/>
  <c r="S483" i="28" l="1"/>
  <c r="J484" i="28"/>
  <c r="M484" i="28" s="1"/>
  <c r="P484" i="28" s="1"/>
  <c r="S484" i="28" l="1"/>
  <c r="J485" i="28"/>
  <c r="M485" i="28" s="1"/>
  <c r="P485" i="28" s="1"/>
  <c r="J486" i="28" l="1"/>
  <c r="M486" i="28" s="1"/>
  <c r="P486" i="28" s="1"/>
  <c r="S485" i="28"/>
  <c r="S486" i="28" l="1"/>
  <c r="J487" i="28"/>
  <c r="M487" i="28" s="1"/>
  <c r="P487" i="28" s="1"/>
  <c r="J488" i="28" l="1"/>
  <c r="M488" i="28" s="1"/>
  <c r="P488" i="28" s="1"/>
  <c r="S487" i="28"/>
  <c r="S488" i="28" l="1"/>
  <c r="J489" i="28"/>
  <c r="M489" i="28" s="1"/>
  <c r="P489" i="28" s="1"/>
  <c r="J490" i="28" l="1"/>
  <c r="M490" i="28" s="1"/>
  <c r="P490" i="28" s="1"/>
  <c r="S489" i="28"/>
  <c r="S490" i="28" l="1"/>
  <c r="J491" i="28"/>
  <c r="M491" i="28" s="1"/>
  <c r="P491" i="28" s="1"/>
  <c r="S491" i="28" l="1"/>
  <c r="J492" i="28"/>
  <c r="M492" i="28" s="1"/>
  <c r="P492" i="28" s="1"/>
  <c r="S492" i="28" l="1"/>
  <c r="J493" i="28"/>
  <c r="M493" i="28" s="1"/>
  <c r="P493" i="28" s="1"/>
  <c r="J494" i="28" l="1"/>
  <c r="M494" i="28" s="1"/>
  <c r="P494" i="28" s="1"/>
  <c r="S493" i="28"/>
  <c r="J495" i="28" l="1"/>
  <c r="M495" i="28" s="1"/>
  <c r="P495" i="28" s="1"/>
  <c r="S494" i="28"/>
  <c r="S495" i="28" l="1"/>
  <c r="J496" i="28"/>
  <c r="M496" i="28" s="1"/>
  <c r="P496" i="28" s="1"/>
  <c r="S496" i="28" l="1"/>
  <c r="J497" i="28"/>
  <c r="M497" i="28" s="1"/>
  <c r="P497" i="28" s="1"/>
  <c r="S497" i="28" l="1"/>
  <c r="J498" i="28"/>
  <c r="M498" i="28" s="1"/>
  <c r="P498" i="28" s="1"/>
  <c r="S498" i="28" l="1"/>
  <c r="J499" i="28"/>
  <c r="M499" i="28" s="1"/>
  <c r="P499" i="28" s="1"/>
  <c r="S499" i="28" l="1"/>
  <c r="J500" i="28"/>
  <c r="M500" i="28" s="1"/>
  <c r="P500" i="28" s="1"/>
  <c r="S500" i="28" l="1"/>
  <c r="J501" i="28"/>
  <c r="M501" i="28" s="1"/>
  <c r="P501" i="28" s="1"/>
  <c r="J502" i="28" l="1"/>
  <c r="M502" i="28" s="1"/>
  <c r="P502" i="28" s="1"/>
  <c r="S501" i="28"/>
  <c r="S502" i="28" l="1"/>
  <c r="J503" i="28"/>
  <c r="S503" i="28" s="1"/>
  <c r="M503" i="28" l="1"/>
  <c r="P503" i="2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tc={D6A406C4-C582-4EEB-92E6-E3A55B0ECF87}</author>
  </authors>
  <commentList>
    <comment ref="O3" authorId="0" shapeId="0" xr:uid="{D6A406C4-C582-4EEB-92E6-E3A55B0ECF8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Volatilité du marché = 1
Plus que 1 : plus volatile
Moins que 1 : moins volatile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tc={BD167ECD-0419-4A0E-A6F9-3767FA3C64C3}</author>
  </authors>
  <commentList>
    <comment ref="U3" authorId="0" shapeId="0" xr:uid="{BD167ECD-0419-4A0E-A6F9-3767FA3C64C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Selon le relevé de portefeuille de l’année (donc au 31 décembre)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tc={BC87A7CA-4E72-420A-97F7-38F04380D70B}</author>
    <author>tc={3235E216-C7CE-4D56-B832-69CA3BE5C44C}</author>
  </authors>
  <commentList>
    <comment ref="P3" authorId="0" shapeId="0" xr:uid="{BC87A7CA-4E72-420A-97F7-38F04380D70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Taux préférentiel Desjardins</t>
      </text>
    </comment>
    <comment ref="Q3" authorId="1" shapeId="0" xr:uid="{3235E216-C7CE-4D56-B832-69CA3BE5C44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Taux préférentiel U.S. Desjardins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F8075C-D314-44DD-9653-27F19F0FEAAA}" name="usd" type="4" refreshedVersion="0" background="1">
    <webPr xml="1" sourceData="1" url="http://www.floatrates.com/daily/usd.xml" htmlTables="1" htmlFormat="all"/>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923">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7"/>
        </ext>
      </extLst>
    </bk>
    <bk>
      <extLst>
        <ext uri="{3e2802c4-a4d2-4d8b-9148-e3be6c30e623}">
          <xlrd:rvb i="520"/>
        </ext>
      </extLst>
    </bk>
    <bk>
      <extLst>
        <ext uri="{3e2802c4-a4d2-4d8b-9148-e3be6c30e623}">
          <xlrd:rvb i="523"/>
        </ext>
      </extLst>
    </bk>
    <bk>
      <extLst>
        <ext uri="{3e2802c4-a4d2-4d8b-9148-e3be6c30e623}">
          <xlrd:rvb i="526"/>
        </ext>
      </extLst>
    </bk>
    <bk>
      <extLst>
        <ext uri="{3e2802c4-a4d2-4d8b-9148-e3be6c30e623}">
          <xlrd:rvb i="529"/>
        </ext>
      </extLst>
    </bk>
    <bk>
      <extLst>
        <ext uri="{3e2802c4-a4d2-4d8b-9148-e3be6c30e623}">
          <xlrd:rvb i="532"/>
        </ext>
      </extLst>
    </bk>
    <bk>
      <extLst>
        <ext uri="{3e2802c4-a4d2-4d8b-9148-e3be6c30e623}">
          <xlrd:rvb i="535"/>
        </ext>
      </extLst>
    </bk>
    <bk>
      <extLst>
        <ext uri="{3e2802c4-a4d2-4d8b-9148-e3be6c30e623}">
          <xlrd:rvb i="538"/>
        </ext>
      </extLst>
    </bk>
    <bk>
      <extLst>
        <ext uri="{3e2802c4-a4d2-4d8b-9148-e3be6c30e623}">
          <xlrd:rvb i="541"/>
        </ext>
      </extLst>
    </bk>
    <bk>
      <extLst>
        <ext uri="{3e2802c4-a4d2-4d8b-9148-e3be6c30e623}">
          <xlrd:rvb i="544"/>
        </ext>
      </extLst>
    </bk>
    <bk>
      <extLst>
        <ext uri="{3e2802c4-a4d2-4d8b-9148-e3be6c30e623}">
          <xlrd:rvb i="547"/>
        </ext>
      </extLst>
    </bk>
    <bk>
      <extLst>
        <ext uri="{3e2802c4-a4d2-4d8b-9148-e3be6c30e623}">
          <xlrd:rvb i="550"/>
        </ext>
      </extLst>
    </bk>
    <bk>
      <extLst>
        <ext uri="{3e2802c4-a4d2-4d8b-9148-e3be6c30e623}">
          <xlrd:rvb i="553"/>
        </ext>
      </extLst>
    </bk>
    <bk>
      <extLst>
        <ext uri="{3e2802c4-a4d2-4d8b-9148-e3be6c30e623}">
          <xlrd:rvb i="556"/>
        </ext>
      </extLst>
    </bk>
    <bk>
      <extLst>
        <ext uri="{3e2802c4-a4d2-4d8b-9148-e3be6c30e623}">
          <xlrd:rvb i="559"/>
        </ext>
      </extLst>
    </bk>
    <bk>
      <extLst>
        <ext uri="{3e2802c4-a4d2-4d8b-9148-e3be6c30e623}">
          <xlrd:rvb i="562"/>
        </ext>
      </extLst>
    </bk>
    <bk>
      <extLst>
        <ext uri="{3e2802c4-a4d2-4d8b-9148-e3be6c30e623}">
          <xlrd:rvb i="565"/>
        </ext>
      </extLst>
    </bk>
    <bk>
      <extLst>
        <ext uri="{3e2802c4-a4d2-4d8b-9148-e3be6c30e623}">
          <xlrd:rvb i="568"/>
        </ext>
      </extLst>
    </bk>
    <bk>
      <extLst>
        <ext uri="{3e2802c4-a4d2-4d8b-9148-e3be6c30e623}">
          <xlrd:rvb i="570"/>
        </ext>
      </extLst>
    </bk>
    <bk>
      <extLst>
        <ext uri="{3e2802c4-a4d2-4d8b-9148-e3be6c30e623}">
          <xlrd:rvb i="572"/>
        </ext>
      </extLst>
    </bk>
    <bk>
      <extLst>
        <ext uri="{3e2802c4-a4d2-4d8b-9148-e3be6c30e623}">
          <xlrd:rvb i="575"/>
        </ext>
      </extLst>
    </bk>
    <bk>
      <extLst>
        <ext uri="{3e2802c4-a4d2-4d8b-9148-e3be6c30e623}">
          <xlrd:rvb i="578"/>
        </ext>
      </extLst>
    </bk>
    <bk>
      <extLst>
        <ext uri="{3e2802c4-a4d2-4d8b-9148-e3be6c30e623}">
          <xlrd:rvb i="585"/>
        </ext>
      </extLst>
    </bk>
    <bk>
      <extLst>
        <ext uri="{3e2802c4-a4d2-4d8b-9148-e3be6c30e623}">
          <xlrd:rvb i="588"/>
        </ext>
      </extLst>
    </bk>
    <bk>
      <extLst>
        <ext uri="{3e2802c4-a4d2-4d8b-9148-e3be6c30e623}">
          <xlrd:rvb i="591"/>
        </ext>
      </extLst>
    </bk>
    <bk>
      <extLst>
        <ext uri="{3e2802c4-a4d2-4d8b-9148-e3be6c30e623}">
          <xlrd:rvb i="594"/>
        </ext>
      </extLst>
    </bk>
    <bk>
      <extLst>
        <ext uri="{3e2802c4-a4d2-4d8b-9148-e3be6c30e623}">
          <xlrd:rvb i="597"/>
        </ext>
      </extLst>
    </bk>
    <bk>
      <extLst>
        <ext uri="{3e2802c4-a4d2-4d8b-9148-e3be6c30e623}">
          <xlrd:rvb i="600"/>
        </ext>
      </extLst>
    </bk>
    <bk>
      <extLst>
        <ext uri="{3e2802c4-a4d2-4d8b-9148-e3be6c30e623}">
          <xlrd:rvb i="603"/>
        </ext>
      </extLst>
    </bk>
    <bk>
      <extLst>
        <ext uri="{3e2802c4-a4d2-4d8b-9148-e3be6c30e623}">
          <xlrd:rvb i="606"/>
        </ext>
      </extLst>
    </bk>
    <bk>
      <extLst>
        <ext uri="{3e2802c4-a4d2-4d8b-9148-e3be6c30e623}">
          <xlrd:rvb i="609"/>
        </ext>
      </extLst>
    </bk>
    <bk>
      <extLst>
        <ext uri="{3e2802c4-a4d2-4d8b-9148-e3be6c30e623}">
          <xlrd:rvb i="612"/>
        </ext>
      </extLst>
    </bk>
    <bk>
      <extLst>
        <ext uri="{3e2802c4-a4d2-4d8b-9148-e3be6c30e623}">
          <xlrd:rvb i="615"/>
        </ext>
      </extLst>
    </bk>
    <bk>
      <extLst>
        <ext uri="{3e2802c4-a4d2-4d8b-9148-e3be6c30e623}">
          <xlrd:rvb i="618"/>
        </ext>
      </extLst>
    </bk>
    <bk>
      <extLst>
        <ext uri="{3e2802c4-a4d2-4d8b-9148-e3be6c30e623}">
          <xlrd:rvb i="621"/>
        </ext>
      </extLst>
    </bk>
    <bk>
      <extLst>
        <ext uri="{3e2802c4-a4d2-4d8b-9148-e3be6c30e623}">
          <xlrd:rvb i="623"/>
        </ext>
      </extLst>
    </bk>
    <bk>
      <extLst>
        <ext uri="{3e2802c4-a4d2-4d8b-9148-e3be6c30e623}">
          <xlrd:rvb i="626"/>
        </ext>
      </extLst>
    </bk>
    <bk>
      <extLst>
        <ext uri="{3e2802c4-a4d2-4d8b-9148-e3be6c30e623}">
          <xlrd:rvb i="633"/>
        </ext>
      </extLst>
    </bk>
    <bk>
      <extLst>
        <ext uri="{3e2802c4-a4d2-4d8b-9148-e3be6c30e623}">
          <xlrd:rvb i="639"/>
        </ext>
      </extLst>
    </bk>
    <bk>
      <extLst>
        <ext uri="{3e2802c4-a4d2-4d8b-9148-e3be6c30e623}">
          <xlrd:rvb i="642"/>
        </ext>
      </extLst>
    </bk>
    <bk>
      <extLst>
        <ext uri="{3e2802c4-a4d2-4d8b-9148-e3be6c30e623}">
          <xlrd:rvb i="643"/>
        </ext>
      </extLst>
    </bk>
    <bk>
      <extLst>
        <ext uri="{3e2802c4-a4d2-4d8b-9148-e3be6c30e623}">
          <xlrd:rvb i="646"/>
        </ext>
      </extLst>
    </bk>
    <bk>
      <extLst>
        <ext uri="{3e2802c4-a4d2-4d8b-9148-e3be6c30e623}">
          <xlrd:rvb i="649"/>
        </ext>
      </extLst>
    </bk>
    <bk>
      <extLst>
        <ext uri="{3e2802c4-a4d2-4d8b-9148-e3be6c30e623}">
          <xlrd:rvb i="652"/>
        </ext>
      </extLst>
    </bk>
    <bk>
      <extLst>
        <ext uri="{3e2802c4-a4d2-4d8b-9148-e3be6c30e623}">
          <xlrd:rvb i="655"/>
        </ext>
      </extLst>
    </bk>
    <bk>
      <extLst>
        <ext uri="{3e2802c4-a4d2-4d8b-9148-e3be6c30e623}">
          <xlrd:rvb i="658"/>
        </ext>
      </extLst>
    </bk>
    <bk>
      <extLst>
        <ext uri="{3e2802c4-a4d2-4d8b-9148-e3be6c30e623}">
          <xlrd:rvb i="661"/>
        </ext>
      </extLst>
    </bk>
    <bk>
      <extLst>
        <ext uri="{3e2802c4-a4d2-4d8b-9148-e3be6c30e623}">
          <xlrd:rvb i="664"/>
        </ext>
      </extLst>
    </bk>
    <bk>
      <extLst>
        <ext uri="{3e2802c4-a4d2-4d8b-9148-e3be6c30e623}">
          <xlrd:rvb i="666"/>
        </ext>
      </extLst>
    </bk>
    <bk>
      <extLst>
        <ext uri="{3e2802c4-a4d2-4d8b-9148-e3be6c30e623}">
          <xlrd:rvb i="669"/>
        </ext>
      </extLst>
    </bk>
    <bk>
      <extLst>
        <ext uri="{3e2802c4-a4d2-4d8b-9148-e3be6c30e623}">
          <xlrd:rvb i="672"/>
        </ext>
      </extLst>
    </bk>
    <bk>
      <extLst>
        <ext uri="{3e2802c4-a4d2-4d8b-9148-e3be6c30e623}">
          <xlrd:rvb i="675"/>
        </ext>
      </extLst>
    </bk>
    <bk>
      <extLst>
        <ext uri="{3e2802c4-a4d2-4d8b-9148-e3be6c30e623}">
          <xlrd:rvb i="677"/>
        </ext>
      </extLst>
    </bk>
    <bk>
      <extLst>
        <ext uri="{3e2802c4-a4d2-4d8b-9148-e3be6c30e623}">
          <xlrd:rvb i="680"/>
        </ext>
      </extLst>
    </bk>
    <bk>
      <extLst>
        <ext uri="{3e2802c4-a4d2-4d8b-9148-e3be6c30e623}">
          <xlrd:rvb i="683"/>
        </ext>
      </extLst>
    </bk>
    <bk>
      <extLst>
        <ext uri="{3e2802c4-a4d2-4d8b-9148-e3be6c30e623}">
          <xlrd:rvb i="686"/>
        </ext>
      </extLst>
    </bk>
    <bk>
      <extLst>
        <ext uri="{3e2802c4-a4d2-4d8b-9148-e3be6c30e623}">
          <xlrd:rvb i="689"/>
        </ext>
      </extLst>
    </bk>
    <bk>
      <extLst>
        <ext uri="{3e2802c4-a4d2-4d8b-9148-e3be6c30e623}">
          <xlrd:rvb i="692"/>
        </ext>
      </extLst>
    </bk>
    <bk>
      <extLst>
        <ext uri="{3e2802c4-a4d2-4d8b-9148-e3be6c30e623}">
          <xlrd:rvb i="695"/>
        </ext>
      </extLst>
    </bk>
    <bk>
      <extLst>
        <ext uri="{3e2802c4-a4d2-4d8b-9148-e3be6c30e623}">
          <xlrd:rvb i="698"/>
        </ext>
      </extLst>
    </bk>
    <bk>
      <extLst>
        <ext uri="{3e2802c4-a4d2-4d8b-9148-e3be6c30e623}">
          <xlrd:rvb i="701"/>
        </ext>
      </extLst>
    </bk>
    <bk>
      <extLst>
        <ext uri="{3e2802c4-a4d2-4d8b-9148-e3be6c30e623}">
          <xlrd:rvb i="704"/>
        </ext>
      </extLst>
    </bk>
    <bk>
      <extLst>
        <ext uri="{3e2802c4-a4d2-4d8b-9148-e3be6c30e623}">
          <xlrd:rvb i="706"/>
        </ext>
      </extLst>
    </bk>
    <bk>
      <extLst>
        <ext uri="{3e2802c4-a4d2-4d8b-9148-e3be6c30e623}">
          <xlrd:rvb i="712"/>
        </ext>
      </extLst>
    </bk>
    <bk>
      <extLst>
        <ext uri="{3e2802c4-a4d2-4d8b-9148-e3be6c30e623}">
          <xlrd:rvb i="715"/>
        </ext>
      </extLst>
    </bk>
    <bk>
      <extLst>
        <ext uri="{3e2802c4-a4d2-4d8b-9148-e3be6c30e623}">
          <xlrd:rvb i="718"/>
        </ext>
      </extLst>
    </bk>
    <bk>
      <extLst>
        <ext uri="{3e2802c4-a4d2-4d8b-9148-e3be6c30e623}">
          <xlrd:rvb i="721"/>
        </ext>
      </extLst>
    </bk>
    <bk>
      <extLst>
        <ext uri="{3e2802c4-a4d2-4d8b-9148-e3be6c30e623}">
          <xlrd:rvb i="724"/>
        </ext>
      </extLst>
    </bk>
    <bk>
      <extLst>
        <ext uri="{3e2802c4-a4d2-4d8b-9148-e3be6c30e623}">
          <xlrd:rvb i="727"/>
        </ext>
      </extLst>
    </bk>
    <bk>
      <extLst>
        <ext uri="{3e2802c4-a4d2-4d8b-9148-e3be6c30e623}">
          <xlrd:rvb i="730"/>
        </ext>
      </extLst>
    </bk>
    <bk>
      <extLst>
        <ext uri="{3e2802c4-a4d2-4d8b-9148-e3be6c30e623}">
          <xlrd:rvb i="733"/>
        </ext>
      </extLst>
    </bk>
    <bk>
      <extLst>
        <ext uri="{3e2802c4-a4d2-4d8b-9148-e3be6c30e623}">
          <xlrd:rvb i="736"/>
        </ext>
      </extLst>
    </bk>
    <bk>
      <extLst>
        <ext uri="{3e2802c4-a4d2-4d8b-9148-e3be6c30e623}">
          <xlrd:rvb i="739"/>
        </ext>
      </extLst>
    </bk>
    <bk>
      <extLst>
        <ext uri="{3e2802c4-a4d2-4d8b-9148-e3be6c30e623}">
          <xlrd:rvb i="742"/>
        </ext>
      </extLst>
    </bk>
    <bk>
      <extLst>
        <ext uri="{3e2802c4-a4d2-4d8b-9148-e3be6c30e623}">
          <xlrd:rvb i="745"/>
        </ext>
      </extLst>
    </bk>
    <bk>
      <extLst>
        <ext uri="{3e2802c4-a4d2-4d8b-9148-e3be6c30e623}">
          <xlrd:rvb i="748"/>
        </ext>
      </extLst>
    </bk>
    <bk>
      <extLst>
        <ext uri="{3e2802c4-a4d2-4d8b-9148-e3be6c30e623}">
          <xlrd:rvb i="751"/>
        </ext>
      </extLst>
    </bk>
    <bk>
      <extLst>
        <ext uri="{3e2802c4-a4d2-4d8b-9148-e3be6c30e623}">
          <xlrd:rvb i="754"/>
        </ext>
      </extLst>
    </bk>
    <bk>
      <extLst>
        <ext uri="{3e2802c4-a4d2-4d8b-9148-e3be6c30e623}">
          <xlrd:rvb i="757"/>
        </ext>
      </extLst>
    </bk>
    <bk>
      <extLst>
        <ext uri="{3e2802c4-a4d2-4d8b-9148-e3be6c30e623}">
          <xlrd:rvb i="760"/>
        </ext>
      </extLst>
    </bk>
    <bk>
      <extLst>
        <ext uri="{3e2802c4-a4d2-4d8b-9148-e3be6c30e623}">
          <xlrd:rvb i="763"/>
        </ext>
      </extLst>
    </bk>
    <bk>
      <extLst>
        <ext uri="{3e2802c4-a4d2-4d8b-9148-e3be6c30e623}">
          <xlrd:rvb i="766"/>
        </ext>
      </extLst>
    </bk>
    <bk>
      <extLst>
        <ext uri="{3e2802c4-a4d2-4d8b-9148-e3be6c30e623}">
          <xlrd:rvb i="769"/>
        </ext>
      </extLst>
    </bk>
    <bk>
      <extLst>
        <ext uri="{3e2802c4-a4d2-4d8b-9148-e3be6c30e623}">
          <xlrd:rvb i="772"/>
        </ext>
      </extLst>
    </bk>
    <bk>
      <extLst>
        <ext uri="{3e2802c4-a4d2-4d8b-9148-e3be6c30e623}">
          <xlrd:rvb i="775"/>
        </ext>
      </extLst>
    </bk>
    <bk>
      <extLst>
        <ext uri="{3e2802c4-a4d2-4d8b-9148-e3be6c30e623}">
          <xlrd:rvb i="778"/>
        </ext>
      </extLst>
    </bk>
    <bk>
      <extLst>
        <ext uri="{3e2802c4-a4d2-4d8b-9148-e3be6c30e623}">
          <xlrd:rvb i="781"/>
        </ext>
      </extLst>
    </bk>
    <bk>
      <extLst>
        <ext uri="{3e2802c4-a4d2-4d8b-9148-e3be6c30e623}">
          <xlrd:rvb i="784"/>
        </ext>
      </extLst>
    </bk>
    <bk>
      <extLst>
        <ext uri="{3e2802c4-a4d2-4d8b-9148-e3be6c30e623}">
          <xlrd:rvb i="787"/>
        </ext>
      </extLst>
    </bk>
    <bk>
      <extLst>
        <ext uri="{3e2802c4-a4d2-4d8b-9148-e3be6c30e623}">
          <xlrd:rvb i="790"/>
        </ext>
      </extLst>
    </bk>
    <bk>
      <extLst>
        <ext uri="{3e2802c4-a4d2-4d8b-9148-e3be6c30e623}">
          <xlrd:rvb i="793"/>
        </ext>
      </extLst>
    </bk>
    <bk>
      <extLst>
        <ext uri="{3e2802c4-a4d2-4d8b-9148-e3be6c30e623}">
          <xlrd:rvb i="796"/>
        </ext>
      </extLst>
    </bk>
    <bk>
      <extLst>
        <ext uri="{3e2802c4-a4d2-4d8b-9148-e3be6c30e623}">
          <xlrd:rvb i="799"/>
        </ext>
      </extLst>
    </bk>
    <bk>
      <extLst>
        <ext uri="{3e2802c4-a4d2-4d8b-9148-e3be6c30e623}">
          <xlrd:rvb i="802"/>
        </ext>
      </extLst>
    </bk>
    <bk>
      <extLst>
        <ext uri="{3e2802c4-a4d2-4d8b-9148-e3be6c30e623}">
          <xlrd:rvb i="805"/>
        </ext>
      </extLst>
    </bk>
    <bk>
      <extLst>
        <ext uri="{3e2802c4-a4d2-4d8b-9148-e3be6c30e623}">
          <xlrd:rvb i="808"/>
        </ext>
      </extLst>
    </bk>
    <bk>
      <extLst>
        <ext uri="{3e2802c4-a4d2-4d8b-9148-e3be6c30e623}">
          <xlrd:rvb i="811"/>
        </ext>
      </extLst>
    </bk>
    <bk>
      <extLst>
        <ext uri="{3e2802c4-a4d2-4d8b-9148-e3be6c30e623}">
          <xlrd:rvb i="814"/>
        </ext>
      </extLst>
    </bk>
    <bk>
      <extLst>
        <ext uri="{3e2802c4-a4d2-4d8b-9148-e3be6c30e623}">
          <xlrd:rvb i="817"/>
        </ext>
      </extLst>
    </bk>
    <bk>
      <extLst>
        <ext uri="{3e2802c4-a4d2-4d8b-9148-e3be6c30e623}">
          <xlrd:rvb i="820"/>
        </ext>
      </extLst>
    </bk>
    <bk>
      <extLst>
        <ext uri="{3e2802c4-a4d2-4d8b-9148-e3be6c30e623}">
          <xlrd:rvb i="823"/>
        </ext>
      </extLst>
    </bk>
    <bk>
      <extLst>
        <ext uri="{3e2802c4-a4d2-4d8b-9148-e3be6c30e623}">
          <xlrd:rvb i="826"/>
        </ext>
      </extLst>
    </bk>
    <bk>
      <extLst>
        <ext uri="{3e2802c4-a4d2-4d8b-9148-e3be6c30e623}">
          <xlrd:rvb i="829"/>
        </ext>
      </extLst>
    </bk>
    <bk>
      <extLst>
        <ext uri="{3e2802c4-a4d2-4d8b-9148-e3be6c30e623}">
          <xlrd:rvb i="832"/>
        </ext>
      </extLst>
    </bk>
    <bk>
      <extLst>
        <ext uri="{3e2802c4-a4d2-4d8b-9148-e3be6c30e623}">
          <xlrd:rvb i="835"/>
        </ext>
      </extLst>
    </bk>
    <bk>
      <extLst>
        <ext uri="{3e2802c4-a4d2-4d8b-9148-e3be6c30e623}">
          <xlrd:rvb i="838"/>
        </ext>
      </extLst>
    </bk>
    <bk>
      <extLst>
        <ext uri="{3e2802c4-a4d2-4d8b-9148-e3be6c30e623}">
          <xlrd:rvb i="841"/>
        </ext>
      </extLst>
    </bk>
    <bk>
      <extLst>
        <ext uri="{3e2802c4-a4d2-4d8b-9148-e3be6c30e623}">
          <xlrd:rvb i="844"/>
        </ext>
      </extLst>
    </bk>
    <bk>
      <extLst>
        <ext uri="{3e2802c4-a4d2-4d8b-9148-e3be6c30e623}">
          <xlrd:rvb i="847"/>
        </ext>
      </extLst>
    </bk>
    <bk>
      <extLst>
        <ext uri="{3e2802c4-a4d2-4d8b-9148-e3be6c30e623}">
          <xlrd:rvb i="850"/>
        </ext>
      </extLst>
    </bk>
    <bk>
      <extLst>
        <ext uri="{3e2802c4-a4d2-4d8b-9148-e3be6c30e623}">
          <xlrd:rvb i="853"/>
        </ext>
      </extLst>
    </bk>
    <bk>
      <extLst>
        <ext uri="{3e2802c4-a4d2-4d8b-9148-e3be6c30e623}">
          <xlrd:rvb i="856"/>
        </ext>
      </extLst>
    </bk>
    <bk>
      <extLst>
        <ext uri="{3e2802c4-a4d2-4d8b-9148-e3be6c30e623}">
          <xlrd:rvb i="859"/>
        </ext>
      </extLst>
    </bk>
    <bk>
      <extLst>
        <ext uri="{3e2802c4-a4d2-4d8b-9148-e3be6c30e623}">
          <xlrd:rvb i="862"/>
        </ext>
      </extLst>
    </bk>
    <bk>
      <extLst>
        <ext uri="{3e2802c4-a4d2-4d8b-9148-e3be6c30e623}">
          <xlrd:rvb i="865"/>
        </ext>
      </extLst>
    </bk>
    <bk>
      <extLst>
        <ext uri="{3e2802c4-a4d2-4d8b-9148-e3be6c30e623}">
          <xlrd:rvb i="868"/>
        </ext>
      </extLst>
    </bk>
    <bk>
      <extLst>
        <ext uri="{3e2802c4-a4d2-4d8b-9148-e3be6c30e623}">
          <xlrd:rvb i="871"/>
        </ext>
      </extLst>
    </bk>
    <bk>
      <extLst>
        <ext uri="{3e2802c4-a4d2-4d8b-9148-e3be6c30e623}">
          <xlrd:rvb i="874"/>
        </ext>
      </extLst>
    </bk>
    <bk>
      <extLst>
        <ext uri="{3e2802c4-a4d2-4d8b-9148-e3be6c30e623}">
          <xlrd:rvb i="877"/>
        </ext>
      </extLst>
    </bk>
    <bk>
      <extLst>
        <ext uri="{3e2802c4-a4d2-4d8b-9148-e3be6c30e623}">
          <xlrd:rvb i="880"/>
        </ext>
      </extLst>
    </bk>
    <bk>
      <extLst>
        <ext uri="{3e2802c4-a4d2-4d8b-9148-e3be6c30e623}">
          <xlrd:rvb i="883"/>
        </ext>
      </extLst>
    </bk>
    <bk>
      <extLst>
        <ext uri="{3e2802c4-a4d2-4d8b-9148-e3be6c30e623}">
          <xlrd:rvb i="886"/>
        </ext>
      </extLst>
    </bk>
    <bk>
      <extLst>
        <ext uri="{3e2802c4-a4d2-4d8b-9148-e3be6c30e623}">
          <xlrd:rvb i="889"/>
        </ext>
      </extLst>
    </bk>
    <bk>
      <extLst>
        <ext uri="{3e2802c4-a4d2-4d8b-9148-e3be6c30e623}">
          <xlrd:rvb i="892"/>
        </ext>
      </extLst>
    </bk>
    <bk>
      <extLst>
        <ext uri="{3e2802c4-a4d2-4d8b-9148-e3be6c30e623}">
          <xlrd:rvb i="895"/>
        </ext>
      </extLst>
    </bk>
    <bk>
      <extLst>
        <ext uri="{3e2802c4-a4d2-4d8b-9148-e3be6c30e623}">
          <xlrd:rvb i="898"/>
        </ext>
      </extLst>
    </bk>
    <bk>
      <extLst>
        <ext uri="{3e2802c4-a4d2-4d8b-9148-e3be6c30e623}">
          <xlrd:rvb i="901"/>
        </ext>
      </extLst>
    </bk>
    <bk>
      <extLst>
        <ext uri="{3e2802c4-a4d2-4d8b-9148-e3be6c30e623}">
          <xlrd:rvb i="904"/>
        </ext>
      </extLst>
    </bk>
    <bk>
      <extLst>
        <ext uri="{3e2802c4-a4d2-4d8b-9148-e3be6c30e623}">
          <xlrd:rvb i="907"/>
        </ext>
      </extLst>
    </bk>
    <bk>
      <extLst>
        <ext uri="{3e2802c4-a4d2-4d8b-9148-e3be6c30e623}">
          <xlrd:rvb i="910"/>
        </ext>
      </extLst>
    </bk>
    <bk>
      <extLst>
        <ext uri="{3e2802c4-a4d2-4d8b-9148-e3be6c30e623}">
          <xlrd:rvb i="913"/>
        </ext>
      </extLst>
    </bk>
    <bk>
      <extLst>
        <ext uri="{3e2802c4-a4d2-4d8b-9148-e3be6c30e623}">
          <xlrd:rvb i="916"/>
        </ext>
      </extLst>
    </bk>
    <bk>
      <extLst>
        <ext uri="{3e2802c4-a4d2-4d8b-9148-e3be6c30e623}">
          <xlrd:rvb i="919"/>
        </ext>
      </extLst>
    </bk>
    <bk>
      <extLst>
        <ext uri="{3e2802c4-a4d2-4d8b-9148-e3be6c30e623}">
          <xlrd:rvb i="922"/>
        </ext>
      </extLst>
    </bk>
    <bk>
      <extLst>
        <ext uri="{3e2802c4-a4d2-4d8b-9148-e3be6c30e623}">
          <xlrd:rvb i="925"/>
        </ext>
      </extLst>
    </bk>
    <bk>
      <extLst>
        <ext uri="{3e2802c4-a4d2-4d8b-9148-e3be6c30e623}">
          <xlrd:rvb i="928"/>
        </ext>
      </extLst>
    </bk>
    <bk>
      <extLst>
        <ext uri="{3e2802c4-a4d2-4d8b-9148-e3be6c30e623}">
          <xlrd:rvb i="931"/>
        </ext>
      </extLst>
    </bk>
    <bk>
      <extLst>
        <ext uri="{3e2802c4-a4d2-4d8b-9148-e3be6c30e623}">
          <xlrd:rvb i="934"/>
        </ext>
      </extLst>
    </bk>
    <bk>
      <extLst>
        <ext uri="{3e2802c4-a4d2-4d8b-9148-e3be6c30e623}">
          <xlrd:rvb i="937"/>
        </ext>
      </extLst>
    </bk>
    <bk>
      <extLst>
        <ext uri="{3e2802c4-a4d2-4d8b-9148-e3be6c30e623}">
          <xlrd:rvb i="940"/>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8"/>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2"/>
        </ext>
      </extLst>
    </bk>
    <bk>
      <extLst>
        <ext uri="{3e2802c4-a4d2-4d8b-9148-e3be6c30e623}">
          <xlrd:rvb i="2215"/>
        </ext>
      </extLst>
    </bk>
    <bk>
      <extLst>
        <ext uri="{3e2802c4-a4d2-4d8b-9148-e3be6c30e623}">
          <xlrd:rvb i="2218"/>
        </ext>
      </extLst>
    </bk>
    <bk>
      <extLst>
        <ext uri="{3e2802c4-a4d2-4d8b-9148-e3be6c30e623}">
          <xlrd:rvb i="2221"/>
        </ext>
      </extLst>
    </bk>
    <bk>
      <extLst>
        <ext uri="{3e2802c4-a4d2-4d8b-9148-e3be6c30e623}">
          <xlrd:rvb i="2224"/>
        </ext>
      </extLst>
    </bk>
    <bk>
      <extLst>
        <ext uri="{3e2802c4-a4d2-4d8b-9148-e3be6c30e623}">
          <xlrd:rvb i="2230"/>
        </ext>
      </extLst>
    </bk>
    <bk>
      <extLst>
        <ext uri="{3e2802c4-a4d2-4d8b-9148-e3be6c30e623}">
          <xlrd:rvb i="2233"/>
        </ext>
      </extLst>
    </bk>
    <bk>
      <extLst>
        <ext uri="{3e2802c4-a4d2-4d8b-9148-e3be6c30e623}">
          <xlrd:rvb i="2236"/>
        </ext>
      </extLst>
    </bk>
    <bk>
      <extLst>
        <ext uri="{3e2802c4-a4d2-4d8b-9148-e3be6c30e623}">
          <xlrd:rvb i="2239"/>
        </ext>
      </extLst>
    </bk>
    <bk>
      <extLst>
        <ext uri="{3e2802c4-a4d2-4d8b-9148-e3be6c30e623}">
          <xlrd:rvb i="2242"/>
        </ext>
      </extLst>
    </bk>
    <bk>
      <extLst>
        <ext uri="{3e2802c4-a4d2-4d8b-9148-e3be6c30e623}">
          <xlrd:rvb i="2245"/>
        </ext>
      </extLst>
    </bk>
    <bk>
      <extLst>
        <ext uri="{3e2802c4-a4d2-4d8b-9148-e3be6c30e623}">
          <xlrd:rvb i="2248"/>
        </ext>
      </extLst>
    </bk>
    <bk>
      <extLst>
        <ext uri="{3e2802c4-a4d2-4d8b-9148-e3be6c30e623}">
          <xlrd:rvb i="2250"/>
        </ext>
      </extLst>
    </bk>
  </futureMetadata>
  <cellMetadata count="1">
    <bk>
      <rc t="1" v="0"/>
    </bk>
  </cellMetadata>
  <valueMetadata count="192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valueMetadata>
</metadata>
</file>

<file path=xl/sharedStrings.xml><?xml version="1.0" encoding="utf-8"?>
<sst xmlns="http://schemas.openxmlformats.org/spreadsheetml/2006/main" count="742" uniqueCount="308">
  <si>
    <t>Compte</t>
  </si>
  <si>
    <t>Symbole</t>
  </si>
  <si>
    <t>Nom</t>
  </si>
  <si>
    <t>20K6HZ6</t>
  </si>
  <si>
    <t>20K6HY8</t>
  </si>
  <si>
    <t>20K6HU7</t>
  </si>
  <si>
    <t>Valeur marchande</t>
  </si>
  <si>
    <t>Nb</t>
  </si>
  <si>
    <t>Action</t>
  </si>
  <si>
    <t>Objectifs</t>
  </si>
  <si>
    <t>REER</t>
  </si>
  <si>
    <t>CELI</t>
  </si>
  <si>
    <t>Total</t>
  </si>
  <si>
    <t>Âge</t>
  </si>
  <si>
    <t>RRMD</t>
  </si>
  <si>
    <t>Âge de la retraite</t>
  </si>
  <si>
    <t>Années de service</t>
  </si>
  <si>
    <t>Année</t>
  </si>
  <si>
    <t>Réduction</t>
  </si>
  <si>
    <t>Limite</t>
  </si>
  <si>
    <t>Cotisation</t>
  </si>
  <si>
    <t>en % du salaire actuel</t>
  </si>
  <si>
    <t>Limite restante</t>
  </si>
  <si>
    <t>Salaire annuel</t>
  </si>
  <si>
    <t>CWB</t>
  </si>
  <si>
    <t>Catégorie</t>
  </si>
  <si>
    <t>Bourse</t>
  </si>
  <si>
    <t>Valeur actuelle</t>
  </si>
  <si>
    <t>Cotisation totale</t>
  </si>
  <si>
    <t>Valeur totale</t>
  </si>
  <si>
    <t>Nb de titres</t>
  </si>
  <si>
    <t>Cotisation totale cumulative</t>
  </si>
  <si>
    <t>CAD</t>
  </si>
  <si>
    <t>USD</t>
  </si>
  <si>
    <t>Comptant/Marge</t>
  </si>
  <si>
    <t>20K6HF2</t>
  </si>
  <si>
    <t>Marge (US)</t>
  </si>
  <si>
    <t>20K6HE4</t>
  </si>
  <si>
    <t>Régime B</t>
  </si>
  <si>
    <t>Régime C</t>
  </si>
  <si>
    <t>X</t>
  </si>
  <si>
    <t>Placements</t>
  </si>
  <si>
    <t>Réinvestissement</t>
  </si>
  <si>
    <t>CRCD</t>
  </si>
  <si>
    <t>Capital régional et coopératif Desjardins (CRCD)</t>
  </si>
  <si>
    <t>Janvier 2022</t>
  </si>
  <si>
    <t>Février 2022</t>
  </si>
  <si>
    <t>Mars 2022</t>
  </si>
  <si>
    <t>Avril 2022</t>
  </si>
  <si>
    <t>Mai 2022</t>
  </si>
  <si>
    <t>Juin 2022</t>
  </si>
  <si>
    <t>Juillet 2022</t>
  </si>
  <si>
    <t>Août 2022</t>
  </si>
  <si>
    <t>Septembre 2022</t>
  </si>
  <si>
    <t>Octobre 2022</t>
  </si>
  <si>
    <t>Novembre 2022</t>
  </si>
  <si>
    <t>Décembre 2022</t>
  </si>
  <si>
    <t>Valeur total</t>
  </si>
  <si>
    <t>Gain ($)</t>
  </si>
  <si>
    <t>Gain (%)</t>
  </si>
  <si>
    <t>Prix</t>
  </si>
  <si>
    <t>Notes</t>
  </si>
  <si>
    <t>Janvier 2023</t>
  </si>
  <si>
    <t>Janvier 2021</t>
  </si>
  <si>
    <t>Février 2021</t>
  </si>
  <si>
    <t>Mars 2021</t>
  </si>
  <si>
    <t>Avril 2021</t>
  </si>
  <si>
    <t>Mai 2021</t>
  </si>
  <si>
    <t>Juin 2021</t>
  </si>
  <si>
    <t>Juillet 2021</t>
  </si>
  <si>
    <t>Août 2021</t>
  </si>
  <si>
    <t>Septembre 2021</t>
  </si>
  <si>
    <t>Octobre 2021</t>
  </si>
  <si>
    <t>Novembre 2021</t>
  </si>
  <si>
    <t>Décembre 2021</t>
  </si>
  <si>
    <t>Rendement</t>
  </si>
  <si>
    <t>Valeur au marché</t>
  </si>
  <si>
    <t>Biens de consommation défensif</t>
  </si>
  <si>
    <t>Soins de santé</t>
  </si>
  <si>
    <t>Secteur</t>
  </si>
  <si>
    <t>Technologie</t>
  </si>
  <si>
    <t>Biens de consommation cyclique</t>
  </si>
  <si>
    <t>Montant - achat (CAD)</t>
  </si>
  <si>
    <t>Prix - achat (CAD)</t>
  </si>
  <si>
    <t>Montant - achat (USD)</t>
  </si>
  <si>
    <t>Prix - achat (USD)</t>
  </si>
  <si>
    <t>Cible - vente (USD)</t>
  </si>
  <si>
    <t>Taux de change - achat</t>
  </si>
  <si>
    <t>Cible - vente (CAD)</t>
  </si>
  <si>
    <t>Gérance</t>
  </si>
  <si>
    <t>Bastille</t>
  </si>
  <si>
    <t>Sous-évalué</t>
  </si>
  <si>
    <t>Exemplaire</t>
  </si>
  <si>
    <t>Forte</t>
  </si>
  <si>
    <t>N/A</t>
  </si>
  <si>
    <t>Évalué correctement</t>
  </si>
  <si>
    <t>Surévalué</t>
  </si>
  <si>
    <t>Faible</t>
  </si>
  <si>
    <t>Décision</t>
  </si>
  <si>
    <t>P / FVE</t>
  </si>
  <si>
    <t>Valeur du portefeuille sur marge :</t>
  </si>
  <si>
    <t>Limite avec marge de manoeuvre :</t>
  </si>
  <si>
    <t>Marge disponible pour emprunt :</t>
  </si>
  <si>
    <t>Profit espéré par $ d'emprunt :</t>
  </si>
  <si>
    <t>FVE</t>
  </si>
  <si>
    <t>Pépite</t>
  </si>
  <si>
    <t>Évaluation</t>
  </si>
  <si>
    <t>Évaluation Morningstar de 5 étoiles</t>
  </si>
  <si>
    <t>Capitalisation (en milliard)</t>
  </si>
  <si>
    <t>Dividendes</t>
  </si>
  <si>
    <t>Taux d'intérêt :</t>
  </si>
  <si>
    <t>0$ à 99 999$ : base + 1,25%</t>
  </si>
  <si>
    <t>100 000$ à 499 999$ : base + 0,5%</t>
  </si>
  <si>
    <t>500 000$ et plus : base</t>
  </si>
  <si>
    <t xml:space="preserve">Base : </t>
  </si>
  <si>
    <t>Tableau de suivi du programme "Pépites"</t>
  </si>
  <si>
    <t>Liquidité</t>
  </si>
  <si>
    <t>REIT</t>
  </si>
  <si>
    <t>Gain non réalisé ($)</t>
  </si>
  <si>
    <t>Gain non réalisé (%)</t>
  </si>
  <si>
    <t>Coût total</t>
  </si>
  <si>
    <t>Variation du jour ($)</t>
  </si>
  <si>
    <t>Variation du jour (%)</t>
  </si>
  <si>
    <t>Marge utilisée :</t>
  </si>
  <si>
    <t xml:space="preserve">Marge restante : </t>
  </si>
  <si>
    <t>Trimestre</t>
  </si>
  <si>
    <t>Prix des actions</t>
  </si>
  <si>
    <t>Date</t>
  </si>
  <si>
    <t>Dividende par action</t>
  </si>
  <si>
    <t>Contribution</t>
  </si>
  <si>
    <t>Nb d'actions</t>
  </si>
  <si>
    <t>Revenu de dividende (avec réinvestissement)</t>
  </si>
  <si>
    <t>Revenu de dividende (sans réinvestissement)</t>
  </si>
  <si>
    <t>Portefeuille d'action dans le temps</t>
  </si>
  <si>
    <t>Revenu total (sans réinvestissement)</t>
  </si>
  <si>
    <t>Revenu total (avec réinvestissement)</t>
  </si>
  <si>
    <t>Comparaison du revenu total</t>
  </si>
  <si>
    <t>Valeur (sans réinvestissement)</t>
  </si>
  <si>
    <t>Valeur (avec réinvestissement)</t>
  </si>
  <si>
    <t>Comparaison de la valeur totale</t>
  </si>
  <si>
    <t>Taux de croissance du prix</t>
  </si>
  <si>
    <t>Prix de départ des actions</t>
  </si>
  <si>
    <t>Taux de croissance des dividende</t>
  </si>
  <si>
    <t>Rendement des dividendes de départ</t>
  </si>
  <si>
    <t>Montant forfaitaire ou mensuel?</t>
  </si>
  <si>
    <t>Mensuel</t>
  </si>
  <si>
    <t>Variables</t>
  </si>
  <si>
    <t>Nb d'action avec réinvestissement</t>
  </si>
  <si>
    <t>Comparaison des revenus mensuels</t>
  </si>
  <si>
    <t>Projection du portefeuille et des dividendes</t>
  </si>
  <si>
    <t>Valeur du portefeuille</t>
  </si>
  <si>
    <t>Prix actuel</t>
  </si>
  <si>
    <t>Coût moyen</t>
  </si>
  <si>
    <t># de compte</t>
  </si>
  <si>
    <t>Année de constitution</t>
  </si>
  <si>
    <t>Devise</t>
  </si>
  <si>
    <t>Industrie</t>
  </si>
  <si>
    <t>Type de compte</t>
  </si>
  <si>
    <t>Marge (CAD)</t>
  </si>
  <si>
    <t>Marge (USD)</t>
  </si>
  <si>
    <t>CELI (CAD)</t>
  </si>
  <si>
    <t>REER (CAD)</t>
  </si>
  <si>
    <t>REER (USD)</t>
  </si>
  <si>
    <t>Dividende trimestriel</t>
  </si>
  <si>
    <t>Dividende annuel</t>
  </si>
  <si>
    <t>Rendement des dividendes</t>
  </si>
  <si>
    <t>Croissance (années)</t>
  </si>
  <si>
    <t>Revenu annuel anticipé</t>
  </si>
  <si>
    <t>Vue globale de mon portefeuille</t>
  </si>
  <si>
    <t>Projections de mon portefeuille</t>
  </si>
  <si>
    <t>TSX :</t>
  </si>
  <si>
    <t>Dividendes mensuels</t>
  </si>
  <si>
    <t>Dividende annuel estimé</t>
  </si>
  <si>
    <t>Dividendes à venir</t>
  </si>
  <si>
    <t>Salaire actuel</t>
  </si>
  <si>
    <t>% du salaire actuel</t>
  </si>
  <si>
    <t>Dividende mensuel moyen</t>
  </si>
  <si>
    <t>Montant de départ</t>
  </si>
  <si>
    <t>Contribution mensuel</t>
  </si>
  <si>
    <t>↙</t>
  </si>
  <si>
    <t>Source</t>
  </si>
  <si>
    <t>Mes recherches</t>
  </si>
  <si>
    <t>Beta</t>
  </si>
  <si>
    <t>Dividend King</t>
  </si>
  <si>
    <t>Capitalisation boursière
(en milliard)</t>
  </si>
  <si>
    <t>Planification du revenu à la retraite</t>
  </si>
  <si>
    <t>Achat</t>
  </si>
  <si>
    <t>Suivi</t>
  </si>
  <si>
    <t>Prix actuel (USD)</t>
  </si>
  <si>
    <t>Progression sur la cible</t>
  </si>
  <si>
    <t>Variation du jour (USD)</t>
  </si>
  <si>
    <t>Taux de change - actuel</t>
  </si>
  <si>
    <t>Taux de change USD-CAD</t>
  </si>
  <si>
    <t>Profit actuel (USD)</t>
  </si>
  <si>
    <t>Aristocrats</t>
  </si>
  <si>
    <t>Politique ?</t>
  </si>
  <si>
    <t>Mensuel ?</t>
  </si>
  <si>
    <t>Nb d'action</t>
  </si>
  <si>
    <t>MARGE (CAD)</t>
  </si>
  <si>
    <t>MARGE (USD)</t>
  </si>
  <si>
    <t>Gagnant :</t>
  </si>
  <si>
    <t xml:space="preserve">Perdant : </t>
  </si>
  <si>
    <t>Plus grande variation du jour</t>
  </si>
  <si>
    <t>Retour total</t>
  </si>
  <si>
    <t>Total - dividendes reçus</t>
  </si>
  <si>
    <t>Actions canadiennes</t>
  </si>
  <si>
    <t>Actions américaines</t>
  </si>
  <si>
    <t>Actions internationales</t>
  </si>
  <si>
    <t>Liquidités</t>
  </si>
  <si>
    <t>Décembre 2020</t>
  </si>
  <si>
    <t>Novembre 2020</t>
  </si>
  <si>
    <t>Octobre 2020</t>
  </si>
  <si>
    <t>Septembre 2020</t>
  </si>
  <si>
    <t>Août 2020</t>
  </si>
  <si>
    <t>Janvier 2020</t>
  </si>
  <si>
    <t>Février 2020</t>
  </si>
  <si>
    <t>Mars 2020</t>
  </si>
  <si>
    <t>Avril 2020</t>
  </si>
  <si>
    <t>Mai 2020</t>
  </si>
  <si>
    <t>Juin 2020</t>
  </si>
  <si>
    <t>Juillet 2020</t>
  </si>
  <si>
    <t>Valeur au marché
($ local)</t>
  </si>
  <si>
    <t>Valeur au marché (CAD)</t>
  </si>
  <si>
    <t>Tous les comptes sont convertis en CAD</t>
  </si>
  <si>
    <t>Marge (CA)</t>
  </si>
  <si>
    <t>Janvier 2019</t>
  </si>
  <si>
    <t>Février 2019</t>
  </si>
  <si>
    <t>Mars 2019</t>
  </si>
  <si>
    <t>Avril 2019</t>
  </si>
  <si>
    <t>Mai 2019</t>
  </si>
  <si>
    <t>Juin 2019</t>
  </si>
  <si>
    <t>Juillet 2019</t>
  </si>
  <si>
    <t>Août 2019</t>
  </si>
  <si>
    <t>Septembre 2019</t>
  </si>
  <si>
    <t>Octobre 2019</t>
  </si>
  <si>
    <t>Novembre 2019</t>
  </si>
  <si>
    <t>Décembre 2019</t>
  </si>
  <si>
    <t>Admissibilité au rachat</t>
  </si>
  <si>
    <t>Prix d'achat</t>
  </si>
  <si>
    <t>Année d'émission</t>
  </si>
  <si>
    <t>Février 2023</t>
  </si>
  <si>
    <t>Industriel</t>
  </si>
  <si>
    <t>Services de communication</t>
  </si>
  <si>
    <t>Materiaux de base</t>
  </si>
  <si>
    <t>Pépite déjà acheté</t>
  </si>
  <si>
    <t>Mars 2023</t>
  </si>
  <si>
    <t>Cotisations</t>
  </si>
  <si>
    <t>Liste de surveillance</t>
  </si>
  <si>
    <t>Liste de suivi des titres et des dividendes mensuels</t>
  </si>
  <si>
    <t>Gérance exemplaire et bastille forte</t>
  </si>
  <si>
    <t>Gérance exemplaire et bastille faible</t>
  </si>
  <si>
    <t>Gérance normale et bastille forte</t>
  </si>
  <si>
    <t>Normale</t>
  </si>
  <si>
    <t>Dernière mise à jour : 2023-03-25</t>
  </si>
  <si>
    <t>Avril 2023</t>
  </si>
  <si>
    <t>Mai 2023</t>
  </si>
  <si>
    <t>.Juin 2023</t>
  </si>
  <si>
    <t>Juillet 2023</t>
  </si>
  <si>
    <t>Août 2023</t>
  </si>
  <si>
    <t>Septembre 2023</t>
  </si>
  <si>
    <t>$ de dividendes par $ investi</t>
  </si>
  <si>
    <t>Contribution annuelle</t>
  </si>
  <si>
    <t>Années avant la retraite</t>
  </si>
  <si>
    <t>Taux d'intérêt</t>
  </si>
  <si>
    <t>Valeur future</t>
  </si>
  <si>
    <t>Projection simplifiée de la valeur future</t>
  </si>
  <si>
    <t>Octobre 2023</t>
  </si>
  <si>
    <t>Novembre 2023</t>
  </si>
  <si>
    <t>Décembre 2023</t>
  </si>
  <si>
    <t>Vente</t>
  </si>
  <si>
    <t>Cible annuelle</t>
  </si>
  <si>
    <t>% d'atteinte</t>
  </si>
  <si>
    <t>Prix de vente
(CAD)</t>
  </si>
  <si>
    <t>Vente total
(CAD)</t>
  </si>
  <si>
    <t>Profit réel
(CAD)</t>
  </si>
  <si>
    <t>Janvier 2024</t>
  </si>
  <si>
    <t>Février 2024</t>
  </si>
  <si>
    <t>Mars 2024</t>
  </si>
  <si>
    <t>Avril 2024</t>
  </si>
  <si>
    <t>Mai 2024</t>
  </si>
  <si>
    <t>Juin 2024</t>
  </si>
  <si>
    <t>Juillet 2024</t>
  </si>
  <si>
    <t>Prix actuel :</t>
  </si>
  <si>
    <t>S&amp;P :</t>
  </si>
  <si>
    <t>Août 2024</t>
  </si>
  <si>
    <t>Septembre 2024</t>
  </si>
  <si>
    <t>Octobre 2024</t>
  </si>
  <si>
    <t>Novembre 2024</t>
  </si>
  <si>
    <t>Décembre 2024</t>
  </si>
  <si>
    <t>Janvier 2025</t>
  </si>
  <si>
    <t>Février 2025</t>
  </si>
  <si>
    <t>Mars 2025</t>
  </si>
  <si>
    <t>Avril 2025</t>
  </si>
  <si>
    <t>Mai 2025</t>
  </si>
  <si>
    <t>Juin 2025</t>
  </si>
  <si>
    <t>Juillet 2025</t>
  </si>
  <si>
    <t>Août 2025</t>
  </si>
  <si>
    <t>Septembre 2025</t>
  </si>
  <si>
    <t>5-6</t>
  </si>
  <si>
    <t>Prochain achat US :
PPL
JD
TCEHY
Remplir mon REER (PRIORITÉ)</t>
  </si>
  <si>
    <t>Octobre 2025</t>
  </si>
  <si>
    <t>Novembre 2025</t>
  </si>
  <si>
    <t>Salaire futur (+2,5% par année)</t>
  </si>
  <si>
    <t>Décembre 2025</t>
  </si>
  <si>
    <t>Janvier 2026</t>
  </si>
  <si>
    <t>Dividendes 2026</t>
  </si>
  <si>
    <t>Canadian Western Bank (merge avec Banque Nationale)</t>
  </si>
  <si>
    <t>Février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</si>
</sst>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8" formatCode="#,##0.00\ &quot;$&quot;_);[Red]\(#,##0.00\ &quot;$&quot;\)"/>
    <numFmt numFmtId="44" formatCode="_ * #,##0.00_)\ &quot;$&quot;_ ;_ * \(#,##0.00\)\ &quot;$&quot;_ ;_ * &quot;-&quot;??_)\ &quot;$&quot;_ ;_ @_ "/>
    <numFmt numFmtId="165" formatCode="_ * #,##0.000_)\ &quot;$&quot;_ ;_ * \(#,##0.000\)\ &quot;$&quot;_ ;_ * &quot;-&quot;??_)\ &quot;$&quot;_ ;_ @_ "/>
    <numFmt numFmtId="166" formatCode="0.0%"/>
    <numFmt numFmtId="167" formatCode="_ * #,##0_)\ &quot;$&quot;_ ;_ * \(#,##0\)\ &quot;$&quot;_ ;_ * &quot;-&quot;??_)\ &quot;$&quot;_ ;_ @_ "/>
    <numFmt numFmtId="168" formatCode="0.000"/>
    <numFmt numFmtId="169" formatCode="0.0000"/>
    <numFmt numFmtId="170" formatCode="#,##0.00\ &quot;$&quot;"/>
    <numFmt numFmtId="173" formatCode="#,##0.000\ &quot;$&quot;"/>
    <numFmt numFmtId="174" formatCode="#,##0.0,,\ &quot;$&quot;"/>
    <numFmt numFmtId="175" formatCode="_ * #,##0.0000_)\ [$$-C0C]_ ;_ * \(#,##0.0000\)\ [$$-C0C]_ ;_ * &quot;-&quot;??_)\ [$$-C0C]_ ;_ @_ "/>
    <numFmt numFmtId="176" formatCode="_ * #,##0.0000_)\ &quot;$&quot;_ ;_ * \(#,##0.0000\)\ &quot;$&quot;_ ;_ * &quot;-&quot;??_)\ &quot;$&quot;_ ;_ @_ "/>
    <numFmt numFmtId="177" formatCode="[$-F800]dddd\,\ mmmm\ dd\,\ yyyy"/>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8"/>
      <color theme="3"/>
      <name val="Cambria"/>
      <family val="2"/>
      <scheme val="major"/>
    </font>
    <font>
      <b/>
      <sz val="11"/>
      <color theme="0"/>
      <name val="Calibri"/>
      <family val="2"/>
      <scheme val="minor"/>
    </font>
    <font>
      <sz val="8"/>
      <name val="Calibri"/>
      <family val="2"/>
      <scheme val="minor"/>
    </font>
    <font>
      <i/>
      <sz val="11"/>
      <color rgb="FF7F7F7F"/>
      <name val="Calibri"/>
      <family val="2"/>
      <scheme val="minor"/>
    </font>
    <font>
      <sz val="11"/>
      <name val="Calibri"/>
      <family val="2"/>
      <scheme val="minor"/>
    </font>
    <font>
      <i/>
      <sz val="9"/>
      <color rgb="FF7F7F7F"/>
      <name val="Calibri"/>
      <family val="2"/>
      <scheme val="minor"/>
    </font>
    <font>
      <sz val="11"/>
      <color rgb="FF3F3F76"/>
      <name val="Calibri"/>
      <family val="2"/>
      <scheme val="minor"/>
    </font>
    <font>
      <sz val="36"/>
      <color theme="1"/>
      <name val="Calibri"/>
      <family val="2"/>
      <scheme val="minor"/>
    </font>
    <font>
      <b/>
      <sz val="18"/>
      <color theme="0"/>
      <name val="Cambria"/>
      <family val="2"/>
      <scheme val="major"/>
    </font>
    <font>
      <sz val="11"/>
      <color theme="0"/>
      <name val="Calibri"/>
      <family val="2"/>
      <scheme val="minor"/>
    </font>
    <font>
      <b/>
      <sz val="10"/>
      <color theme="0"/>
      <name val="Calibri"/>
      <family val="2"/>
      <scheme val="minor"/>
    </font>
    <font>
      <b/>
      <sz val="11"/>
      <color theme="3"/>
      <name val="Calibri"/>
      <family val="2"/>
      <scheme val="minor"/>
    </font>
    <font>
      <sz val="11"/>
      <color rgb="FF00B0F0"/>
      <name val="Calibri"/>
      <family val="2"/>
      <scheme val="minor"/>
    </font>
  </fonts>
  <fills count="12">
    <fill>
      <patternFill patternType="none"/>
    </fill>
    <fill>
      <patternFill patternType="gray125"/>
    </fill>
    <fill>
      <patternFill patternType="solid">
        <fgColor theme="6" tint="-0.249977111117893"/>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rgb="FFFFCC99"/>
      </patternFill>
    </fill>
    <fill>
      <patternFill patternType="solid">
        <fgColor theme="6"/>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9" tint="-0.249977111117893"/>
        <bgColor indexed="64"/>
      </patternFill>
    </fill>
  </fills>
  <borders count="48">
    <border>
      <left/>
      <right/>
      <top/>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right style="hair">
        <color auto="1"/>
      </right>
      <top/>
      <bottom style="hair">
        <color auto="1"/>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right/>
      <top style="hair">
        <color auto="1"/>
      </top>
      <bottom style="hair">
        <color auto="1"/>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hair">
        <color auto="1"/>
      </bottom>
      <diagonal/>
    </border>
    <border>
      <left style="hair">
        <color indexed="64"/>
      </left>
      <right style="thin">
        <color indexed="64"/>
      </right>
      <top/>
      <bottom/>
      <diagonal/>
    </border>
    <border>
      <left style="hair">
        <color indexed="64"/>
      </left>
      <right style="thin">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hair">
        <color auto="1"/>
      </top>
      <bottom style="hair">
        <color auto="1"/>
      </bottom>
      <diagonal/>
    </border>
    <border>
      <left style="thin">
        <color indexed="64"/>
      </left>
      <right/>
      <top style="hair">
        <color auto="1"/>
      </top>
      <bottom style="thin">
        <color indexed="64"/>
      </bottom>
      <diagonal/>
    </border>
    <border>
      <left/>
      <right style="hair">
        <color indexed="64"/>
      </right>
      <top/>
      <bottom/>
      <diagonal/>
    </border>
    <border>
      <left/>
      <right style="hair">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xf numFmtId="0" fontId="6" fillId="0" borderId="0" applyNumberFormat="0" applyFill="0" applyBorder="0" applyAlignment="0" applyProtection="0"/>
    <xf numFmtId="0" fontId="9" fillId="7" borderId="10" applyNumberFormat="0" applyAlignment="0" applyProtection="0"/>
    <xf numFmtId="0" fontId="14" fillId="0" borderId="0" applyNumberFormat="0" applyFill="0" applyBorder="0" applyAlignment="0" applyProtection="0"/>
  </cellStyleXfs>
  <cellXfs count="189">
    <xf numFmtId="0" fontId="0" fillId="0" borderId="0" xfId="0"/>
    <xf numFmtId="44" fontId="0" fillId="0" borderId="0" xfId="1" applyFont="1"/>
    <xf numFmtId="44" fontId="0" fillId="0" borderId="0" xfId="0" applyNumberFormat="1"/>
    <xf numFmtId="14" fontId="0" fillId="0" borderId="0" xfId="0" applyNumberFormat="1"/>
    <xf numFmtId="0" fontId="2" fillId="0" borderId="0" xfId="0" applyFont="1" applyAlignment="1">
      <alignment horizontal="center"/>
    </xf>
    <xf numFmtId="0" fontId="0" fillId="0" borderId="0" xfId="0" applyAlignment="1">
      <alignment horizontal="right"/>
    </xf>
    <xf numFmtId="9" fontId="0" fillId="0" borderId="0" xfId="0" applyNumberFormat="1"/>
    <xf numFmtId="0" fontId="0" fillId="0" borderId="0" xfId="0" applyAlignment="1">
      <alignment wrapText="1"/>
    </xf>
    <xf numFmtId="0" fontId="0" fillId="0" borderId="0" xfId="0" applyAlignment="1">
      <alignment horizontal="center" vertical="center" wrapText="1"/>
    </xf>
    <xf numFmtId="0" fontId="0" fillId="0" borderId="0" xfId="0" applyAlignment="1">
      <alignment vertical="center" wrapText="1"/>
    </xf>
    <xf numFmtId="0" fontId="2" fillId="0" borderId="1" xfId="3"/>
    <xf numFmtId="10" fontId="0" fillId="0" borderId="0" xfId="2" applyNumberFormat="1" applyFont="1"/>
    <xf numFmtId="0" fontId="0" fillId="0" borderId="0" xfId="0" applyAlignment="1">
      <alignment horizontal="center"/>
    </xf>
    <xf numFmtId="166" fontId="0" fillId="0" borderId="0" xfId="0" applyNumberFormat="1" applyAlignment="1">
      <alignment horizontal="center"/>
    </xf>
    <xf numFmtId="0" fontId="0" fillId="4" borderId="0" xfId="0" applyFill="1"/>
    <xf numFmtId="44" fontId="0" fillId="4" borderId="0" xfId="0" applyNumberFormat="1" applyFill="1"/>
    <xf numFmtId="10" fontId="0" fillId="0" borderId="0" xfId="0" applyNumberFormat="1"/>
    <xf numFmtId="0" fontId="0" fillId="0" borderId="5" xfId="0" applyBorder="1"/>
    <xf numFmtId="0" fontId="0" fillId="0" borderId="7" xfId="0" applyBorder="1"/>
    <xf numFmtId="0" fontId="0" fillId="0" borderId="0" xfId="0" applyAlignment="1">
      <alignment vertical="center"/>
    </xf>
    <xf numFmtId="0" fontId="0" fillId="0" borderId="0" xfId="0" applyAlignment="1">
      <alignment horizontal="center" vertical="center"/>
    </xf>
    <xf numFmtId="14" fontId="0" fillId="0" borderId="0" xfId="0" applyNumberFormat="1" applyAlignment="1">
      <alignment horizontal="center"/>
    </xf>
    <xf numFmtId="166" fontId="0" fillId="0" borderId="0" xfId="2" applyNumberFormat="1" applyFont="1" applyAlignment="1">
      <alignment horizontal="center"/>
    </xf>
    <xf numFmtId="0" fontId="0" fillId="0" borderId="0" xfId="0" applyAlignment="1">
      <alignment horizontal="left" vertical="center" wrapText="1"/>
    </xf>
    <xf numFmtId="167" fontId="0" fillId="0" borderId="0" xfId="1" applyNumberFormat="1" applyFont="1"/>
    <xf numFmtId="10" fontId="0" fillId="0" borderId="0" xfId="2" applyNumberFormat="1" applyFont="1" applyAlignment="1">
      <alignment horizontal="center"/>
    </xf>
    <xf numFmtId="0" fontId="0" fillId="0" borderId="0" xfId="0" applyAlignment="1">
      <alignment horizontal="left"/>
    </xf>
    <xf numFmtId="0" fontId="0" fillId="4" borderId="0" xfId="0" applyFill="1" applyAlignment="1">
      <alignment horizontal="center"/>
    </xf>
    <xf numFmtId="1" fontId="0" fillId="0" borderId="0" xfId="0" applyNumberFormat="1" applyAlignment="1">
      <alignment horizontal="center"/>
    </xf>
    <xf numFmtId="44" fontId="0" fillId="0" borderId="0" xfId="1" applyFont="1" applyAlignment="1">
      <alignment horizontal="center"/>
    </xf>
    <xf numFmtId="168" fontId="0" fillId="0" borderId="0" xfId="0" applyNumberFormat="1" applyAlignment="1">
      <alignment horizontal="center"/>
    </xf>
    <xf numFmtId="0" fontId="3" fillId="0" borderId="0" xfId="4"/>
    <xf numFmtId="44" fontId="0" fillId="0" borderId="0" xfId="1" applyFont="1" applyAlignment="1">
      <alignment vertical="center"/>
    </xf>
    <xf numFmtId="2" fontId="0" fillId="0" borderId="0" xfId="0" applyNumberFormat="1" applyAlignment="1">
      <alignment horizontal="center" vertical="center"/>
    </xf>
    <xf numFmtId="10" fontId="0" fillId="0" borderId="0" xfId="2" applyNumberFormat="1" applyFont="1" applyAlignment="1">
      <alignment horizontal="right"/>
    </xf>
    <xf numFmtId="10" fontId="0" fillId="0" borderId="0" xfId="2" applyNumberFormat="1" applyFont="1" applyAlignment="1">
      <alignment horizontal="center" vertical="center"/>
    </xf>
    <xf numFmtId="10" fontId="0" fillId="6" borderId="8" xfId="2" applyNumberFormat="1" applyFont="1" applyFill="1" applyBorder="1" applyAlignment="1">
      <alignment horizontal="center"/>
    </xf>
    <xf numFmtId="170" fontId="0" fillId="6" borderId="6" xfId="0" applyNumberFormat="1" applyFill="1" applyBorder="1" applyAlignment="1">
      <alignment horizontal="center"/>
    </xf>
    <xf numFmtId="170" fontId="0" fillId="0" borderId="0" xfId="0" applyNumberFormat="1"/>
    <xf numFmtId="167" fontId="0" fillId="0" borderId="0" xfId="0" applyNumberFormat="1"/>
    <xf numFmtId="9" fontId="0" fillId="0" borderId="0" xfId="2" applyFont="1" applyAlignment="1">
      <alignment horizontal="center"/>
    </xf>
    <xf numFmtId="170" fontId="0" fillId="0" borderId="0" xfId="0" applyNumberFormat="1" applyAlignment="1">
      <alignment horizontal="center"/>
    </xf>
    <xf numFmtId="2" fontId="0" fillId="0" borderId="0" xfId="0" applyNumberFormat="1" applyAlignment="1">
      <alignment horizontal="center"/>
    </xf>
    <xf numFmtId="10" fontId="0" fillId="0" borderId="11" xfId="2" applyNumberFormat="1" applyFont="1" applyBorder="1" applyAlignment="1">
      <alignment horizontal="center"/>
    </xf>
    <xf numFmtId="44" fontId="0" fillId="0" borderId="11" xfId="1" applyFont="1" applyBorder="1" applyAlignment="1">
      <alignment horizontal="center"/>
    </xf>
    <xf numFmtId="44" fontId="0" fillId="0" borderId="0" xfId="0" applyNumberFormat="1" applyAlignment="1">
      <alignment horizontal="center"/>
    </xf>
    <xf numFmtId="10" fontId="0" fillId="0" borderId="0" xfId="0" applyNumberFormat="1" applyAlignment="1">
      <alignment horizontal="center"/>
    </xf>
    <xf numFmtId="165" fontId="0" fillId="0" borderId="0" xfId="0" applyNumberFormat="1" applyAlignment="1">
      <alignment horizontal="center"/>
    </xf>
    <xf numFmtId="0" fontId="0" fillId="2" borderId="0" xfId="0" applyFill="1"/>
    <xf numFmtId="170" fontId="0" fillId="0" borderId="0" xfId="1" applyNumberFormat="1" applyFont="1" applyAlignment="1">
      <alignment horizontal="center"/>
    </xf>
    <xf numFmtId="173" fontId="0" fillId="0" borderId="0" xfId="0" applyNumberFormat="1" applyAlignment="1">
      <alignment horizontal="center"/>
    </xf>
    <xf numFmtId="170" fontId="0" fillId="0" borderId="0" xfId="0" applyNumberFormat="1" applyAlignment="1">
      <alignment horizontal="center" vertical="center"/>
    </xf>
    <xf numFmtId="170" fontId="0" fillId="5" borderId="0" xfId="0" applyNumberFormat="1" applyFill="1" applyAlignment="1">
      <alignment horizontal="center" vertical="center" wrapText="1"/>
    </xf>
    <xf numFmtId="0" fontId="4" fillId="8" borderId="18" xfId="0" applyFont="1" applyFill="1" applyBorder="1" applyAlignment="1">
      <alignment horizontal="center"/>
    </xf>
    <xf numFmtId="0" fontId="0" fillId="6" borderId="5" xfId="0" applyFill="1" applyBorder="1"/>
    <xf numFmtId="170" fontId="0" fillId="6" borderId="6" xfId="0" applyNumberFormat="1" applyFill="1" applyBorder="1"/>
    <xf numFmtId="166" fontId="0" fillId="6" borderId="6" xfId="2" applyNumberFormat="1" applyFont="1" applyFill="1" applyBorder="1"/>
    <xf numFmtId="0" fontId="0" fillId="6" borderId="7" xfId="0" applyFill="1" applyBorder="1"/>
    <xf numFmtId="10" fontId="0" fillId="6" borderId="8" xfId="2" applyNumberFormat="1" applyFont="1" applyFill="1" applyBorder="1"/>
    <xf numFmtId="0" fontId="0" fillId="3" borderId="11" xfId="0" applyFill="1" applyBorder="1" applyAlignment="1">
      <alignment horizontal="center" vertical="center" wrapText="1"/>
    </xf>
    <xf numFmtId="0" fontId="0" fillId="3" borderId="0" xfId="0" applyFill="1" applyAlignment="1">
      <alignment horizontal="center" vertical="center" wrapText="1"/>
    </xf>
    <xf numFmtId="0" fontId="4" fillId="10" borderId="18" xfId="0" applyFont="1" applyFill="1" applyBorder="1" applyAlignment="1">
      <alignment horizontal="center"/>
    </xf>
    <xf numFmtId="9" fontId="0" fillId="0" borderId="0" xfId="0" applyNumberFormat="1" applyAlignment="1">
      <alignment horizontal="center"/>
    </xf>
    <xf numFmtId="0" fontId="12" fillId="10" borderId="0" xfId="0" applyFont="1" applyFill="1" applyAlignment="1">
      <alignment horizontal="center" vertical="center" wrapText="1"/>
    </xf>
    <xf numFmtId="0" fontId="0" fillId="6" borderId="0" xfId="0" applyFill="1"/>
    <xf numFmtId="0" fontId="0" fillId="6" borderId="2" xfId="0" applyFill="1" applyBorder="1"/>
    <xf numFmtId="0" fontId="13" fillId="10" borderId="18" xfId="0" applyFont="1" applyFill="1" applyBorder="1" applyAlignment="1">
      <alignment horizontal="center"/>
    </xf>
    <xf numFmtId="170" fontId="6" fillId="0" borderId="0" xfId="5" applyNumberFormat="1"/>
    <xf numFmtId="0" fontId="6" fillId="0" borderId="0" xfId="5" applyAlignment="1">
      <alignment horizontal="left"/>
    </xf>
    <xf numFmtId="0" fontId="0" fillId="9" borderId="36" xfId="0" applyFill="1" applyBorder="1" applyAlignment="1">
      <alignment horizontal="center"/>
    </xf>
    <xf numFmtId="0" fontId="9" fillId="9" borderId="40" xfId="6" applyFill="1" applyBorder="1" applyAlignment="1"/>
    <xf numFmtId="0" fontId="0" fillId="9" borderId="42" xfId="0" applyFill="1" applyBorder="1"/>
    <xf numFmtId="0" fontId="12" fillId="10" borderId="43" xfId="0" applyFont="1" applyFill="1" applyBorder="1"/>
    <xf numFmtId="166" fontId="6" fillId="0" borderId="0" xfId="2" applyNumberFormat="1" applyFont="1" applyAlignment="1">
      <alignment horizontal="center"/>
    </xf>
    <xf numFmtId="4" fontId="0" fillId="0" borderId="0" xfId="0" applyNumberFormat="1" applyAlignment="1">
      <alignment horizontal="center"/>
    </xf>
    <xf numFmtId="174" fontId="0" fillId="0" borderId="0" xfId="0" applyNumberFormat="1"/>
    <xf numFmtId="170" fontId="0" fillId="0" borderId="0" xfId="2" applyNumberFormat="1" applyFont="1" applyAlignment="1">
      <alignment horizontal="center"/>
    </xf>
    <xf numFmtId="169" fontId="0" fillId="0" borderId="0" xfId="0" applyNumberFormat="1" applyAlignment="1">
      <alignment horizontal="center"/>
    </xf>
    <xf numFmtId="175" fontId="0" fillId="0" borderId="0" xfId="0" applyNumberFormat="1"/>
    <xf numFmtId="176" fontId="0" fillId="0" borderId="0" xfId="1" applyNumberFormat="1" applyFont="1" applyAlignment="1">
      <alignment horizontal="center"/>
    </xf>
    <xf numFmtId="0" fontId="0" fillId="9" borderId="0" xfId="0" applyFill="1" applyAlignment="1">
      <alignment horizontal="center" vertical="center" wrapText="1"/>
    </xf>
    <xf numFmtId="0" fontId="0" fillId="10" borderId="0" xfId="0" applyFill="1" applyAlignment="1">
      <alignment horizontal="center" vertical="center" wrapText="1"/>
    </xf>
    <xf numFmtId="0" fontId="0" fillId="11" borderId="0" xfId="0" applyFill="1" applyAlignment="1">
      <alignment horizontal="center" vertical="center" wrapText="1"/>
    </xf>
    <xf numFmtId="0" fontId="0" fillId="0" borderId="0" xfId="0" applyAlignment="1">
      <alignment horizontal="center" vertical="center" textRotation="90" wrapText="1"/>
    </xf>
    <xf numFmtId="170" fontId="2" fillId="0" borderId="1" xfId="3" applyNumberFormat="1"/>
    <xf numFmtId="0" fontId="2" fillId="0" borderId="1" xfId="3" applyAlignment="1">
      <alignment horizontal="center"/>
    </xf>
    <xf numFmtId="0" fontId="0" fillId="10" borderId="0" xfId="0" applyFill="1"/>
    <xf numFmtId="0" fontId="0" fillId="10" borderId="0" xfId="0" applyFill="1" applyAlignment="1">
      <alignment horizontal="center"/>
    </xf>
    <xf numFmtId="170" fontId="0" fillId="10" borderId="0" xfId="0" applyNumberFormat="1" applyFill="1" applyAlignment="1">
      <alignment horizontal="center" vertical="center"/>
    </xf>
    <xf numFmtId="9" fontId="0" fillId="0" borderId="2" xfId="2" applyFont="1" applyBorder="1" applyAlignment="1">
      <alignment horizontal="center"/>
    </xf>
    <xf numFmtId="170" fontId="0" fillId="5" borderId="0" xfId="0" quotePrefix="1" applyNumberFormat="1" applyFill="1" applyAlignment="1">
      <alignment horizontal="center" vertical="center" wrapText="1"/>
    </xf>
    <xf numFmtId="0" fontId="0" fillId="6" borderId="3" xfId="0" applyFill="1" applyBorder="1"/>
    <xf numFmtId="170" fontId="0" fillId="6" borderId="4" xfId="1" applyNumberFormat="1" applyFont="1" applyFill="1" applyBorder="1"/>
    <xf numFmtId="10" fontId="0" fillId="6" borderId="6" xfId="2" applyNumberFormat="1" applyFont="1" applyFill="1" applyBorder="1"/>
    <xf numFmtId="170" fontId="0" fillId="6" borderId="8" xfId="1" applyNumberFormat="1" applyFont="1" applyFill="1" applyBorder="1"/>
    <xf numFmtId="170" fontId="0" fillId="6" borderId="8" xfId="2" applyNumberFormat="1" applyFont="1" applyFill="1" applyBorder="1"/>
    <xf numFmtId="0" fontId="6" fillId="0" borderId="0" xfId="5"/>
    <xf numFmtId="170" fontId="0" fillId="0" borderId="20" xfId="0" applyNumberFormat="1" applyBorder="1" applyAlignment="1">
      <alignment horizontal="center"/>
    </xf>
    <xf numFmtId="49" fontId="0" fillId="5" borderId="0" xfId="0" quotePrefix="1" applyNumberFormat="1" applyFill="1" applyAlignment="1">
      <alignment horizontal="center" vertical="center" wrapText="1"/>
    </xf>
    <xf numFmtId="17" fontId="0" fillId="5" borderId="0" xfId="0" quotePrefix="1" applyNumberFormat="1" applyFill="1" applyAlignment="1">
      <alignment horizontal="center" vertical="center" wrapText="1"/>
    </xf>
    <xf numFmtId="177" fontId="0" fillId="0" borderId="0" xfId="0" applyNumberFormat="1" applyAlignment="1">
      <alignment horizontal="center"/>
    </xf>
    <xf numFmtId="170" fontId="0" fillId="0" borderId="11" xfId="1" applyNumberFormat="1" applyFont="1" applyBorder="1" applyAlignment="1">
      <alignment horizontal="center"/>
    </xf>
    <xf numFmtId="0" fontId="3" fillId="0" borderId="0" xfId="4" applyAlignment="1"/>
    <xf numFmtId="170" fontId="8" fillId="0" borderId="0" xfId="5" applyNumberFormat="1" applyFont="1" applyAlignment="1">
      <alignment horizontal="center" vertical="center"/>
    </xf>
    <xf numFmtId="1" fontId="0" fillId="0" borderId="11" xfId="1" applyNumberFormat="1" applyFont="1" applyBorder="1" applyAlignment="1">
      <alignment horizontal="center"/>
    </xf>
    <xf numFmtId="8" fontId="0" fillId="0" borderId="11" xfId="1" applyNumberFormat="1" applyFont="1" applyBorder="1" applyAlignment="1">
      <alignment horizontal="center"/>
    </xf>
    <xf numFmtId="0" fontId="0" fillId="5" borderId="0" xfId="0" quotePrefix="1" applyFill="1" applyAlignment="1">
      <alignment horizontal="center" vertical="center" wrapText="1"/>
    </xf>
    <xf numFmtId="169" fontId="0" fillId="0" borderId="0" xfId="0" applyNumberFormat="1"/>
    <xf numFmtId="0" fontId="14" fillId="0" borderId="0" xfId="7" applyAlignment="1">
      <alignment horizontal="right"/>
    </xf>
    <xf numFmtId="44" fontId="14" fillId="0" borderId="0" xfId="1" applyFont="1" applyAlignment="1"/>
    <xf numFmtId="0" fontId="15" fillId="0" borderId="0" xfId="0" applyFont="1" applyAlignment="1">
      <alignment horizontal="left"/>
    </xf>
    <xf numFmtId="16" fontId="15" fillId="0" borderId="0" xfId="0" quotePrefix="1" applyNumberFormat="1" applyFont="1" applyAlignment="1">
      <alignment horizontal="left"/>
    </xf>
    <xf numFmtId="0" fontId="0" fillId="0" borderId="0" xfId="0" quotePrefix="1" applyAlignment="1">
      <alignment horizontal="center" vertical="center" wrapText="1"/>
    </xf>
    <xf numFmtId="170" fontId="12" fillId="10" borderId="30" xfId="0" applyNumberFormat="1" applyFont="1" applyFill="1" applyBorder="1" applyAlignment="1">
      <alignment horizontal="center"/>
    </xf>
    <xf numFmtId="170" fontId="12" fillId="10" borderId="27" xfId="0" applyNumberFormat="1" applyFont="1" applyFill="1" applyBorder="1" applyAlignment="1">
      <alignment horizontal="center"/>
    </xf>
    <xf numFmtId="170" fontId="0" fillId="0" borderId="23" xfId="0" applyNumberFormat="1" applyBorder="1" applyAlignment="1">
      <alignment horizontal="center"/>
    </xf>
    <xf numFmtId="170" fontId="0" fillId="0" borderId="22" xfId="0" applyNumberFormat="1" applyBorder="1" applyAlignment="1">
      <alignment horizontal="center"/>
    </xf>
    <xf numFmtId="170" fontId="0" fillId="0" borderId="32" xfId="0" applyNumberFormat="1" applyBorder="1" applyAlignment="1">
      <alignment horizontal="center"/>
    </xf>
    <xf numFmtId="170" fontId="0" fillId="0" borderId="36" xfId="0" applyNumberFormat="1" applyBorder="1" applyAlignment="1">
      <alignment horizontal="center" vertical="center"/>
    </xf>
    <xf numFmtId="170" fontId="0" fillId="0" borderId="37" xfId="0" applyNumberFormat="1" applyBorder="1" applyAlignment="1">
      <alignment horizontal="center" vertical="center"/>
    </xf>
    <xf numFmtId="0" fontId="0" fillId="9" borderId="5" xfId="0" applyFill="1" applyBorder="1" applyAlignment="1">
      <alignment horizontal="center"/>
    </xf>
    <xf numFmtId="0" fontId="0" fillId="9" borderId="0" xfId="0" applyFill="1" applyAlignment="1">
      <alignment horizontal="center"/>
    </xf>
    <xf numFmtId="0" fontId="0" fillId="9" borderId="39" xfId="0" applyFill="1" applyBorder="1" applyAlignment="1">
      <alignment horizontal="center"/>
    </xf>
    <xf numFmtId="170" fontId="0" fillId="0" borderId="39" xfId="0" applyNumberFormat="1" applyBorder="1" applyAlignment="1">
      <alignment horizontal="center" vertical="center"/>
    </xf>
    <xf numFmtId="170" fontId="0" fillId="0" borderId="44" xfId="0" applyNumberFormat="1" applyBorder="1" applyAlignment="1">
      <alignment horizontal="center" vertical="center"/>
    </xf>
    <xf numFmtId="170" fontId="0" fillId="0" borderId="38" xfId="0" applyNumberFormat="1" applyBorder="1" applyAlignment="1">
      <alignment horizontal="center" vertical="center"/>
    </xf>
    <xf numFmtId="170" fontId="0" fillId="0" borderId="45" xfId="0" applyNumberFormat="1" applyBorder="1" applyAlignment="1">
      <alignment horizontal="center" vertical="center"/>
    </xf>
    <xf numFmtId="170" fontId="12" fillId="10" borderId="34" xfId="0" applyNumberFormat="1" applyFont="1" applyFill="1" applyBorder="1" applyAlignment="1">
      <alignment horizontal="center"/>
    </xf>
    <xf numFmtId="170" fontId="0" fillId="0" borderId="31" xfId="0" applyNumberFormat="1" applyBorder="1" applyAlignment="1">
      <alignment horizontal="center"/>
    </xf>
    <xf numFmtId="0" fontId="2" fillId="9" borderId="21" xfId="0" applyFont="1" applyFill="1" applyBorder="1" applyAlignment="1">
      <alignment horizontal="center"/>
    </xf>
    <xf numFmtId="0" fontId="2" fillId="9" borderId="28" xfId="0" applyFont="1" applyFill="1" applyBorder="1" applyAlignment="1">
      <alignment horizontal="center"/>
    </xf>
    <xf numFmtId="10" fontId="0" fillId="0" borderId="30" xfId="0" applyNumberFormat="1" applyBorder="1" applyAlignment="1">
      <alignment horizontal="center"/>
    </xf>
    <xf numFmtId="10" fontId="0" fillId="0" borderId="33" xfId="0" applyNumberFormat="1" applyBorder="1" applyAlignment="1">
      <alignment horizontal="center"/>
    </xf>
    <xf numFmtId="10" fontId="0" fillId="0" borderId="34" xfId="0" applyNumberFormat="1" applyBorder="1" applyAlignment="1">
      <alignment horizontal="center"/>
    </xf>
    <xf numFmtId="170" fontId="0" fillId="0" borderId="19" xfId="0" applyNumberFormat="1" applyBorder="1" applyAlignment="1">
      <alignment horizontal="center" vertical="center"/>
    </xf>
    <xf numFmtId="170" fontId="0" fillId="0" borderId="20" xfId="0" applyNumberFormat="1" applyBorder="1" applyAlignment="1">
      <alignment horizontal="center" vertical="center"/>
    </xf>
    <xf numFmtId="0" fontId="4" fillId="10" borderId="3" xfId="0" applyFont="1" applyFill="1" applyBorder="1" applyAlignment="1">
      <alignment horizontal="center"/>
    </xf>
    <xf numFmtId="0" fontId="4" fillId="10" borderId="9" xfId="0" applyFont="1" applyFill="1" applyBorder="1" applyAlignment="1">
      <alignment horizontal="center"/>
    </xf>
    <xf numFmtId="0" fontId="4" fillId="10" borderId="4" xfId="0" applyFont="1" applyFill="1" applyBorder="1" applyAlignment="1">
      <alignment horizontal="center"/>
    </xf>
    <xf numFmtId="0" fontId="0" fillId="0" borderId="5" xfId="0" applyBorder="1" applyAlignment="1">
      <alignment horizontal="center"/>
    </xf>
    <xf numFmtId="0" fontId="0" fillId="0" borderId="0" xfId="0" applyAlignment="1">
      <alignment horizontal="center"/>
    </xf>
    <xf numFmtId="0" fontId="2" fillId="9" borderId="35" xfId="0" applyFont="1" applyFill="1" applyBorder="1" applyAlignment="1">
      <alignment horizontal="center"/>
    </xf>
    <xf numFmtId="0" fontId="0" fillId="0" borderId="6" xfId="0" applyBorder="1" applyAlignment="1">
      <alignment horizontal="right" vertical="center"/>
    </xf>
    <xf numFmtId="0" fontId="0" fillId="0" borderId="9" xfId="0" applyBorder="1" applyAlignment="1">
      <alignment horizontal="center"/>
    </xf>
    <xf numFmtId="0" fontId="0" fillId="0" borderId="4" xfId="0" applyBorder="1" applyAlignment="1">
      <alignment horizontal="center"/>
    </xf>
    <xf numFmtId="170" fontId="0" fillId="0" borderId="0" xfId="0" applyNumberFormat="1" applyAlignment="1">
      <alignment horizontal="center"/>
    </xf>
    <xf numFmtId="170" fontId="0" fillId="0" borderId="6" xfId="0" applyNumberFormat="1" applyBorder="1" applyAlignment="1">
      <alignment horizontal="center"/>
    </xf>
    <xf numFmtId="10" fontId="0" fillId="0" borderId="2" xfId="2" applyNumberFormat="1" applyFont="1" applyBorder="1" applyAlignment="1">
      <alignment horizontal="center"/>
    </xf>
    <xf numFmtId="10" fontId="0" fillId="0" borderId="8" xfId="2" applyNumberFormat="1" applyFont="1" applyBorder="1" applyAlignment="1">
      <alignment horizontal="center"/>
    </xf>
    <xf numFmtId="0" fontId="7" fillId="9" borderId="3" xfId="0" applyFont="1" applyFill="1" applyBorder="1" applyAlignment="1">
      <alignment horizontal="center" vertical="center"/>
    </xf>
    <xf numFmtId="0" fontId="7" fillId="9" borderId="5" xfId="0" applyFont="1" applyFill="1" applyBorder="1" applyAlignment="1">
      <alignment horizontal="center" vertical="center"/>
    </xf>
    <xf numFmtId="0" fontId="7" fillId="9" borderId="7" xfId="0" applyFont="1" applyFill="1" applyBorder="1" applyAlignment="1">
      <alignment horizontal="center" vertical="center"/>
    </xf>
    <xf numFmtId="0" fontId="11" fillId="10" borderId="0" xfId="4" applyFont="1" applyFill="1" applyAlignment="1">
      <alignment horizontal="center"/>
    </xf>
    <xf numFmtId="0" fontId="0" fillId="0" borderId="24" xfId="0" applyBorder="1"/>
    <xf numFmtId="0" fontId="0" fillId="0" borderId="26" xfId="0" applyBorder="1"/>
    <xf numFmtId="0" fontId="0" fillId="0" borderId="25" xfId="0" applyBorder="1"/>
    <xf numFmtId="0" fontId="0" fillId="0" borderId="12" xfId="0" applyBorder="1"/>
    <xf numFmtId="0" fontId="0" fillId="0" borderId="22" xfId="0" applyBorder="1"/>
    <xf numFmtId="0" fontId="0" fillId="0" borderId="13" xfId="0" applyBorder="1"/>
    <xf numFmtId="170" fontId="0" fillId="0" borderId="29" xfId="0" applyNumberFormat="1" applyBorder="1" applyAlignment="1">
      <alignment horizontal="center"/>
    </xf>
    <xf numFmtId="170" fontId="0" fillId="0" borderId="16" xfId="0" applyNumberFormat="1" applyBorder="1" applyAlignment="1">
      <alignment horizontal="center"/>
    </xf>
    <xf numFmtId="170" fontId="0" fillId="0" borderId="17" xfId="0" applyNumberFormat="1" applyBorder="1" applyAlignment="1">
      <alignment horizontal="center"/>
    </xf>
    <xf numFmtId="166" fontId="0" fillId="0" borderId="23" xfId="2" applyNumberFormat="1" applyFont="1" applyBorder="1" applyAlignment="1">
      <alignment horizontal="center"/>
    </xf>
    <xf numFmtId="166" fontId="0" fillId="0" borderId="31" xfId="2" applyNumberFormat="1" applyFont="1" applyBorder="1" applyAlignment="1">
      <alignment horizontal="center"/>
    </xf>
    <xf numFmtId="166" fontId="0" fillId="0" borderId="32" xfId="2" applyNumberFormat="1" applyFont="1" applyBorder="1" applyAlignment="1">
      <alignment horizontal="center"/>
    </xf>
    <xf numFmtId="0" fontId="0" fillId="0" borderId="0" xfId="0" applyAlignment="1">
      <alignment horizontal="right" vertical="center"/>
    </xf>
    <xf numFmtId="10" fontId="0" fillId="0" borderId="0" xfId="2" applyNumberFormat="1" applyFont="1" applyBorder="1" applyAlignment="1">
      <alignment horizontal="center"/>
    </xf>
    <xf numFmtId="10" fontId="0" fillId="0" borderId="6" xfId="2" applyNumberFormat="1" applyFont="1" applyBorder="1" applyAlignment="1">
      <alignment horizontal="center"/>
    </xf>
    <xf numFmtId="0" fontId="4" fillId="10" borderId="2" xfId="0" applyFont="1" applyFill="1" applyBorder="1" applyAlignment="1">
      <alignment horizontal="center"/>
    </xf>
    <xf numFmtId="0" fontId="2" fillId="9" borderId="41" xfId="0" applyFont="1" applyFill="1" applyBorder="1" applyAlignment="1">
      <alignment horizontal="center"/>
    </xf>
    <xf numFmtId="0" fontId="0" fillId="6" borderId="3" xfId="0" applyFill="1" applyBorder="1" applyAlignment="1">
      <alignment horizontal="center"/>
    </xf>
    <xf numFmtId="0" fontId="0" fillId="6" borderId="9" xfId="0" applyFill="1" applyBorder="1" applyAlignment="1">
      <alignment horizontal="center"/>
    </xf>
    <xf numFmtId="0" fontId="0" fillId="6" borderId="4" xfId="0" applyFill="1" applyBorder="1" applyAlignment="1">
      <alignment horizont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0" fillId="4" borderId="19" xfId="0" applyFill="1" applyBorder="1" applyAlignment="1">
      <alignment horizontal="left" vertical="top" wrapText="1"/>
    </xf>
    <xf numFmtId="0" fontId="0" fillId="4" borderId="20" xfId="0" applyFill="1" applyBorder="1" applyAlignment="1">
      <alignment horizontal="left" vertical="top" wrapText="1"/>
    </xf>
    <xf numFmtId="0" fontId="0" fillId="0" borderId="14" xfId="0" applyBorder="1"/>
    <xf numFmtId="0" fontId="0" fillId="0" borderId="27" xfId="0" applyBorder="1"/>
    <xf numFmtId="0" fontId="0" fillId="0" borderId="15" xfId="0" applyBorder="1"/>
    <xf numFmtId="0" fontId="4" fillId="10" borderId="46" xfId="0" applyFont="1" applyFill="1" applyBorder="1" applyAlignment="1">
      <alignment horizontal="center"/>
    </xf>
    <xf numFmtId="0" fontId="4" fillId="10" borderId="47" xfId="0" applyFont="1" applyFill="1" applyBorder="1" applyAlignment="1">
      <alignment horizontal="center"/>
    </xf>
    <xf numFmtId="170" fontId="12" fillId="10" borderId="33" xfId="0" applyNumberFormat="1" applyFont="1" applyFill="1" applyBorder="1" applyAlignment="1">
      <alignment horizontal="center"/>
    </xf>
    <xf numFmtId="0" fontId="4" fillId="10" borderId="5" xfId="0" applyFont="1" applyFill="1" applyBorder="1" applyAlignment="1">
      <alignment horizontal="center"/>
    </xf>
    <xf numFmtId="0" fontId="4" fillId="10" borderId="0" xfId="0" applyFont="1" applyFill="1" applyAlignment="1">
      <alignment horizontal="center"/>
    </xf>
    <xf numFmtId="0" fontId="0" fillId="3" borderId="11" xfId="0" applyFill="1" applyBorder="1" applyAlignment="1">
      <alignment horizontal="center" vertical="center" wrapText="1"/>
    </xf>
    <xf numFmtId="0" fontId="0" fillId="0" borderId="11" xfId="0" applyBorder="1" applyAlignment="1">
      <alignment horizontal="center"/>
    </xf>
    <xf numFmtId="170" fontId="0" fillId="0" borderId="0" xfId="0" applyNumberFormat="1" applyAlignment="1">
      <alignment horizontal="center" vertical="center"/>
    </xf>
    <xf numFmtId="0" fontId="4" fillId="9" borderId="0" xfId="0" applyFont="1" applyFill="1" applyAlignment="1">
      <alignment horizontal="center"/>
    </xf>
  </cellXfs>
  <cellStyles count="8">
    <cellStyle name="Entrée" xfId="6" builtinId="20"/>
    <cellStyle name="Monétaire" xfId="1" builtinId="4"/>
    <cellStyle name="Normal" xfId="0" builtinId="0"/>
    <cellStyle name="Pourcentage" xfId="2" builtinId="5"/>
    <cellStyle name="Texte explicatif" xfId="5" builtinId="53"/>
    <cellStyle name="Titre" xfId="4" builtinId="15"/>
    <cellStyle name="Titre 4" xfId="7" builtinId="19"/>
    <cellStyle name="Total" xfId="3" builtinId="25"/>
  </cellStyles>
  <dxfs count="293">
    <dxf>
      <font>
        <color rgb="FF008A3E"/>
      </font>
    </dxf>
    <dxf>
      <font>
        <color rgb="FFC00000"/>
      </font>
    </dxf>
    <dxf>
      <fill>
        <patternFill>
          <bgColor theme="6" tint="0.39994506668294322"/>
        </patternFill>
      </fill>
    </dxf>
    <dxf>
      <fill>
        <patternFill>
          <bgColor theme="6" tint="0.39994506668294322"/>
        </patternFill>
      </fill>
    </dxf>
    <dxf>
      <alignment horizontal="general" vertical="bottom" textRotation="0" wrapText="1" indent="0" justifyLastLine="0" shrinkToFit="0" readingOrder="0"/>
    </dxf>
    <dxf>
      <numFmt numFmtId="14"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numFmt numFmtId="0" formatCode="General"/>
      <alignment vertical="center" textRotation="0" wrapText="0" indent="0" justifyLastLine="0" shrinkToFit="0" readingOrder="0"/>
    </dxf>
    <dxf>
      <numFmt numFmtId="34" formatCode="_ * #,##0.00_)\ &quot;$&quot;_ ;_ * \(#,##0.00\)\ &quot;$&quot;_ ;_ * &quot;-&quot;??_)\ &quot;$&quot;_ ;_ @_ "/>
    </dxf>
    <dxf>
      <numFmt numFmtId="34" formatCode="_ * #,##0.00_)\ &quot;$&quot;_ ;_ * \(#,##0.00\)\ &quot;$&quot;_ ;_ * &quot;-&quot;??_)\ &quot;$&quot;_ ;_ @_ "/>
    </dxf>
    <dxf>
      <numFmt numFmtId="34" formatCode="_ * #,##0.00_)\ &quot;$&quot;_ ;_ * \(#,##0.00\)\ &quot;$&quot;_ ;_ * &quot;-&quot;??_)\ &quot;$&quot;_ ;_ @_ "/>
    </dxf>
    <dxf>
      <numFmt numFmtId="170" formatCode="#,##0.00\ &quot;$&quot;"/>
      <alignment horizontal="center" vertical="bottom" textRotation="0" wrapText="0" indent="0" justifyLastLine="0" shrinkToFit="0" readingOrder="0"/>
    </dxf>
    <dxf>
      <numFmt numFmtId="176" formatCode="_ * #,##0.0000_)\ &quot;$&quot;_ ;_ * \(#,##0.0000\)\ &quot;$&quot;_ ;_ * &quot;-&quot;??_)\ &quot;$&quot;_ ;_ @_ "/>
      <alignment horizontal="center" vertical="bottom" textRotation="0" wrapText="0" indent="0" justifyLastLine="0" shrinkToFit="0" readingOrder="0"/>
    </dxf>
    <dxf>
      <numFmt numFmtId="170" formatCode="#,##0.00\ &quot;$&quot;"/>
    </dxf>
    <dxf>
      <numFmt numFmtId="170" formatCode="#,##0.00\ &quot;$&quot;"/>
      <alignment horizontal="center" vertical="bottom" textRotation="0" wrapText="0" indent="0" justifyLastLine="0" shrinkToFit="0" readingOrder="0"/>
    </dxf>
    <dxf>
      <alignment horizontal="center" vertical="bottom" textRotation="0" wrapText="0" indent="0" justifyLastLine="0" shrinkToFit="0" readingOrder="0"/>
    </dxf>
    <dxf>
      <numFmt numFmtId="170" formatCode="#,##0.00\ &quot;$&quot;"/>
    </dxf>
    <dxf>
      <font>
        <b val="0"/>
        <i val="0"/>
        <strike val="0"/>
        <condense val="0"/>
        <extend val="0"/>
        <outline val="0"/>
        <shadow val="0"/>
        <u val="none"/>
        <vertAlign val="baseline"/>
        <sz val="11"/>
        <color theme="1"/>
        <name val="Calibri"/>
        <family val="2"/>
        <scheme val="minor"/>
      </font>
      <numFmt numFmtId="170" formatCode="#,##0.00\ &quot;$&quot;"/>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numFmt numFmtId="34" formatCode="_ * #,##0.00_)\ &quot;$&quot;_ ;_ * \(#,##0.00\)\ &quot;$&quot;_ ;_ * &quot;-&quot;??_)\ &quot;$&quot;_ ;_ @_ "/>
    </dxf>
    <dxf>
      <numFmt numFmtId="170" formatCode="#,##0.00\ &quot;$&quot;"/>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numFmt numFmtId="169" formatCode="0.0000"/>
      <alignment horizontal="center" vertical="bottom" textRotation="0" wrapText="0" indent="0" justifyLastLine="0" shrinkToFit="0" readingOrder="0"/>
    </dxf>
    <dxf>
      <numFmt numFmtId="34" formatCode="_ * #,##0.00_)\ &quot;$&quot;_ ;_ * \(#,##0.00\)\ &quot;$&quot;_ ;_ * &quot;-&quot;??_)\ &quot;$&quot;_ ;_ @_ "/>
    </dxf>
    <dxf>
      <numFmt numFmtId="170" formatCode="#,##0.00\ &quot;$&quot;"/>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1" indent="0" justifyLastLine="0" shrinkToFit="0" readingOrder="0"/>
    </dxf>
    <dxf>
      <numFmt numFmtId="0" formatCode="General"/>
      <alignment horizontal="center" textRotation="0" indent="0" justifyLastLine="0" shrinkToFit="0" readingOrder="0"/>
    </dxf>
    <dxf>
      <numFmt numFmtId="174" formatCode="#,##0.0,,\ &quot;$&quot;"/>
      <alignment horizontal="general" textRotation="0" indent="0" justifyLastLine="0" shrinkToFit="0" readingOrder="0"/>
    </dxf>
    <dxf>
      <numFmt numFmtId="4" formatCode="#,##0.00"/>
      <alignment horizontal="center" textRotation="0" indent="0" justifyLastLine="0" shrinkToFit="0" readingOrder="0"/>
    </dxf>
    <dxf>
      <alignment horizontal="center" textRotation="0" indent="0" justifyLastLine="0" shrinkToFit="0" readingOrder="0"/>
    </dxf>
    <dxf>
      <numFmt numFmtId="166" formatCode="0.0%"/>
      <alignment horizontal="center" textRotation="0" indent="0" justifyLastLine="0" shrinkToFit="0" readingOrder="0"/>
    </dxf>
    <dxf>
      <numFmt numFmtId="170" formatCode="#,##0.00\ &quot;$&quot;"/>
      <alignment horizontal="center" textRotation="0" indent="0" justifyLastLine="0" shrinkToFit="0" readingOrder="0"/>
    </dxf>
    <dxf>
      <numFmt numFmtId="173" formatCode="#,##0.000\ &quot;$&quot;"/>
      <alignment horizontal="center" textRotation="0" indent="0" justifyLastLine="0" shrinkToFit="0" readingOrder="0"/>
    </dxf>
    <dxf>
      <numFmt numFmtId="170" formatCode="#,##0.00\ &quot;$&quot;"/>
      <alignment horizontal="center" vertical="bottom" textRotation="0" wrapText="0" indent="0" justifyLastLine="0" shrinkToFit="0" readingOrder="0"/>
    </dxf>
    <dxf>
      <numFmt numFmtId="170" formatCode="#,##0.00\ &quot;$&quot;"/>
      <alignment horizontal="center" textRotation="0" indent="0" justifyLastLine="0" shrinkToFit="0" readingOrder="0"/>
    </dxf>
    <dxf>
      <alignment horizontal="center" textRotation="0" indent="0" justifyLastLine="0" shrinkToFit="0" readingOrder="0"/>
    </dxf>
    <dxf>
      <numFmt numFmtId="0" formatCode="General"/>
      <alignment horizontal="left" textRotation="0" indent="0" justifyLastLine="0" shrinkToFit="0" readingOrder="0"/>
    </dxf>
    <dxf>
      <alignment horizontal="center" indent="0" justifyLastLine="0" shrinkToFit="0" readingOrder="0"/>
    </dxf>
    <dxf>
      <alignment horizontal="center" vertical="center" textRotation="0" wrapText="1" indent="0" justifyLastLine="0" shrinkToFit="0" readingOrder="0"/>
    </dxf>
    <dxf>
      <numFmt numFmtId="166" formatCode="0.0%"/>
      <alignment horizontal="center" vertical="bottom" textRotation="0" wrapText="0" indent="0" justifyLastLine="0" shrinkToFit="0" readingOrder="0"/>
    </dxf>
    <dxf>
      <numFmt numFmtId="166" formatCode="0.0%"/>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alignment horizontal="center" vertical="bottom" textRotation="0" wrapText="0" indent="0" justifyLastLine="0" shrinkToFit="0" readingOrder="0"/>
    </dxf>
    <dxf>
      <numFmt numFmtId="177" formatCode="[$-F800]dddd\,\ mmmm\ dd\,\ yyyy"/>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0\ &quot;$&quot;"/>
      <alignment horizontal="center" vertical="bottom" textRotation="0" wrapText="0" indent="0" justifyLastLine="0" shrinkToFit="0" readingOrder="0"/>
    </dxf>
    <dxf>
      <alignment horizontal="center" vertical="bottom" textRotation="0" wrapText="0" indent="0" justifyLastLine="0" shrinkToFit="0" readingOrder="0"/>
    </dxf>
    <dxf>
      <numFmt numFmtId="168" formatCode="0.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1"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alignment horizontal="center" vertical="center" textRotation="0" wrapText="0" indent="0" justifyLastLine="0" shrinkToFit="0" readingOrder="0"/>
    </dxf>
    <dxf>
      <numFmt numFmtId="170" formatCode="#,##0.00\ &quot;$&quot;"/>
      <alignment horizontal="center" vertical="center" textRotation="0" indent="0" justifyLastLine="0" shrinkToFit="0" readingOrder="0"/>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70" formatCode="#,##0.00\ &quot;$&quot;"/>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numFmt numFmtId="170" formatCode="#,##0.00\ &quot;$&quo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0\ &quot;$&quot;"/>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textRotation="0" indent="0" justifyLastLine="0" shrinkToFit="0" readingOrder="0"/>
    </dxf>
    <dxf>
      <numFmt numFmtId="170" formatCode="#,##0.00\ &quot;$&quot;"/>
      <alignment horizontal="center" vertical="bottom" textRotation="0" wrapText="0" indent="0" justifyLastLine="0" shrinkToFit="0" readingOrder="0"/>
    </dxf>
    <dxf>
      <numFmt numFmtId="170" formatCode="#,##0.00\ &quot;$&quot;"/>
      <alignment horizontal="center" textRotation="0" indent="0" justifyLastLine="0" shrinkToFit="0" readingOrder="0"/>
    </dxf>
    <dxf>
      <numFmt numFmtId="170" formatCode="#,##0.00\ &quot;$&quot;"/>
      <alignment horizontal="center" vertical="bottom" textRotation="0" wrapText="0" indent="0" justifyLastLine="0" shrinkToFit="0" readingOrder="0"/>
    </dxf>
    <dxf>
      <numFmt numFmtId="170" formatCode="#,##0.00\ &quot;$&quot;"/>
      <alignment horizontal="center" textRotation="0" indent="0" justifyLastLine="0" shrinkToFit="0" readingOrder="0"/>
    </dxf>
    <dxf>
      <numFmt numFmtId="173" formatCode="#,##0.000\ &quot;$&quot;"/>
      <alignment horizontal="center" vertical="bottom" textRotation="0" wrapText="0" indent="0" justifyLastLine="0" shrinkToFit="0" readingOrder="0"/>
    </dxf>
    <dxf>
      <numFmt numFmtId="173" formatCode="#,##0.000\ &quot;$&quot;"/>
      <alignment horizontal="center" textRotation="0" indent="0" justifyLastLine="0" shrinkToFit="0" readingOrder="0"/>
    </dxf>
    <dxf>
      <numFmt numFmtId="166" formatCode="0.0%"/>
      <alignment horizontal="center" vertical="bottom" textRotation="0" wrapText="0" indent="0" justifyLastLine="0" shrinkToFit="0" readingOrder="0"/>
    </dxf>
    <dxf>
      <numFmt numFmtId="166" formatCode="0.0%"/>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0\ &quot;$&quot;"/>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0\ &quot;$&quot;"/>
      <alignment horizontal="center" vertical="bottom" textRotation="0" wrapText="0" indent="0" justifyLastLine="0" shrinkToFit="0" readingOrder="0"/>
    </dxf>
    <dxf>
      <numFmt numFmtId="170" formatCode="#,##0.00\ &quot;$&quo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0\ &quot;$&quot;"/>
      <alignment horizontal="center" textRotation="0" indent="0" justifyLastLine="0" shrinkToFit="0" readingOrder="0"/>
    </dxf>
    <dxf>
      <numFmt numFmtId="170" formatCode="#,##0.00\ &quot;$&quot;"/>
      <alignment horizontal="center" vertical="bottom" textRotation="0" wrapText="0" indent="0" justifyLastLine="0" shrinkToFit="0" readingOrder="0"/>
    </dxf>
    <dxf>
      <numFmt numFmtId="170" formatCode="#,##0.00\ &quot;$&quot;"/>
      <alignment horizontal="center" textRotation="0" indent="0" justifyLastLine="0" shrinkToFit="0" readingOrder="0"/>
    </dxf>
    <dxf>
      <numFmt numFmtId="170" formatCode="#,##0.00\ &quot;$&quot;"/>
      <alignment horizontal="center" vertical="bottom" textRotation="0" wrapText="0" indent="0" justifyLastLine="0" shrinkToFit="0" readingOrder="0"/>
    </dxf>
    <dxf>
      <numFmt numFmtId="170" formatCode="#,##0.00\ &quot;$&quot;"/>
      <alignment horizontal="center" textRotation="0" indent="0" justifyLastLine="0" shrinkToFit="0" readingOrder="0"/>
    </dxf>
    <dxf>
      <numFmt numFmtId="170" formatCode="#,##0.00\ &quot;$&quot;"/>
      <alignment horizontal="center" vertical="bottom" textRotation="0" wrapText="0" indent="0" justifyLastLine="0" shrinkToFit="0" readingOrder="0"/>
    </dxf>
    <dxf>
      <numFmt numFmtId="170" formatCode="#,##0.00\ &quot;$&quot;"/>
      <alignment horizontal="center" textRotation="0" indent="0" justifyLastLine="0" shrinkToFit="0" readingOrder="0"/>
    </dxf>
    <dxf>
      <alignment horizontal="center" vertical="bottom" textRotation="0" wrapText="0" indent="0" justifyLastLine="0" shrinkToFit="0" readingOrder="0"/>
    </dxf>
    <dxf>
      <numFmt numFmtId="1" formatCode="0"/>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numFmt numFmtId="0" formatCode="General"/>
    </dxf>
    <dxf>
      <numFmt numFmtId="0" formatCode="General"/>
    </dxf>
    <dxf>
      <alignment horizontal="center" vertical="bottom" textRotation="0" wrapText="0" indent="0" justifyLastLine="0" shrinkToFit="0" readingOrder="0"/>
    </dxf>
    <dxf>
      <numFmt numFmtId="0" formatCode="General"/>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vertical="center" textRotation="0" wrapText="1" indent="0" justifyLastLine="0" shrinkToFit="0" readingOrder="0"/>
    </dxf>
  </dxfs>
  <tableStyles count="0" defaultTableStyle="TableStyleMedium9" defaultPivotStyle="PivotStyleLight16"/>
  <colors>
    <mruColors>
      <color rgb="FF008A3E"/>
      <color rgb="FFA40000"/>
      <color rgb="FF782C2A"/>
      <color rgb="FFB1FDC9"/>
      <color rgb="FF00642D"/>
      <color rgb="FF967200"/>
      <color rgb="FFB88C00"/>
      <color rgb="FF8BFFB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channel">
        <xsd:complexType>
          <xsd:sequence minOccurs="0">
            <xsd:element minOccurs="0" nillable="true" type="xsd:string" name="title" form="unqualified"/>
            <xsd:element minOccurs="0" nillable="true" type="xsd:anyURI" name="link" form="unqualified"/>
            <xsd:element minOccurs="0" nillable="true" type="xsd:anyURI" name="xmlLink" form="unqualified"/>
            <xsd:element minOccurs="0" nillable="true" type="xsd:string" name="description" form="unqualified"/>
            <xsd:element minOccurs="0" nillable="true" type="xsd:string" name="language" form="unqualified"/>
            <xsd:element minOccurs="0" nillable="true" type="xsd:string" name="baseCurrency" form="unqualified"/>
            <xsd:element minOccurs="0" nillable="true" type="xsd:string" name="pubDate" form="unqualified"/>
            <xsd:element minOccurs="0" nillable="true" type="xsd:string" name="lastBuildDate" form="unqualified"/>
            <xsd:element minOccurs="0" maxOccurs="unbounded" nillable="true" name="item" form="unqualified">
              <xsd:complexType>
                <xsd:sequence minOccurs="0">
                  <xsd:element minOccurs="0" nillable="true" type="xsd:string" name="title" form="unqualified"/>
                  <xsd:element minOccurs="0" nillable="true" type="xsd:anyURI" name="link" form="unqualified"/>
                  <xsd:element minOccurs="0" nillable="true" type="xsd:string" name="description" form="unqualified"/>
                  <xsd:element minOccurs="0" nillable="true" type="xsd:string" name="pubDate" form="unqualified"/>
                  <xsd:element minOccurs="0" nillable="true" type="xsd:string" name="baseCurrency" form="unqualified"/>
                  <xsd:element minOccurs="0" nillable="true" type="xsd:string" name="baseName" form="unqualified"/>
                  <xsd:element minOccurs="0" nillable="true" type="xsd:string" name="targetCurrency" form="unqualified"/>
                  <xsd:element minOccurs="0" nillable="true" type="xsd:string" name="targetName" form="unqualified"/>
                  <xsd:element minOccurs="0" nillable="true" type="xsd:string" name="exchangeRate" form="unqualified"/>
                  <xsd:element minOccurs="0" nillable="true" type="xsd:double" name="inverseRate" form="unqualified"/>
                  <xsd:element minOccurs="0" nillable="true" type="xsd:string" name="inverseDescription" form="unqualified"/>
                </xsd:sequence>
              </xsd:complexType>
            </xsd:element>
          </xsd:sequence>
        </xsd:complexType>
      </xsd:element>
    </xsd:schema>
  </Schema>
  <Map ID="1" Name="channel_Map" RootElement="channe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Array" Target="richData/rdarray.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 Target="richData/rdsupportingpropertybag.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microsoft.com/office/2017/06/relationships/rdSupportingPropertyBagStructure" Target="richData/rdsupportingpropertybagstructure.xml"/><Relationship Id="rId27" Type="http://schemas.openxmlformats.org/officeDocument/2006/relationships/xmlMaps" Target="xmlMap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9093434343434336"/>
          <c:y val="2.70858974358974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27219193754626825"/>
          <c:y val="0.13486199305731944"/>
          <c:w val="0.45561634923839645"/>
          <c:h val="0.85979214291761907"/>
        </c:manualLayout>
      </c:layout>
      <c:pieChart>
        <c:varyColors val="1"/>
        <c:ser>
          <c:idx val="0"/>
          <c:order val="0"/>
          <c:tx>
            <c:v>Répartition</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6D40-44EA-BDB7-97ADC184BE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D40-44EA-BDB7-97ADC184BE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D40-44EA-BDB7-97ADC184BE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6D40-44EA-BDB7-97ADC184BE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56A-4A34-BD39-9DCCE1E7EC7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56A-4A34-BD39-9DCCE1E7EC76}"/>
              </c:ext>
            </c:extLst>
          </c:dPt>
          <c:dLbls>
            <c:dLbl>
              <c:idx val="0"/>
              <c:layout>
                <c:manualLayout>
                  <c:x val="8.9546471209626499E-2"/>
                  <c:y val="-7.3572649572650568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D40-44EA-BDB7-97ADC184BE44}"/>
                </c:ext>
              </c:extLst>
            </c:dLbl>
            <c:dLbl>
              <c:idx val="1"/>
              <c:layout>
                <c:manualLayout>
                  <c:x val="6.8918671694728206E-2"/>
                  <c:y val="2.35547008547009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D40-44EA-BDB7-97ADC184BE44}"/>
                </c:ext>
              </c:extLst>
            </c:dLbl>
            <c:dLbl>
              <c:idx val="2"/>
              <c:layout>
                <c:manualLayout>
                  <c:x val="-0.15850432873607989"/>
                  <c:y val="9.277350427350426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D40-44EA-BDB7-97ADC184BE44}"/>
                </c:ext>
              </c:extLst>
            </c:dLbl>
            <c:dLbl>
              <c:idx val="3"/>
              <c:layout>
                <c:manualLayout>
                  <c:x val="-0.14429852049879316"/>
                  <c:y val="0.211234188034188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D40-44EA-BDB7-97ADC184BE44}"/>
                </c:ext>
              </c:extLst>
            </c:dLbl>
            <c:dLbl>
              <c:idx val="4"/>
              <c:layout>
                <c:manualLayout>
                  <c:x val="-0.2525637802524654"/>
                  <c:y val="0.1135188034188034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56A-4A34-BD39-9DCCE1E7EC7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fr-FR"/>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('Tableau de bord - Portefeuille'!$D$3:$E$3,'Tableau de bord - Portefeuille'!$D$11:$E$11,'Tableau de bord - Portefeuille'!$D$19:$E$19,'Tableau de bord - Portefeuille'!$D$27:$E$27,'Tableau de bord - Portefeuille'!$D$35:$E$35)</c:f>
              <c:strCache>
                <c:ptCount val="5"/>
                <c:pt idx="0">
                  <c:v>Marge (CA)</c:v>
                </c:pt>
                <c:pt idx="1">
                  <c:v>Marge (US)</c:v>
                </c:pt>
                <c:pt idx="2">
                  <c:v>CELI</c:v>
                </c:pt>
                <c:pt idx="3">
                  <c:v>REER</c:v>
                </c:pt>
                <c:pt idx="4">
                  <c:v>CRCD</c:v>
                </c:pt>
              </c:strCache>
            </c:strRef>
          </c:cat>
          <c:val>
            <c:numRef>
              <c:f>('Tableau de bord - Portefeuille'!$E$4,'Tableau de bord - Portefeuille'!$E$12,'Tableau de bord - Portefeuille'!$E$20,'Tableau de bord - Portefeuille'!$E$28,'Tableau de bord - Portefeuille'!$E$36)</c:f>
              <c:numCache>
                <c:formatCode>#\ ##0.00\ "$"</c:formatCode>
                <c:ptCount val="5"/>
                <c:pt idx="0">
                  <c:v>253641.8</c:v>
                </c:pt>
                <c:pt idx="1">
                  <c:v>8747.8640000000014</c:v>
                </c:pt>
                <c:pt idx="2">
                  <c:v>262273.6100000001</c:v>
                </c:pt>
                <c:pt idx="3">
                  <c:v>142985.51043000002</c:v>
                </c:pt>
                <c:pt idx="4">
                  <c:v>11873.511184999999</c:v>
                </c:pt>
              </c:numCache>
            </c:numRef>
          </c:val>
          <c:extLst>
            <c:ext xmlns:c16="http://schemas.microsoft.com/office/drawing/2014/chart" uri="{C3380CC4-5D6E-409C-BE32-E72D297353CC}">
              <c16:uniqueId val="{00000000-6D40-44EA-BDB7-97ADC184BE44}"/>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Valeur au marché par type d'actif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25921010101010095"/>
          <c:y val="0.14702692307692308"/>
          <c:w val="0.49120126262626262"/>
          <c:h val="0.83126367521367517"/>
        </c:manualLayout>
      </c:layout>
      <c:pieChart>
        <c:varyColors val="1"/>
        <c:ser>
          <c:idx val="0"/>
          <c:order val="0"/>
          <c:tx>
            <c:v>Valeur au marché par industrie</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0-46CE-BACB-6EE487FCD2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0-46CE-BACB-6EE487FCD2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0-46CE-BACB-6EE487FCD2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0-46CE-BACB-6EE487FCD20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D0-46CE-BACB-6EE487FCD20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D0-46CE-BACB-6EE487FCD20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CD0-46CE-BACB-6EE487FCD20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CD0-46CE-BACB-6EE487FCD20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CD0-46CE-BACB-6EE487FCD20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CD0-46CE-BACB-6EE487FCD20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CD0-46CE-BACB-6EE487FCD20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CD0-46CE-BACB-6EE487FCD20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CD0-46CE-BACB-6EE487FCD20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CD0-46CE-BACB-6EE487FCD20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CD0-46CE-BACB-6EE487FCD20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CD0-46CE-BACB-6EE487FCD20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CD0-46CE-BACB-6EE487FCD20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CD0-46CE-BACB-6EE487FCD20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CD0-46CE-BACB-6EE487FCD20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CD0-46CE-BACB-6EE487FCD20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CD0-46CE-BACB-6EE487FCD20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CD0-46CE-BACB-6EE487FCD20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CD0-46CE-BACB-6EE487FCD20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CD0-46CE-BACB-6EE487FCD20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BCD0-46CE-BACB-6EE487FCD20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BCD0-46CE-BACB-6EE487FCD20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BCD0-46CE-BACB-6EE487FCD205}"/>
              </c:ext>
            </c:extLst>
          </c:dPt>
          <c:dLbls>
            <c:dLbl>
              <c:idx val="0"/>
              <c:layout>
                <c:manualLayout>
                  <c:x val="9.8932422144716106E-2"/>
                  <c:y val="0.5047435897435896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CD0-46CE-BACB-6EE487FCD205}"/>
                </c:ext>
              </c:extLst>
            </c:dLbl>
            <c:dLbl>
              <c:idx val="1"/>
              <c:layout>
                <c:manualLayout>
                  <c:x val="-8.9938565586105565E-2"/>
                  <c:y val="-9.769230769230768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D0-46CE-BACB-6EE487FCD205}"/>
                </c:ext>
              </c:extLst>
            </c:dLbl>
            <c:dLbl>
              <c:idx val="2"/>
              <c:layout>
                <c:manualLayout>
                  <c:x val="-0.242834127082485"/>
                  <c:y val="0.2008119658119657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D0-46CE-BACB-6EE487FCD205}"/>
                </c:ext>
              </c:extLst>
            </c:dLbl>
            <c:dLbl>
              <c:idx val="3"/>
              <c:layout>
                <c:manualLayout>
                  <c:x val="0.37474402327543982"/>
                  <c:y val="0.1791025641025641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CD0-46CE-BACB-6EE487FCD2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Ressources!$K$2:$K$5</c:f>
              <c:strCache>
                <c:ptCount val="4"/>
                <c:pt idx="0">
                  <c:v>Actions américaines</c:v>
                </c:pt>
                <c:pt idx="1">
                  <c:v>Actions canadiennes</c:v>
                </c:pt>
                <c:pt idx="2">
                  <c:v>Actions internationales</c:v>
                </c:pt>
                <c:pt idx="3">
                  <c:v>REIT</c:v>
                </c:pt>
              </c:strCache>
            </c:strRef>
          </c:cat>
          <c:val>
            <c:numRef>
              <c:f>Ressources!$L$2:$L$5</c:f>
              <c:numCache>
                <c:formatCode>_("$"* #,##0.00_);_("$"* \(#,##0.00\);_("$"* "-"??_);_(@_)</c:formatCode>
                <c:ptCount val="4"/>
                <c:pt idx="0">
                  <c:v>179111.85500000001</c:v>
                </c:pt>
                <c:pt idx="1">
                  <c:v>395818.14000000013</c:v>
                </c:pt>
                <c:pt idx="2">
                  <c:v>37477.15</c:v>
                </c:pt>
                <c:pt idx="3">
                  <c:v>8812.4000000000015</c:v>
                </c:pt>
              </c:numCache>
            </c:numRef>
          </c:val>
          <c:extLst>
            <c:ext xmlns:c16="http://schemas.microsoft.com/office/drawing/2014/chart" uri="{C3380CC4-5D6E-409C-BE32-E72D297353CC}">
              <c16:uniqueId val="{00000000-23AC-4850-968B-E39E8E0552C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Ressources!$O$1</c:f>
              <c:strCache>
                <c:ptCount val="1"/>
                <c:pt idx="0">
                  <c:v>Dividendes</c:v>
                </c:pt>
              </c:strCache>
            </c:strRef>
          </c:tx>
          <c:spPr>
            <a:solidFill>
              <a:schemeClr val="accent3"/>
            </a:solidFill>
            <a:ln>
              <a:noFill/>
            </a:ln>
            <a:effectLst/>
          </c:spPr>
          <c:invertIfNegative val="0"/>
          <c:cat>
            <c:numRef>
              <c:f>Ressources!$N$2:$N$9</c:f>
              <c:numCache>
                <c:formatCode>General</c:formatCode>
                <c:ptCount val="8"/>
                <c:pt idx="0">
                  <c:v>2019</c:v>
                </c:pt>
                <c:pt idx="1">
                  <c:v>2020</c:v>
                </c:pt>
                <c:pt idx="2">
                  <c:v>2021</c:v>
                </c:pt>
                <c:pt idx="3">
                  <c:v>2022</c:v>
                </c:pt>
                <c:pt idx="4">
                  <c:v>2023</c:v>
                </c:pt>
                <c:pt idx="5">
                  <c:v>2024</c:v>
                </c:pt>
                <c:pt idx="6">
                  <c:v>2025</c:v>
                </c:pt>
                <c:pt idx="7">
                  <c:v>2026</c:v>
                </c:pt>
              </c:numCache>
            </c:numRef>
          </c:cat>
          <c:val>
            <c:numRef>
              <c:f>Ressources!$O$2:$O$9</c:f>
              <c:numCache>
                <c:formatCode>_("$"* #,##0.00_);_("$"* \(#,##0.00\);_("$"* "-"??_);_(@_)</c:formatCode>
                <c:ptCount val="8"/>
                <c:pt idx="0">
                  <c:v>3355.03</c:v>
                </c:pt>
                <c:pt idx="1">
                  <c:v>4521.3600000000006</c:v>
                </c:pt>
                <c:pt idx="2">
                  <c:v>6227.6699999999983</c:v>
                </c:pt>
                <c:pt idx="3">
                  <c:v>8489.619999999999</c:v>
                </c:pt>
                <c:pt idx="4">
                  <c:v>10511.86</c:v>
                </c:pt>
                <c:pt idx="5">
                  <c:v>12127.580000000002</c:v>
                </c:pt>
                <c:pt idx="6">
                  <c:v>13549.22</c:v>
                </c:pt>
                <c:pt idx="7">
                  <c:v>2910.24</c:v>
                </c:pt>
              </c:numCache>
            </c:numRef>
          </c:val>
          <c:extLst>
            <c:ext xmlns:c16="http://schemas.microsoft.com/office/drawing/2014/chart" uri="{C3380CC4-5D6E-409C-BE32-E72D297353CC}">
              <c16:uniqueId val="{00000000-6399-4346-B0A6-B74707F1F922}"/>
            </c:ext>
          </c:extLst>
        </c:ser>
        <c:dLbls>
          <c:showLegendKey val="0"/>
          <c:showVal val="0"/>
          <c:showCatName val="0"/>
          <c:showSerName val="0"/>
          <c:showPercent val="0"/>
          <c:showBubbleSize val="0"/>
        </c:dLbls>
        <c:gapWidth val="219"/>
        <c:overlap val="-27"/>
        <c:axId val="1240923696"/>
        <c:axId val="1885394176"/>
      </c:barChart>
      <c:catAx>
        <c:axId val="124092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85394176"/>
        <c:crosses val="autoZero"/>
        <c:auto val="1"/>
        <c:lblAlgn val="ctr"/>
        <c:lblOffset val="100"/>
        <c:noMultiLvlLbl val="0"/>
      </c:catAx>
      <c:valAx>
        <c:axId val="18853941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4092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5"/>
          <c:order val="0"/>
          <c:tx>
            <c:strRef>
              <c:f>RRMD!$G$1</c:f>
              <c:strCache>
                <c:ptCount val="1"/>
                <c:pt idx="0">
                  <c:v>Salaire annuel</c:v>
                </c:pt>
              </c:strCache>
            </c:strRef>
          </c:tx>
          <c:marker>
            <c:symbol val="none"/>
          </c:marker>
          <c:cat>
            <c:numRef>
              <c:f>RRMD!$B$2:$B$12</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RRMD!$G$2:$G$12</c:f>
              <c:numCache>
                <c:formatCode>_("$"* #,##0.00_);_("$"* \(#,##0.00\);_("$"* "-"??_);_(@_)</c:formatCode>
                <c:ptCount val="11"/>
                <c:pt idx="0">
                  <c:v>46454.640675926079</c:v>
                </c:pt>
                <c:pt idx="1">
                  <c:v>51260.293159642577</c:v>
                </c:pt>
                <c:pt idx="2">
                  <c:v>56279.530198190907</c:v>
                </c:pt>
                <c:pt idx="3">
                  <c:v>61512.351791571076</c:v>
                </c:pt>
                <c:pt idx="4">
                  <c:v>66958.757939783114</c:v>
                </c:pt>
                <c:pt idx="5">
                  <c:v>72618.748642826977</c:v>
                </c:pt>
                <c:pt idx="6">
                  <c:v>78492.323900702686</c:v>
                </c:pt>
                <c:pt idx="7">
                  <c:v>84579.483713410256</c:v>
                </c:pt>
                <c:pt idx="8">
                  <c:v>90880.228080949659</c:v>
                </c:pt>
                <c:pt idx="9">
                  <c:v>97394.557003320893</c:v>
                </c:pt>
                <c:pt idx="10">
                  <c:v>104122.47048052397</c:v>
                </c:pt>
              </c:numCache>
            </c:numRef>
          </c:val>
          <c:smooth val="0"/>
          <c:extLst>
            <c:ext xmlns:c16="http://schemas.microsoft.com/office/drawing/2014/chart" uri="{C3380CC4-5D6E-409C-BE32-E72D297353CC}">
              <c16:uniqueId val="{00000000-CADB-46D5-949C-9816C2688302}"/>
            </c:ext>
          </c:extLst>
        </c:ser>
        <c:dLbls>
          <c:showLegendKey val="0"/>
          <c:showVal val="0"/>
          <c:showCatName val="0"/>
          <c:showSerName val="0"/>
          <c:showPercent val="0"/>
          <c:showBubbleSize val="0"/>
        </c:dLbls>
        <c:smooth val="0"/>
        <c:axId val="130466560"/>
        <c:axId val="130468480"/>
      </c:lineChart>
      <c:catAx>
        <c:axId val="130466560"/>
        <c:scaling>
          <c:orientation val="minMax"/>
        </c:scaling>
        <c:delete val="0"/>
        <c:axPos val="b"/>
        <c:title>
          <c:tx>
            <c:rich>
              <a:bodyPr/>
              <a:lstStyle/>
              <a:p>
                <a:pPr>
                  <a:defRPr/>
                </a:pPr>
                <a:r>
                  <a:rPr lang="fr-CA"/>
                  <a:t>Âge</a:t>
                </a:r>
                <a:r>
                  <a:rPr lang="fr-CA" baseline="0"/>
                  <a:t> de la retraite</a:t>
                </a:r>
                <a:endParaRPr lang="fr-CA"/>
              </a:p>
            </c:rich>
          </c:tx>
          <c:overlay val="0"/>
        </c:title>
        <c:numFmt formatCode="General" sourceLinked="1"/>
        <c:majorTickMark val="out"/>
        <c:minorTickMark val="none"/>
        <c:tickLblPos val="nextTo"/>
        <c:crossAx val="130468480"/>
        <c:crosses val="autoZero"/>
        <c:auto val="1"/>
        <c:lblAlgn val="ctr"/>
        <c:lblOffset val="100"/>
        <c:noMultiLvlLbl val="0"/>
      </c:catAx>
      <c:valAx>
        <c:axId val="130468480"/>
        <c:scaling>
          <c:orientation val="minMax"/>
        </c:scaling>
        <c:delete val="0"/>
        <c:axPos val="l"/>
        <c:majorGridlines/>
        <c:title>
          <c:tx>
            <c:rich>
              <a:bodyPr rot="-5400000" vert="horz"/>
              <a:lstStyle/>
              <a:p>
                <a:pPr>
                  <a:defRPr/>
                </a:pPr>
                <a:r>
                  <a:rPr lang="fr-CA"/>
                  <a:t>Salaire</a:t>
                </a:r>
              </a:p>
            </c:rich>
          </c:tx>
          <c:overlay val="0"/>
        </c:title>
        <c:numFmt formatCode="_(&quot;$&quot;* #,##0.00_);_(&quot;$&quot;* \(#,##0.00\);_(&quot;$&quot;* &quot;-&quot;??_);_(@_)" sourceLinked="1"/>
        <c:majorTickMark val="out"/>
        <c:minorTickMark val="none"/>
        <c:tickLblPos val="nextTo"/>
        <c:crossAx val="130466560"/>
        <c:crosses val="autoZero"/>
        <c:crossBetween val="between"/>
      </c:valAx>
    </c:plotArea>
    <c:legend>
      <c:legendPos val="r"/>
      <c:overlay val="0"/>
    </c:legend>
    <c:plotVisOnly val="1"/>
    <c:dispBlanksAs val="gap"/>
    <c:showDLblsOverMax val="0"/>
  </c:chart>
  <c:printSettings>
    <c:headerFooter/>
    <c:pageMargins b="0.75000000000000799" l="0.70000000000000062" r="0.70000000000000062" t="0.75000000000000799"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533400</xdr:colOff>
      <xdr:row>9</xdr:row>
      <xdr:rowOff>28575</xdr:rowOff>
    </xdr:from>
    <xdr:to>
      <xdr:col>19</xdr:col>
      <xdr:colOff>35850</xdr:colOff>
      <xdr:row>19</xdr:row>
      <xdr:rowOff>67575</xdr:rowOff>
    </xdr:to>
    <xdr:graphicFrame macro="">
      <xdr:nvGraphicFramePr>
        <xdr:cNvPr id="2" name="Graphique 1">
          <a:extLst>
            <a:ext uri="{FF2B5EF4-FFF2-40B4-BE49-F238E27FC236}">
              <a16:creationId xmlns:a16="http://schemas.microsoft.com/office/drawing/2014/main" id="{58E07D69-37A0-66EF-3352-E572E986E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533400</xdr:colOff>
      <xdr:row>19</xdr:row>
      <xdr:rowOff>159543</xdr:rowOff>
    </xdr:from>
    <xdr:to>
      <xdr:col>19</xdr:col>
      <xdr:colOff>35850</xdr:colOff>
      <xdr:row>30</xdr:row>
      <xdr:rowOff>8043</xdr:rowOff>
    </xdr:to>
    <xdr:graphicFrame macro="">
      <xdr:nvGraphicFramePr>
        <xdr:cNvPr id="4" name="Graphique 3">
          <a:extLst>
            <a:ext uri="{FF2B5EF4-FFF2-40B4-BE49-F238E27FC236}">
              <a16:creationId xmlns:a16="http://schemas.microsoft.com/office/drawing/2014/main" id="{615BB201-13B9-AA10-50F3-5545D4887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533400</xdr:colOff>
      <xdr:row>30</xdr:row>
      <xdr:rowOff>100012</xdr:rowOff>
    </xdr:from>
    <xdr:to>
      <xdr:col>19</xdr:col>
      <xdr:colOff>35850</xdr:colOff>
      <xdr:row>40</xdr:row>
      <xdr:rowOff>139012</xdr:rowOff>
    </xdr:to>
    <xdr:graphicFrame macro="">
      <xdr:nvGraphicFramePr>
        <xdr:cNvPr id="3" name="Graphique 2">
          <a:extLst>
            <a:ext uri="{FF2B5EF4-FFF2-40B4-BE49-F238E27FC236}">
              <a16:creationId xmlns:a16="http://schemas.microsoft.com/office/drawing/2014/main" id="{2BDEA4F1-77E6-5B7B-101F-2431AA9DA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28575</xdr:colOff>
      <xdr:row>1</xdr:row>
      <xdr:rowOff>66675</xdr:rowOff>
    </xdr:from>
    <xdr:to>
      <xdr:col>3</xdr:col>
      <xdr:colOff>2636025</xdr:colOff>
      <xdr:row>3</xdr:row>
      <xdr:rowOff>117675</xdr:rowOff>
    </xdr:to>
    <mc:AlternateContent xmlns:mc="http://schemas.openxmlformats.org/markup-compatibility/2006" xmlns:sle15="http://schemas.microsoft.com/office/drawing/2012/slicer">
      <mc:Choice Requires="sle15">
        <xdr:graphicFrame macro="">
          <xdr:nvGraphicFramePr>
            <xdr:cNvPr id="2" name="Compte">
              <a:extLst>
                <a:ext uri="{FF2B5EF4-FFF2-40B4-BE49-F238E27FC236}">
                  <a16:creationId xmlns:a16="http://schemas.microsoft.com/office/drawing/2014/main" id="{AF38F0A5-D47A-6AD4-F10A-C4CE806945BD}"/>
                </a:ext>
              </a:extLst>
            </xdr:cNvPr>
            <xdr:cNvGraphicFramePr/>
          </xdr:nvGraphicFramePr>
          <xdr:xfrm>
            <a:off x="0" y="0"/>
            <a:ext cx="0" cy="0"/>
          </xdr:xfrm>
          <a:graphic>
            <a:graphicData uri="http://schemas.microsoft.com/office/drawing/2010/slicer">
              <sle:slicer xmlns:sle="http://schemas.microsoft.com/office/drawing/2010/slicer" name="Compte"/>
            </a:graphicData>
          </a:graphic>
        </xdr:graphicFrame>
      </mc:Choice>
      <mc:Fallback xmlns="">
        <xdr:sp macro="" textlink="">
          <xdr:nvSpPr>
            <xdr:cNvPr id="0" name=""/>
            <xdr:cNvSpPr>
              <a:spLocks noTextEdit="1"/>
            </xdr:cNvSpPr>
          </xdr:nvSpPr>
          <xdr:spPr>
            <a:xfrm>
              <a:off x="247650" y="352425"/>
              <a:ext cx="3960000" cy="432000"/>
            </a:xfrm>
            <a:prstGeom prst="rect">
              <a:avLst/>
            </a:prstGeom>
            <a:solidFill>
              <a:prstClr val="white"/>
            </a:solidFill>
            <a:ln w="1">
              <a:solidFill>
                <a:prstClr val="green"/>
              </a:solidFill>
            </a:ln>
          </xdr:spPr>
          <xdr:txBody>
            <a:bodyPr vertOverflow="clip" horzOverflow="clip"/>
            <a:lstStyle/>
            <a:p>
              <a:r>
                <a:rPr lang="fr-CA"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238124</xdr:colOff>
      <xdr:row>0</xdr:row>
      <xdr:rowOff>85725</xdr:rowOff>
    </xdr:from>
    <xdr:to>
      <xdr:col>17</xdr:col>
      <xdr:colOff>228599</xdr:colOff>
      <xdr:row>18</xdr:row>
      <xdr:rowOff>180975</xdr:rowOff>
    </xdr:to>
    <xdr:graphicFrame macro="">
      <xdr:nvGraphicFramePr>
        <xdr:cNvPr id="2" name="Graphique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66">
  <a r="1" c="251">
    <v t="i">0</v>
    <v t="i">1</v>
    <v t="i">2</v>
    <v t="i">3</v>
    <v t="i">4</v>
    <v t="i">7</v>
    <v t="i">8</v>
    <v t="i">9</v>
    <v t="i">10</v>
    <v t="i">11</v>
    <v t="i">14</v>
    <v t="i">15</v>
    <v t="i">16</v>
    <v t="i">17</v>
    <v t="i">18</v>
    <v t="i">21</v>
    <v t="i">22</v>
    <v t="i">23</v>
    <v t="i">24</v>
    <v t="i">25</v>
    <v t="i">29</v>
    <v t="i">30</v>
    <v t="i">31</v>
    <v t="i">32</v>
    <v t="i">35</v>
    <v t="i">36</v>
    <v t="i">37</v>
    <v t="i">38</v>
    <v t="i">39</v>
    <v t="i">42</v>
    <v t="i">43</v>
    <v t="i">44</v>
    <v t="i">45</v>
    <v t="i">46</v>
    <v t="i">49</v>
    <v t="i">50</v>
    <v t="i">51</v>
    <v t="i">52</v>
    <v t="i">53</v>
    <v t="i">56</v>
    <v t="i">57</v>
    <v t="i">58</v>
    <v t="i">59</v>
    <v t="i">60</v>
    <v t="i">63</v>
    <v t="i">64</v>
    <v t="i">65</v>
    <v t="i">66</v>
    <v t="i">67</v>
    <v t="i">70</v>
    <v t="i">72</v>
    <v t="i">73</v>
    <v t="i">74</v>
    <v t="i">77</v>
    <v t="i">78</v>
    <v t="i">79</v>
    <v t="i">80</v>
    <v t="i">81</v>
    <v t="i">84</v>
    <v t="i">85</v>
    <v t="i">86</v>
    <v t="i">87</v>
    <v t="i">88</v>
    <v t="i">91</v>
    <v t="i">92</v>
    <v t="i">93</v>
    <v t="i">94</v>
    <v t="i">95</v>
    <v t="i">98</v>
    <v t="i">99</v>
    <v t="i">100</v>
    <v t="i">101</v>
    <v t="i">102</v>
    <v t="i">106</v>
    <v t="i">107</v>
    <v t="i">108</v>
    <v t="i">109</v>
    <v t="i">112</v>
    <v t="i">113</v>
    <v t="i">114</v>
    <v t="i">115</v>
    <v t="i">116</v>
    <v t="i">119</v>
    <v t="i">120</v>
    <v t="i">121</v>
    <v t="i">122</v>
    <v t="i">123</v>
    <v t="i">126</v>
    <v t="i">127</v>
    <v t="i">128</v>
    <v t="i">129</v>
    <v t="i">130</v>
    <v t="i">134</v>
    <v t="i">135</v>
    <v t="i">136</v>
    <v t="i">137</v>
    <v t="i">140</v>
    <v t="i">141</v>
    <v t="i">142</v>
    <v t="i">143</v>
    <v t="i">144</v>
    <v t="i">147</v>
    <v t="i">148</v>
    <v t="i">149</v>
    <v t="i">150</v>
    <v t="i">151</v>
    <v t="i">154</v>
    <v t="i">155</v>
    <v t="i">156</v>
    <v t="i">157</v>
    <v t="i">158</v>
    <v t="i">161</v>
    <v t="i">162</v>
    <v t="i">163</v>
    <v t="i">164</v>
    <v t="i">165</v>
    <v t="i">168</v>
    <v t="i">169</v>
    <v t="i">170</v>
    <v t="i">171</v>
    <v t="i">172</v>
    <v t="i">176</v>
    <v t="i">177</v>
    <v t="i">178</v>
    <v t="i">179</v>
    <v t="i">182</v>
    <v t="i">183</v>
    <v t="i">184</v>
    <v t="i">185</v>
    <v t="i">186</v>
    <v t="i">189</v>
    <v t="i">190</v>
    <v t="i">191</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245</v>
    <v t="i">246</v>
    <v t="i">247</v>
    <v t="i">252</v>
    <v t="i">253</v>
    <v t="i">254</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350</v>
    <v t="i">351</v>
    <v t="i">352</v>
    <v t="i">353</v>
    <v t="i">354</v>
    <v t="i">357</v>
    <v t="i">358</v>
    <v t="i">359</v>
    <v t="i">360</v>
    <v t="i">361</v>
    <v t="i">364</v>
  </a>
  <a r="1" c="251">
    <v>127.75</v>
    <v>130.08000000000001</v>
    <v>130.65</v>
    <v>132.32</v>
    <v>131.72</v>
    <v>132.47</v>
    <v>131.85</v>
    <v>132.09</v>
    <v>133.27000000000001</v>
    <v>134.84</v>
    <v>135.08000000000001</v>
    <v>135.04</v>
    <v>135.80000000000001</v>
    <v>138</v>
    <v>138.72</v>
    <v>141.88999999999999</v>
    <v>141.97999999999999</v>
    <v>143.16999999999999</v>
    <v>143.65</v>
    <v>143.75</v>
    <v>144.11000000000001</v>
    <v>143.34</v>
    <v>143.72999999999999</v>
    <v>142.66999999999999</v>
    <v>143.87</v>
    <v>144.86000000000001</v>
    <v>147.09</v>
    <v>147.79</v>
    <v>147.37</v>
    <v>147.83000000000001</v>
    <v>147.94</v>
    <v>148.12</v>
    <v>148.02000000000001</v>
    <v>148.29</v>
    <v>147.91</v>
    <v>147.55000000000001</v>
    <v>147.29</v>
    <v>147.6</v>
    <v>145.29</v>
    <v>145.19</v>
    <v>144.91</v>
    <v>145.57</v>
    <v>144.27000000000001</v>
    <v>144.63999999999999</v>
    <v>144.69999999999999</v>
    <v>146.55000000000001</v>
    <v>146.33000000000001</v>
    <v>148.87</v>
    <v>149.56</v>
    <v>150.91</v>
    <v>152.35</v>
    <v>154.09</v>
    <v>153.80000000000001</v>
    <v>152.96</v>
    <v>154.21</v>
    <v>154.75</v>
    <v>156.61000000000001</v>
    <v>155.66</v>
    <v>155.56</v>
    <v>154.69</v>
    <v>155.66999999999999</v>
    <v>157.19</v>
    <v>156.85</v>
    <v>157.30000000000001</v>
    <v>156.27000000000001</v>
    <v>156.1</v>
    <v>155.68</v>
    <v>156.86000000000001</v>
    <v>155.72999999999999</v>
    <v>156.06</v>
    <v>153.91</v>
    <v>152.94</v>
    <v>152.91999999999999</v>
    <v>154.22</v>
    <v>154.72</v>
    <v>154.83000000000001</v>
    <v>155.21</v>
    <v>155.43</v>
    <v>156.07</v>
    <v>157.76</v>
    <v>157.6</v>
    <v>156.69999999999999</v>
    <v>156.13</v>
    <v>156.91</v>
    <v>156.41999999999999</v>
    <v>156.52000000000001</v>
    <v>158.68</v>
    <v>157.78</v>
    <v>165.16</v>
    <v>164.22</v>
    <v>164.03</v>
    <v>166.19</v>
    <v>167.74</v>
    <v>170.49</v>
    <v>173.13</v>
    <v>174.72</v>
    <v>175.38</v>
    <v>175.3</v>
    <v>175.11</v>
    <v>175.36</v>
    <v>174.93</v>
    <v>176.05</v>
    <v>178.62</v>
    <v>178.62</v>
    <v>178.52</v>
    <v>179.87</v>
    <v>179.14</v>
    <v>180.77</v>
    <v>178.45</v>
    <v>180.47</v>
    <v>182</v>
    <v>180.79</v>
    <v>181.35</v>
    <v>181.82</v>
    <v>181.86</v>
    <v>180.02</v>
    <v>180.48</v>
    <v>179.63</v>
    <v>177.46</v>
    <v>177.43</v>
    <v>175.98</v>
    <v>179.25</v>
    <v>180.13</v>
    <v>175.35</v>
    <v>175.05</v>
    <v>176.49</v>
    <v>175.65</v>
    <v>175.76</v>
    <v>176.12</v>
    <v>177.23</v>
    <v>178.04</v>
    <v>177.5</v>
    <v>175.7</v>
    <v>173.05</v>
    <v>174.23</v>
    <v>175.49</v>
    <v>172.72</v>
    <v>173.21</v>
    <v>173.67</v>
    <v>173.38</v>
    <v>175.73</v>
    <v>175.39</v>
    <v>176.88</v>
    <v>174.2</v>
    <v>173.92</v>
    <v>171.68</v>
    <v>170.2</v>
    <v>171.21</v>
    <v>169.13</v>
    <v>170.64</v>
    <v>172.6</v>
    <v>174.62</v>
    <v>176.07</v>
    <v>175.99</v>
    <v>176.91</v>
    <v>173.82</v>
    <v>175.78</v>
    <v>177.02</v>
    <v>176.82</v>
    <v>178.24</v>
    <v>175.45</v>
    <v>175.23</v>
    <v>178.76</v>
    <v>181.91</v>
    <v>181.3</v>
    <v>181.91</v>
    <v>179.57</v>
    <v>177.03</v>
    <v>177.68</v>
    <v>178.98</v>
    <v>178.46</v>
    <v>178.43</v>
    <v>178.4</v>
    <v>179.81</v>
    <v>178.75</v>
    <v>178.25</v>
    <v>181.61</v>
    <v>184.59</v>
    <v>183.69</v>
    <v>183.27</v>
    <v>184.86</v>
    <v>184.56</v>
    <v>185.94</v>
    <v>183.6</v>
    <v>185.09</v>
    <v>187.44</v>
    <v>189.81</v>
    <v>188.64</v>
    <v>185.82</v>
    <v>187.66</v>
    <v>191.15</v>
    <v>188.62</v>
    <v>187.61</v>
    <v>187.4</v>
    <v>188.81</v>
    <v>190.9</v>
    <v>185.37</v>
    <v>189.35</v>
    <v>193.03</v>
    <v>192.46</v>
    <v>191.6</v>
    <v>193.48</v>
    <v>196.29</v>
    <v>197.49</v>
    <v>195</v>
    <v>190.78</v>
    <v>192.17</v>
    <v>192.93</v>
    <v>195.15</v>
    <v>196.75</v>
    <v>199.76</v>
    <v>194.97</v>
    <v>195.06</v>
    <v>202.52</v>
    <v>203.64</v>
    <v>196.31</v>
    <v>198.9</v>
    <v>196.65</v>
    <v>199.29</v>
    <v>196.9</v>
    <v>193.14</v>
    <v>192.74</v>
    <v>194.35</v>
    <v>192.99</v>
    <v>189.43</v>
    <v>186.15</v>
    <v>191.29</v>
    <v>191.65</v>
    <v>189.61</v>
    <v>187.63</v>
    <v>183.59</v>
    <v>188.26</v>
    <v>187.75</v>
    <v>189.47</v>
    <v>183.56</v>
    <v>183.03</v>
    <v>183.35</v>
    <v>188.42</v>
    <v>190.44</v>
    <v>189.64</v>
    <v>191.13</v>
    <v>192.21</v>
    <v>195.05</v>
    <v>197.09</v>
    <v>199.73</v>
    <v>201.54</v>
    <v>204.27</v>
    <v>205.37</v>
    <v>204.68</v>
    <v>208.15</v>
    <v>209.61</v>
  </a>
  <a r="1" c="251">
    <v t="i">0</v>
    <v t="i">1</v>
    <v t="i">2</v>
    <v t="i">3</v>
    <v t="i">4</v>
    <v t="i">7</v>
    <v t="i">8</v>
    <v t="i">9</v>
    <v t="i">10</v>
    <v t="i">11</v>
    <v t="i">14</v>
    <v t="i">15</v>
    <v t="i">16</v>
    <v t="i">17</v>
    <v t="i">18</v>
    <v t="i">21</v>
    <v t="i">22</v>
    <v t="i">23</v>
    <v t="i">24</v>
    <v t="i">25</v>
    <v t="i">28</v>
    <v t="i">29</v>
    <v t="i">30</v>
    <v t="i">31</v>
    <v t="i">32</v>
    <v t="i">36</v>
    <v t="i">37</v>
    <v t="i">38</v>
    <v t="i">39</v>
    <v t="i">42</v>
    <v t="i">43</v>
    <v t="i">44</v>
    <v t="i">45</v>
    <v t="i">46</v>
    <v t="i">49</v>
    <v t="i">50</v>
    <v t="i">51</v>
    <v t="i">52</v>
    <v t="i">53</v>
    <v t="i">56</v>
    <v t="i">57</v>
    <v t="i">58</v>
    <v t="i">60</v>
    <v t="i">63</v>
    <v t="i">64</v>
    <v t="i">65</v>
    <v t="i">66</v>
    <v t="i">67</v>
    <v t="i">70</v>
    <v t="i">71</v>
    <v t="i">72</v>
    <v t="i">73</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134</v>
    <v t="i">135</v>
    <v t="i">136</v>
    <v t="i">137</v>
    <v t="i">140</v>
    <v t="i">141</v>
    <v t="i">142</v>
    <v t="i">143</v>
    <v t="i">144</v>
    <v t="i">147</v>
    <v t="i">148</v>
    <v t="i">149</v>
    <v t="i">150</v>
    <v t="i">151</v>
    <v t="i">154</v>
    <v t="i">155</v>
    <v t="i">156</v>
    <v t="i">157</v>
    <v t="i">158</v>
    <v t="i">161</v>
    <v t="i">162</v>
    <v t="i">163</v>
    <v t="i">164</v>
    <v t="i">165</v>
    <v t="i">168</v>
    <v t="i">169</v>
    <v t="i">170</v>
    <v t="i">171</v>
    <v t="i">172</v>
    <v t="i">175</v>
    <v t="i">176</v>
    <v t="i">177</v>
    <v t="i">178</v>
    <v t="i">179</v>
    <v t="i">182</v>
    <v t="i">183</v>
    <v t="i">184</v>
    <v t="i">185</v>
    <v t="i">186</v>
    <v t="i">189</v>
    <v t="i">190</v>
    <v t="i">191</v>
    <v t="i">192</v>
    <v t="i">193</v>
    <v t="i">196</v>
    <v t="i">197</v>
    <v t="i">198</v>
    <v t="i">199</v>
    <v t="i">200</v>
    <v t="i">203</v>
    <v t="i">204</v>
    <v t="i">205</v>
    <v t="i">206</v>
    <v t="i">207</v>
    <v t="i">210</v>
    <v t="i">211</v>
    <v t="i">212</v>
    <v t="i">213</v>
    <v t="i">214</v>
    <v t="i">217</v>
    <v t="i">218</v>
    <v t="i">219</v>
    <v t="i">221</v>
    <v t="i">224</v>
    <v t="i">225</v>
    <v t="i">226</v>
    <v t="i">227</v>
    <v t="i">228</v>
    <v t="i">231</v>
    <v t="i">232</v>
    <v t="i">233</v>
    <v t="i">234</v>
    <v t="i">235</v>
    <v t="i">238</v>
    <v t="i">239</v>
    <v t="i">240</v>
    <v t="i">241</v>
    <v t="i">242</v>
    <v t="i">245</v>
    <v t="i">246</v>
    <v t="i">247</v>
    <v t="i">249</v>
    <v t="i">252</v>
    <v t="i">253</v>
    <v t="i">254</v>
    <v t="i">256</v>
    <v t="i">259</v>
    <v t="i">260</v>
    <v t="i">261</v>
    <v t="i">262</v>
    <v t="i">263</v>
    <v t="i">266</v>
    <v t="i">267</v>
    <v t="i">268</v>
    <v t="i">269</v>
    <v t="i">270</v>
    <v t="i">274</v>
    <v t="i">275</v>
    <v t="i">276</v>
    <v t="i">277</v>
    <v t="i">280</v>
    <v t="i">281</v>
    <v t="i">282</v>
    <v t="i">283</v>
    <v t="i">284</v>
    <v t="i">287</v>
    <v t="i">288</v>
    <v t="i">289</v>
    <v t="i">290</v>
    <v t="i">291</v>
    <v t="i">294</v>
    <v t="i">295</v>
    <v t="i">296</v>
    <v t="i">297</v>
    <v t="i">298</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350</v>
    <v t="i">351</v>
    <v t="i">352</v>
    <v t="i">353</v>
    <v t="i">354</v>
    <v t="i">357</v>
    <v t="i">358</v>
    <v t="i">359</v>
    <v t="i">360</v>
    <v t="i">361</v>
    <v t="i">364</v>
  </a>
  <a r="1" c="251">
    <v>470276</v>
    <v>535123</v>
    <v>440021</v>
    <v>463075</v>
    <v>484292</v>
    <v>718878</v>
    <v>655155</v>
    <v>774045</v>
    <v>1363823</v>
    <v>879611</v>
    <v>516058</v>
    <v>652517</v>
    <v>968053</v>
    <v>2339731</v>
    <v>1802825</v>
    <v>1548304</v>
    <v>1448572</v>
    <v>920064</v>
    <v>645225</v>
    <v>632101</v>
    <v>502403</v>
    <v>739576</v>
    <v>444873</v>
    <v>478985</v>
    <v>393604</v>
    <v>1829639</v>
    <v>575085</v>
    <v>603313</v>
    <v>1271801</v>
    <v>517757</v>
    <v>591104</v>
    <v>682245</v>
    <v>450779</v>
    <v>447958</v>
    <v>870041</v>
    <v>473403</v>
    <v>686622</v>
    <v>502751</v>
    <v>346131</v>
    <v>694914</v>
    <v>410741</v>
    <v>387553</v>
    <v>1482226</v>
    <v>938435</v>
    <v>517635</v>
    <v>821289</v>
    <v>510506</v>
    <v>2029359</v>
    <v>801139</v>
    <v>1237349</v>
    <v>789119</v>
    <v>540398</v>
    <v>763069</v>
    <v>781989</v>
    <v>474673</v>
    <v>699715</v>
    <v>671419</v>
    <v>395828</v>
    <v>540173</v>
    <v>451977</v>
    <v>725180</v>
    <v>557073</v>
    <v>442113</v>
    <v>428269</v>
    <v>477379</v>
    <v>292155</v>
    <v>383828</v>
    <v>445459</v>
    <v>355115</v>
    <v>475608</v>
    <v>355436</v>
    <v>336641</v>
    <v>283627</v>
    <v>337737</v>
    <v>389807</v>
    <v>361778</v>
    <v>448539</v>
    <v>636418</v>
    <v>1090510</v>
    <v>868928</v>
    <v>553545</v>
    <v>544549</v>
    <v>392668</v>
    <v>405508</v>
    <v>317615</v>
    <v>218041</v>
    <v>425404</v>
    <v>354229</v>
    <v>365715</v>
    <v>365543</v>
    <v>291772</v>
    <v>320248</v>
    <v>294951</v>
    <v>277647</v>
    <v>416522</v>
    <v>338797</v>
    <v>298899</v>
    <v>261970</v>
    <v>357572</v>
    <v>316670</v>
    <v>210966</v>
    <v>368141</v>
    <v>296524</v>
    <v>343138</v>
    <v>382819</v>
    <v>1260438</v>
    <v>330366</v>
    <v>294263</v>
    <v>415743</v>
    <v>457340</v>
    <v>381365</v>
    <v>335625</v>
    <v>632007</v>
    <v>588537</v>
    <v>439232</v>
    <v>208335</v>
    <v>365532</v>
    <v>331409</v>
    <v>334653</v>
    <v>415236</v>
    <v>508807</v>
    <v>372037</v>
    <v>435575</v>
    <v>279552</v>
    <v>332866</v>
    <v>346129</v>
    <v>288108</v>
    <v>366979</v>
    <v>424219</v>
    <v>293971</v>
    <v>365952</v>
    <v>413492</v>
    <v>386367</v>
    <v>409457</v>
    <v>296101</v>
    <v>302671</v>
    <v>405381</v>
    <v>430245</v>
    <v>334425</v>
    <v>395696</v>
    <v>316603</v>
    <v>299000</v>
    <v>237292</v>
    <v>386978</v>
    <v>902868</v>
    <v>342962</v>
    <v>329956</v>
    <v>266347</v>
    <v>223425</v>
    <v>336440</v>
    <v>341368</v>
    <v>394308</v>
    <v>247619</v>
    <v>277751</v>
    <v>195861</v>
    <v>305309</v>
    <v>191612</v>
    <v>429020</v>
    <v>378313</v>
    <v>368098</v>
    <v>1142438</v>
    <v>1917126</v>
    <v>1097984</v>
    <v>635871</v>
    <v>585758</v>
    <v>1075018</v>
    <v>1003670</v>
    <v>579999</v>
    <v>482739</v>
    <v>1588174</v>
    <v>446034</v>
    <v>489122</v>
    <v>188619</v>
    <v>189939</v>
    <v>234856</v>
    <v>407786</v>
    <v>404702</v>
    <v>255884</v>
    <v>547756</v>
    <v>980366</v>
    <v>398627</v>
    <v>360786</v>
    <v>333410</v>
    <v>454371</v>
    <v>580931</v>
    <v>379716</v>
    <v>636441</v>
    <v>346946</v>
    <v>319564</v>
    <v>369927</v>
    <v>367434</v>
    <v>784691</v>
    <v>486190</v>
    <v>330571</v>
    <v>305694</v>
    <v>446336</v>
    <v>472738</v>
    <v>433645</v>
    <v>522004</v>
    <v>429151</v>
    <v>1497101</v>
    <v>1152982</v>
    <v>500208</v>
    <v>699449</v>
    <v>442626</v>
    <v>401029</v>
    <v>343662</v>
    <v>306964</v>
    <v>387927</v>
    <v>337788</v>
    <v>425303</v>
    <v>539164</v>
    <v>412497</v>
    <v>506441</v>
    <v>385920</v>
    <v>442309</v>
    <v>333495</v>
    <v>380723</v>
    <v>381121</v>
    <v>566907</v>
    <v>503110</v>
    <v>442614</v>
    <v>536882</v>
    <v>401925</v>
    <v>530705</v>
    <v>685430</v>
    <v>531610</v>
    <v>566817</v>
    <v>621902</v>
    <v>802425</v>
    <v>2770360</v>
    <v>552020</v>
    <v>560904</v>
    <v>617748</v>
    <v>540107</v>
    <v>440591</v>
    <v>482699</v>
    <v>946568</v>
    <v>725804</v>
    <v>496052</v>
    <v>573855</v>
    <v>650810</v>
    <v>601673</v>
    <v>398875</v>
    <v>291350</v>
    <v>282207</v>
    <v>419023</v>
    <v>396400</v>
    <v>487989</v>
    <v>492417</v>
    <v>432960</v>
  </a>
  <a r="1" c="251">
    <v>11.45</v>
    <v>12.01</v>
    <v>11.94</v>
    <v>12.46</v>
    <v>12.52</v>
    <v>13</v>
    <v>13.26</v>
    <v>13.44</v>
    <v>13</v>
    <v>13.71</v>
    <v>13.6</v>
    <v>13.96</v>
    <v>14.23</v>
    <v>17.96</v>
    <v>18.829999999999998</v>
    <v>19.46</v>
    <v>19.73</v>
    <v>19.73</v>
    <v>19.5</v>
    <v>19.18</v>
    <v>19.25</v>
    <v>19.66</v>
    <v>19.16</v>
    <v>19.04</v>
    <v>19.190000000000001</v>
    <v>20.149999999999999</v>
    <v>19.86</v>
    <v>19.54</v>
    <v>19.21</v>
    <v>19.04</v>
    <v>19.239999999999998</v>
    <v>20.13</v>
    <v>20.21</v>
    <v>19.899999999999999</v>
    <v>20.29</v>
    <v>19.66</v>
    <v>19.3</v>
    <v>19.2</v>
    <v>19.239999999999998</v>
    <v>20.059999999999999</v>
    <v>19.79</v>
    <v>19.38</v>
    <v>18.87</v>
    <v>19.809999999999999</v>
    <v>19.670000000000002</v>
    <v>19.489999999999998</v>
    <v>19.7</v>
    <v>20.03</v>
    <v>20.09</v>
    <v>21.31</v>
    <v>22.02</v>
    <v>22.25</v>
    <v>21.9</v>
    <v>21.84</v>
    <v>21.95</v>
    <v>22.44</v>
    <v>22.44</v>
    <v>22.05</v>
    <v>21.87</v>
    <v>21.61</v>
    <v>20.69</v>
    <v>20.54</v>
    <v>21.15</v>
    <v>21.18</v>
    <v>21.49</v>
    <v>21.01</v>
    <v>20.37</v>
    <v>20.43</v>
    <v>20.2</v>
    <v>19.77</v>
    <v>19.93</v>
    <v>19.78</v>
    <v>20.059999999999999</v>
    <v>20.399999999999999</v>
    <v>20.37</v>
    <v>20.7</v>
    <v>21.44</v>
    <v>21.5</v>
    <v>19.21</v>
    <v>19.100000000000001</v>
    <v>18.739999999999998</v>
    <v>19.02</v>
    <v>19.02</v>
    <v>18.850000000000001</v>
    <v>18.809999999999999</v>
    <v>19.100000000000001</v>
    <v>19.47</v>
    <v>19.8</v>
    <v>19.64</v>
    <v>19.059999999999999</v>
    <v>19.260000000000002</v>
    <v>19.05</v>
    <v>19.03</v>
    <v>18.93</v>
    <v>18.79</v>
    <v>18.809999999999999</v>
    <v>19.05</v>
    <v>18.399999999999999</v>
    <v>18.03</v>
    <v>18.5</v>
    <v>18.07</v>
    <v>18.420000000000002</v>
    <v>18.2</v>
    <v>17.93</v>
    <v>18.09</v>
    <v>18.02</v>
    <v>18.239999999999998</v>
    <v>18.579999999999998</v>
    <v>19.059999999999999</v>
    <v>18.87</v>
    <v>19.440000000000001</v>
    <v>19.329999999999998</v>
    <v>19.2</v>
    <v>19.829999999999998</v>
    <v>19.36</v>
    <v>18.8</v>
    <v>18.62</v>
    <v>19.02</v>
    <v>19.37</v>
    <v>19.59</v>
    <v>18.309999999999999</v>
    <v>19.18</v>
    <v>19.91</v>
    <v>19.53</v>
    <v>18.3</v>
    <v>18.23</v>
    <v>18.63</v>
    <v>18.12</v>
    <v>18.04</v>
    <v>18.13</v>
    <v>18.57</v>
    <v>17.38</v>
    <v>17.690000000000001</v>
    <v>17.22</v>
    <v>17.190000000000001</v>
    <v>17.34</v>
    <v>17.25</v>
    <v>16.91</v>
    <v>17.100000000000001</v>
    <v>16.54</v>
    <v>17.170000000000002</v>
    <v>17.61</v>
    <v>17.920000000000002</v>
    <v>18.309999999999999</v>
    <v>17.760000000000002</v>
    <v>17.78</v>
    <v>17.170000000000002</v>
    <v>17.09</v>
    <v>17.170000000000002</v>
    <v>17.02</v>
    <v>17.739999999999998</v>
    <v>17.82</v>
    <v>18.46</v>
    <v>18.46</v>
    <v>18.989999999999998</v>
    <v>19.07</v>
    <v>18.72</v>
    <v>19.78</v>
    <v>20.12</v>
    <v>20.28</v>
    <v>20.63</v>
    <v>17.78</v>
    <v>17.260000000000002</v>
    <v>17.7</v>
    <v>17.350000000000001</v>
    <v>18.53</v>
    <v>18.98</v>
    <v>18.95</v>
    <v>18.78</v>
    <v>19.61</v>
    <v>20.07</v>
    <v>20.53</v>
    <v>20.2</v>
    <v>20.059999999999999</v>
    <v>19.55</v>
    <v>20.02</v>
    <v>19.64</v>
    <v>19.86</v>
    <v>20.85</v>
    <v>22.68</v>
    <v>22.21</v>
    <v>22.47</v>
    <v>22.72</v>
    <v>22.5</v>
    <v>22.99</v>
    <v>23.57</v>
    <v>24.25</v>
    <v>23.29</v>
    <v>22.72</v>
    <v>23.45</v>
    <v>24.44</v>
    <v>25.57</v>
    <v>25.05</v>
    <v>25.62</v>
    <v>25.9</v>
    <v>25.83</v>
    <v>24.98</v>
    <v>25.14</v>
    <v>26.29</v>
    <v>25.52</v>
    <v>21.75</v>
    <v>21.75</v>
    <v>22.47</v>
    <v>22.2</v>
    <v>24.23</v>
    <v>23.54</v>
    <v>23.99</v>
    <v>22.84</v>
    <v>23.63</v>
    <v>22.63</v>
    <v>23.27</v>
    <v>23.69</v>
    <v>24.43</v>
    <v>24.86</v>
    <v>25.23</v>
    <v>25.2</v>
    <v>25.28</v>
    <v>24.68</v>
    <v>24.6</v>
    <v>23.85</v>
    <v>23.53</v>
    <v>23.89</v>
    <v>23.48</v>
    <v>22.98</v>
    <v>22.72</v>
    <v>21.98</v>
    <v>22.29</v>
    <v>23.03</v>
    <v>22.78</v>
    <v>21.99</v>
    <v>21.5</v>
    <v>22.8</v>
    <v>24.14</v>
    <v>24.51</v>
    <v>23.82</v>
    <v>23.05</v>
    <v>22.73</v>
    <v>23.35</v>
    <v>23.38</v>
    <v>22.73</v>
    <v>23.45</v>
    <v>22.94</v>
    <v>24.99</v>
    <v>25.14</v>
    <v>24.8</v>
    <v>24.95</v>
    <v>24.7</v>
    <v>24.81</v>
    <v>25.85</v>
    <v>25.32</v>
    <v>25.51</v>
  </a>
  <a r="1" c="251">
    <v>34928346</v>
    <v>42288918</v>
    <v>54428408</v>
    <v>42457109</v>
    <v>32694154</v>
    <v>37428007</v>
    <v>33792544</v>
    <v>40994596</v>
    <v>33569144</v>
    <v>41613021</v>
    <v>32829236</v>
    <v>29541838</v>
    <v>30928612</v>
    <v>41861747</v>
    <v>27222761</v>
    <v>44875064</v>
    <v>43232541</v>
    <v>42419547</v>
    <v>47379372</v>
    <v>49488135</v>
    <v>37915717</v>
    <v>33424251</v>
    <v>55594058</v>
    <v>29026187</v>
    <v>34875060</v>
    <v>36322007</v>
    <v>35673753</v>
    <v>28553008</v>
    <v>66537474</v>
    <v>28582598</v>
    <v>31320154</v>
    <v>30591708</v>
    <v>32036157</v>
    <v>37013001</v>
    <v>32414025</v>
    <v>32229081</v>
    <v>47873455</v>
    <v>30165422</v>
    <v>43281740</v>
    <v>34103646</v>
    <v>27489633</v>
    <v>37684730</v>
    <v>64591572</v>
    <v>42683615</v>
    <v>45437593</v>
    <v>33532391</v>
    <v>40127021</v>
    <v>56705021</v>
    <v>47921177</v>
    <v>48540877</v>
    <v>48003612</v>
    <v>21620278</v>
    <v>35567880</v>
    <v>88086497</v>
    <v>46227855</v>
    <v>44224992</v>
    <v>31653005</v>
    <v>36381172</v>
    <v>55144992</v>
    <v>61296628</v>
    <v>56480729</v>
    <v>48314188</v>
    <v>32199673</v>
    <v>34749381</v>
    <v>31380097</v>
    <v>42967619</v>
    <v>24461228</v>
    <v>20590380</v>
    <v>26216484</v>
    <v>32265850</v>
    <v>40016313</v>
    <v>52310438</v>
    <v>31038904</v>
    <v>36798320</v>
    <v>27916767</v>
    <v>30609882</v>
    <v>37131557</v>
    <v>35559383</v>
    <v>35484466</v>
    <v>29465062</v>
    <v>21073786</v>
    <v>26276902</v>
    <v>43125120</v>
    <v>33783443</v>
    <v>30822222</v>
    <v>28713163</v>
    <v>45078911</v>
    <v>34715749</v>
    <v>40609302</v>
    <v>42428187</v>
    <v>32949399</v>
    <v>32496470</v>
    <v>52719782</v>
    <v>38344193</v>
    <v>34796896</v>
    <v>40063322</v>
    <v>48033135</v>
    <v>40060147</v>
    <v>31706338</v>
    <v>28055187</v>
    <v>27851108</v>
    <v>29043572</v>
    <v>31624444</v>
    <v>38337889</v>
    <v>35246871</v>
    <v>98970669</v>
    <v>27467951</v>
    <v>28278182</v>
    <v>27010386</v>
    <v>22957932</v>
    <v>20025763</v>
    <v>23700991</v>
    <v>29944960</v>
    <v>27709125</v>
    <v>22757213</v>
    <v>24565717</v>
    <v>25386321</v>
    <v>24107321</v>
    <v>24014168</v>
    <v>21816912</v>
    <v>31831921</v>
    <v>34462800</v>
    <v>42462595</v>
    <v>69992192</v>
    <v>49027707</v>
    <v>48915375</v>
    <v>25785985</v>
    <v>27303428</v>
    <v>34954973</v>
    <v>26028810</v>
    <v>38923897</v>
    <v>27345801</v>
    <v>29575215</v>
    <v>29158770</v>
    <v>37548588</v>
    <v>39295717</v>
    <v>31252323</v>
    <v>47226578</v>
    <v>54353588</v>
    <v>55296039</v>
    <v>40537658</v>
    <v>26094576</v>
    <v>22244345</v>
    <v>40536695</v>
    <v>37716055</v>
    <v>32363064</v>
    <v>35546828</v>
    <v>35189535</v>
    <v>28112345</v>
    <v>36661608</v>
    <v>43867164</v>
    <v>52852083</v>
    <v>41310130</v>
    <v>32045585</v>
    <v>18920782</v>
    <v>30536532</v>
    <v>46073513</v>
    <v>37134402</v>
    <v>38529590</v>
    <v>33986515</v>
    <v>34386644</v>
    <v>47189323</v>
    <v>54424439</v>
    <v>35686915</v>
    <v>40539413</v>
    <v>32881254</v>
    <v>32931915</v>
    <v>35304082</v>
    <v>87452699</v>
    <v>73001930</v>
    <v>33408769</v>
    <v>22274605</v>
    <v>13634407</v>
    <v>15259444</v>
    <v>21040098</v>
    <v>17427630</v>
    <v>16293026</v>
    <v>25503555</v>
    <v>36096600</v>
    <v>31791923</v>
    <v>49695546</v>
    <v>30933669</v>
    <v>30768757</v>
    <v>45860555</v>
    <v>43542232</v>
    <v>84750044</v>
    <v>51018273</v>
    <v>52178429</v>
    <v>49172654</v>
    <v>36339971</v>
    <v>31229211</v>
    <v>34553499</v>
    <v>27728400</v>
    <v>26494298</v>
    <v>35030158</v>
    <v>35200456</v>
    <v>34549130</v>
    <v>34624464</v>
    <v>41208444</v>
    <v>54522543</v>
    <v>32959672</v>
    <v>42467989</v>
    <v>31968377</v>
    <v>48304748</v>
    <v>48973507</v>
    <v>55481595</v>
    <v>31772096</v>
    <v>35542357</v>
    <v>30698902</v>
    <v>47148587</v>
    <v>33552006</v>
    <v>50602478</v>
    <v>53062697</v>
    <v>41375022</v>
    <v>52418498</v>
    <v>77728699</v>
    <v>40595188</v>
    <v>51242938</v>
    <v>34208496</v>
    <v>39073943</v>
    <v>47015993</v>
    <v>62752798</v>
    <v>50271136</v>
    <v>42185812</v>
    <v>58354534</v>
    <v>45473073</v>
    <v>38055608</v>
    <v>33427815</v>
    <v>40251811</v>
    <v>38601377</v>
    <v>78060881</v>
    <v>42333241</v>
    <v>39804103</v>
    <v>29988292</v>
    <v>32502597</v>
    <v>36781861</v>
    <v>43375850</v>
    <v>49060591</v>
    <v>32947016</v>
    <v>27548242</v>
    <v>28507199</v>
    <v>28473178</v>
    <v>36473548</v>
    <v>32007987</v>
    <v>25225326</v>
    <v>27835292</v>
    <v>40178472</v>
    <v>63838206</v>
    <v>35206733</v>
    <v>43484724</v>
    <v>43999191</v>
  </a>
  <a r="1" c="251">
    <v>36.92</v>
    <v>38.32</v>
    <v>38.75</v>
    <v>39.58</v>
    <v>39.69</v>
    <v>39.78</v>
    <v>39.99</v>
    <v>39.880000000000003</v>
    <v>40.17</v>
    <v>41.07</v>
    <v>41.12</v>
    <v>40.840000000000003</v>
    <v>40.93</v>
    <v>41.6</v>
    <v>41.79</v>
    <v>43.36</v>
    <v>44.28</v>
    <v>44.74</v>
    <v>44.38</v>
    <v>44.69</v>
    <v>44.77</v>
    <v>44.69</v>
    <v>43.25</v>
    <v>43.31</v>
    <v>43.2</v>
    <v>44.22</v>
    <v>44.06</v>
    <v>44.24</v>
    <v>44.13</v>
    <v>44.08</v>
    <v>44.65</v>
    <v>44.36</v>
    <v>44.38</v>
    <v>44.97</v>
    <v>44.87</v>
    <v>45.09</v>
    <v>44.73</v>
    <v>44.62</v>
    <v>44.09</v>
    <v>44.41</v>
    <v>44.23</v>
    <v>45.06</v>
    <v>45.5</v>
    <v>46.3</v>
    <v>46.66</v>
    <v>46.85</v>
    <v>47.46</v>
    <v>47.12</v>
    <v>47.32</v>
    <v>48.15</v>
    <v>48.71</v>
    <v>48.93</v>
    <v>48.66</v>
    <v>47.15</v>
    <v>46.84</v>
    <v>46.97</v>
    <v>46.73</v>
    <v>47.07</v>
    <v>46.15</v>
    <v>46.03</v>
    <v>47.02</v>
    <v>47.32</v>
    <v>47.48</v>
    <v>47.77</v>
    <v>48.14</v>
    <v>48.39</v>
    <v>48.45</v>
    <v>48.23</v>
    <v>47.95</v>
    <v>47.96</v>
    <v>47.27</v>
    <v>45.66</v>
    <v>45.85</v>
    <v>45.56</v>
    <v>45.42</v>
    <v>44.92</v>
    <v>46.01</v>
    <v>46.16</v>
    <v>47.5</v>
    <v>47.24</v>
    <v>47.71</v>
    <v>46.94</v>
    <v>47.92</v>
    <v>48.08</v>
    <v>48.35</v>
    <v>48.26</v>
    <v>49.48</v>
    <v>49.48</v>
    <v>50.25</v>
    <v>50.38</v>
    <v>50.49</v>
    <v>50.74</v>
    <v>50.42</v>
    <v>50.06</v>
    <v>50.62</v>
    <v>49.77</v>
    <v>49.46</v>
    <v>50.29</v>
    <v>50.13</v>
    <v>50.75</v>
    <v>50.58</v>
    <v>50.59</v>
    <v>50.66</v>
    <v>51.4</v>
    <v>52.13</v>
    <v>52.25</v>
    <v>51.92</v>
    <v>51.7</v>
    <v>51.7</v>
    <v>51.85</v>
    <v>52.21</v>
    <v>52.42</v>
    <v>51.59</v>
    <v>50.68</v>
    <v>50.48</v>
    <v>50.64</v>
    <v>50.39</v>
    <v>50.29</v>
    <v>49.84</v>
    <v>49.79</v>
    <v>48.65</v>
    <v>48.86</v>
    <v>50.09</v>
    <v>52.28</v>
    <v>50.44</v>
    <v>51.28</v>
    <v>52.04</v>
    <v>51.52</v>
    <v>51.1</v>
    <v>51.76</v>
    <v>52.57</v>
    <v>53.02</v>
    <v>52.87</v>
    <v>52.58</v>
    <v>53.03</v>
    <v>53.45</v>
    <v>53.56</v>
    <v>53.54</v>
    <v>52.45</v>
    <v>53.29</v>
    <v>53.2</v>
    <v>53.42</v>
    <v>53.63</v>
    <v>54.11</v>
    <v>52.87</v>
    <v>52.61</v>
    <v>51.48</v>
    <v>51.64</v>
    <v>52.02</v>
    <v>51</v>
    <v>51.56</v>
    <v>51.93</v>
    <v>52.48</v>
    <v>52.99</v>
    <v>53.65</v>
    <v>53.24</v>
    <v>53.19</v>
    <v>54.09</v>
    <v>54.16</v>
    <v>53.95</v>
    <v>53.9</v>
    <v>53.54</v>
    <v>54.08</v>
    <v>54.56</v>
    <v>55.14</v>
    <v>55.33</v>
    <v>54.81</v>
    <v>54.55</v>
    <v>54.26</v>
    <v>55.27</v>
    <v>55.88</v>
    <v>55.97</v>
    <v>56.25</v>
    <v>56.17</v>
    <v>55.35</v>
    <v>55.28</v>
    <v>55</v>
    <v>55.95</v>
    <v>56.89</v>
    <v>57.25</v>
    <v>55.64</v>
    <v>56.18</v>
    <v>55.85</v>
    <v>55.19</v>
    <v>54.54</v>
    <v>52.48</v>
    <v>52.59</v>
    <v>52.97</v>
    <v>52.1</v>
    <v>52.07</v>
    <v>52.45</v>
    <v>51.72</v>
    <v>52.02</v>
    <v>52.17</v>
    <v>51.81</v>
    <v>53.08</v>
    <v>53.2</v>
    <v>54.03</v>
    <v>54.45</v>
    <v>55.38</v>
    <v>54.94</v>
    <v>56.53</v>
    <v>56.41</v>
    <v>55.39</v>
    <v>53.85</v>
    <v>52.52</v>
    <v>52.55</v>
    <v>52.74</v>
    <v>53.36</v>
    <v>52.77</v>
    <v>53.06</v>
    <v>51.07</v>
    <v>50.41</v>
    <v>51.69</v>
    <v>52.3</v>
    <v>49.83</v>
    <v>49.81</v>
    <v>49.97</v>
    <v>50.3</v>
    <v>49.81</v>
    <v>48.64</v>
    <v>47.9</v>
    <v>48.56</v>
    <v>48.52</v>
    <v>47.13</v>
    <v>46.72</v>
    <v>47.06</v>
    <v>47.28</v>
    <v>46.83</v>
    <v>47.01</v>
    <v>47.16</v>
    <v>47.52</v>
    <v>48.14</v>
    <v>48.75</v>
    <v>48.24</v>
    <v>46.97</v>
    <v>47.23</v>
    <v>48.75</v>
    <v>49.27</v>
    <v>49.38</v>
    <v>50.06</v>
    <v>50.28</v>
    <v>51.88</v>
    <v>52.71</v>
    <v>52.54</v>
    <v>53.35</v>
    <v>53.35</v>
    <v>54.32</v>
    <v>53.51</v>
    <v>53.91</v>
    <v>53.95</v>
  </a>
  <a r="1" c="251">
    <v>494179</v>
    <v>496331</v>
    <v>701236</v>
    <v>584112</v>
    <v>576152</v>
    <v>724642</v>
    <v>711152</v>
    <v>833264</v>
    <v>972397</v>
    <v>832010</v>
    <v>1244508</v>
    <v>1411085</v>
    <v>962264</v>
    <v>884113</v>
    <v>1232083</v>
    <v>1103322</v>
    <v>786679</v>
    <v>718767</v>
    <v>818255</v>
    <v>770576</v>
    <v>708480</v>
    <v>682690</v>
    <v>1054790</v>
    <v>380665</v>
    <v>328977</v>
    <v>991981</v>
    <v>830788</v>
    <v>783195</v>
    <v>1429155</v>
    <v>619720</v>
    <v>710034</v>
    <v>844681</v>
    <v>527398</v>
    <v>676820</v>
    <v>678118</v>
    <v>391500</v>
    <v>396358</v>
    <v>337241</v>
    <v>523087</v>
    <v>411193</v>
    <v>425200</v>
    <v>505192</v>
    <v>184970</v>
    <v>960567</v>
    <v>814355</v>
    <v>423402</v>
    <v>555009</v>
    <v>587802</v>
    <v>758849</v>
    <v>772510</v>
    <v>781047</v>
    <v>293168</v>
    <v>186489</v>
    <v>602515</v>
    <v>661046</v>
    <v>330497</v>
    <v>528624</v>
    <v>540594</v>
    <v>388442</v>
    <v>1030442</v>
    <v>960107</v>
    <v>1273715</v>
    <v>505217</v>
    <v>533443</v>
    <v>683904</v>
    <v>791240</v>
    <v>512871</v>
    <v>383401</v>
    <v>402370</v>
    <v>1021221</v>
    <v>479596</v>
    <v>579848</v>
    <v>688864</v>
    <v>686763</v>
    <v>564027</v>
    <v>481843</v>
    <v>298216</v>
    <v>585929</v>
    <v>346885</v>
    <v>353703</v>
    <v>356897</v>
    <v>910483</v>
    <v>306109</v>
    <v>281893</v>
    <v>745706</v>
    <v>559525</v>
    <v>953278</v>
    <v>699643</v>
    <v>2008771</v>
    <v>722074</v>
    <v>453017</v>
    <v>470646</v>
    <v>786759</v>
    <v>560492</v>
    <v>767553</v>
    <v>801766</v>
    <v>440880</v>
    <v>590391</v>
    <v>544400</v>
    <v>356486</v>
    <v>280968</v>
    <v>1648461</v>
    <v>673329</v>
    <v>2010998</v>
    <v>390605</v>
    <v>4960739</v>
    <v>2888234</v>
    <v>471809</v>
    <v>720001</v>
    <v>943814</v>
    <v>613771</v>
    <v>419782</v>
    <v>575738</v>
    <v>505359</v>
    <v>761458</v>
    <v>590833</v>
    <v>452507</v>
    <v>513286</v>
    <v>688325</v>
    <v>414009</v>
    <v>537303</v>
    <v>495449</v>
    <v>422813</v>
    <v>446255</v>
    <v>883926</v>
    <v>757374</v>
    <v>791027</v>
    <v>768352</v>
    <v>1102010</v>
    <v>944018</v>
    <v>2468755</v>
    <v>252842</v>
    <v>815873</v>
    <v>1073667</v>
    <v>744732</v>
    <v>500832</v>
    <v>1871850</v>
    <v>961672</v>
    <v>1629365</v>
    <v>949864</v>
    <v>525653</v>
    <v>663502</v>
    <v>872904</v>
    <v>874466</v>
    <v>2062747</v>
    <v>755266</v>
    <v>817541</v>
    <v>434237</v>
    <v>514177</v>
    <v>488182</v>
    <v>2073975</v>
    <v>1038709</v>
    <v>654135</v>
    <v>204415</v>
    <v>1249984</v>
    <v>635883</v>
    <v>709710</v>
    <v>494721</v>
    <v>898754</v>
    <v>854647</v>
    <v>1040193</v>
    <v>554154</v>
    <v>570587</v>
    <v>607483</v>
    <v>2741002</v>
    <v>3463476</v>
    <v>1011531</v>
    <v>3455212</v>
    <v>814153</v>
    <v>1934389</v>
    <v>3164661</v>
    <v>531319</v>
    <v>195959</v>
    <v>608064</v>
    <v>537941</v>
    <v>333889</v>
    <v>391092</v>
    <v>644398</v>
    <v>933424</v>
    <v>897719</v>
    <v>1118228</v>
    <v>492756</v>
    <v>619451</v>
    <v>599490</v>
    <v>384468</v>
    <v>462767</v>
    <v>577227</v>
    <v>290588</v>
    <v>610691</v>
    <v>509321</v>
    <v>765872</v>
    <v>695540</v>
    <v>759303</v>
    <v>948915</v>
    <v>523896</v>
    <v>1606735</v>
    <v>735878</v>
    <v>675839</v>
    <v>517599</v>
    <v>724908</v>
    <v>852830</v>
    <v>830105</v>
    <v>417615</v>
    <v>584410</v>
    <v>1101626</v>
    <v>1583863</v>
    <v>830359</v>
    <v>886307</v>
    <v>645110</v>
    <v>401440</v>
    <v>519395</v>
    <v>545182</v>
    <v>1033932</v>
    <v>664111</v>
    <v>671164</v>
    <v>2198288</v>
    <v>1159695</v>
    <v>1139405</v>
    <v>1001865</v>
    <v>849914</v>
    <v>1468141</v>
    <v>5555077</v>
    <v>911254</v>
    <v>2205461</v>
    <v>1097022</v>
    <v>894096</v>
    <v>5208842</v>
    <v>568375</v>
    <v>613912</v>
    <v>2642443</v>
    <v>1772918</v>
    <v>904693</v>
    <v>566704</v>
    <v>893134</v>
    <v>1005166</v>
    <v>1045820</v>
    <v>744296</v>
    <v>1199470</v>
    <v>854762</v>
    <v>1193966</v>
    <v>1193928</v>
    <v>1340767</v>
    <v>1164842</v>
    <v>798201</v>
    <v>533634</v>
    <v>612476</v>
    <v>1010654</v>
    <v>858591</v>
    <v>1533069</v>
    <v>1193255</v>
    <v>649686</v>
  </a>
  <a r="1" c="251">
    <v>39.479999999999997</v>
    <v>39.67</v>
    <v>39.75</v>
    <v>39.93</v>
    <v>40.03</v>
    <v>40.409999999999997</v>
    <v>40.69</v>
    <v>40.799999999999997</v>
    <v>40.22</v>
    <v>40.200000000000003</v>
    <v>38.99</v>
    <v>38.74</v>
    <v>38.94</v>
    <v>38.74</v>
    <v>37.96</v>
    <v>37.46</v>
    <v>37.479999999999997</v>
    <v>37.54</v>
    <v>37.29</v>
    <v>37.270000000000003</v>
    <v>37.51</v>
    <v>38.04</v>
    <v>37.630000000000003</v>
    <v>37.909999999999997</v>
    <v>38.020000000000003</v>
    <v>38.46</v>
    <v>37.950000000000003</v>
    <v>38.46</v>
    <v>38.340000000000003</v>
    <v>38.520000000000003</v>
    <v>38.85</v>
    <v>38.43</v>
    <v>38.26</v>
    <v>38.130000000000003</v>
    <v>38.25</v>
    <v>38.33</v>
    <v>38.659999999999997</v>
    <v>38.799999999999997</v>
    <v>38.74</v>
    <v>38.369999999999997</v>
    <v>38.68</v>
    <v>38.31</v>
    <v>38.25</v>
    <v>38.47</v>
    <v>38.46</v>
    <v>38.32</v>
    <v>38.26</v>
    <v>38.380000000000003</v>
    <v>38.590000000000003</v>
    <v>39.53</v>
    <v>38.950000000000003</v>
    <v>38.39</v>
    <v>38.42</v>
    <v>38.409999999999997</v>
    <v>38.840000000000003</v>
    <v>38.53</v>
    <v>39.03</v>
    <v>39.200000000000003</v>
    <v>39.58</v>
    <v>40.11</v>
    <v>40.049999999999997</v>
    <v>40.74</v>
    <v>40.86</v>
    <v>40.369999999999997</v>
    <v>40.17</v>
    <v>40.35</v>
    <v>40.26</v>
    <v>40.22</v>
    <v>40.159999999999997</v>
    <v>40.65</v>
    <v>40.99</v>
    <v>40.909999999999997</v>
    <v>41.28</v>
    <v>40.799999999999997</v>
    <v>41.16</v>
    <v>41.3</v>
    <v>41.27</v>
    <v>41.77</v>
    <v>41.57</v>
    <v>41.57</v>
    <v>41.91</v>
    <v>41.73</v>
    <v>41.62</v>
    <v>41.58</v>
    <v>41.57</v>
    <v>41.93</v>
    <v>42.17</v>
    <v>41.45</v>
    <v>40.4</v>
    <v>40.5</v>
    <v>40.82</v>
    <v>40.71</v>
    <v>41.8</v>
    <v>41.1</v>
    <v>41.27</v>
    <v>41.46</v>
    <v>41.35</v>
    <v>41.55</v>
    <v>41.73</v>
    <v>41.42</v>
    <v>41.76</v>
    <v>41.94</v>
    <v>41.06</v>
    <v>41.34</v>
    <v>41.42</v>
    <v>42.56</v>
    <v>42.42</v>
    <v>42.67</v>
    <v>42.98</v>
    <v>43.44</v>
    <v>42.51</v>
    <v>42.74</v>
    <v>42.88</v>
    <v>43.11</v>
    <v>43.1</v>
    <v>43.44</v>
    <v>43.2</v>
    <v>42.7</v>
    <v>42.68</v>
    <v>42.31</v>
    <v>42.62</v>
    <v>42.38</v>
    <v>42.27</v>
    <v>42.13</v>
    <v>42.47</v>
    <v>42.6</v>
    <v>42.67</v>
    <v>43.12</v>
    <v>42.81</v>
    <v>42.69</v>
    <v>42.35</v>
    <v>42.2</v>
    <v>41.77</v>
    <v>40.86</v>
    <v>41.17</v>
    <v>41.02</v>
    <v>40.270000000000003</v>
    <v>40.549999999999997</v>
    <v>41.19</v>
    <v>42.53</v>
    <v>42.01</v>
    <v>42.29</v>
    <v>42.83</v>
    <v>42.55</v>
    <v>43.47</v>
    <v>43.56</v>
    <v>43.95</v>
    <v>44.1</v>
    <v>43.4</v>
    <v>43.47</v>
    <v>43.19</v>
    <v>42.7</v>
    <v>42.51</v>
    <v>42.41</v>
    <v>43.12</v>
    <v>43.35</v>
    <v>43.2</v>
    <v>42.97</v>
    <v>42.24</v>
    <v>42.23</v>
    <v>41.92</v>
    <v>41.34</v>
    <v>41.34</v>
    <v>41.48</v>
    <v>41.79</v>
    <v>41.89</v>
    <v>40.630000000000003</v>
    <v>41.21</v>
    <v>41.48</v>
    <v>41.08</v>
    <v>41.34</v>
    <v>42.17</v>
    <v>42.17</v>
    <v>42.08</v>
    <v>41.94</v>
    <v>41.85</v>
    <v>42.18</v>
    <v>41.57</v>
    <v>40.82</v>
    <v>40.6</v>
    <v>41.03</v>
    <v>40.49</v>
    <v>40.409999999999997</v>
    <v>40.64</v>
    <v>40.78</v>
    <v>40.950000000000003</v>
    <v>41.05</v>
    <v>40.94</v>
    <v>41.58</v>
    <v>41</v>
    <v>40.75</v>
    <v>40.89</v>
    <v>41.58</v>
    <v>41.86</v>
    <v>41.99</v>
    <v>41.15</v>
    <v>41.07</v>
    <v>41.63</v>
    <v>42.08</v>
    <v>42.6</v>
    <v>43.14</v>
    <v>42.21</v>
    <v>42.19</v>
    <v>42.2</v>
    <v>42.77</v>
    <v>44.38</v>
    <v>44.95</v>
    <v>44.86</v>
    <v>45</v>
    <v>45.1</v>
    <v>45.18</v>
    <v>45.4</v>
    <v>45.66</v>
    <v>45.5</v>
    <v>45.8</v>
    <v>46.36</v>
    <v>46.7</v>
    <v>47.57</v>
    <v>46.72</v>
    <v>47.67</v>
    <v>46.28</v>
    <v>47.78</v>
    <v>47.24</v>
    <v>47.32</v>
    <v>47.71</v>
    <v>48.44</v>
    <v>48.17</v>
    <v>48.02</v>
    <v>48.4</v>
    <v>48.12</v>
    <v>47.91</v>
    <v>47.5</v>
    <v>47.84</v>
    <v>47.91</v>
    <v>48.08</v>
    <v>48.55</v>
    <v>48.73</v>
    <v>48.25</v>
    <v>47.83</v>
    <v>48.67</v>
    <v>49.19</v>
    <v>49.29</v>
    <v>48.92</v>
    <v>48.68</v>
    <v>48.84</v>
    <v>48.54</v>
    <v>47.86</v>
    <v>48.67</v>
    <v>49.52</v>
    <v>48.89</v>
    <v>49.24</v>
  </a>
  <a r="1" c="251">
    <v>5158.2</v>
    <v>5287.76</v>
    <v>5375.86</v>
    <v>5484.77</v>
    <v>5525.21</v>
    <v>5528.75</v>
    <v>5560.83</v>
    <v>5569.06</v>
    <v>5604.14</v>
    <v>5686.67</v>
    <v>5650.38</v>
    <v>5606.91</v>
    <v>5631.28</v>
    <v>5663.94</v>
    <v>5659.91</v>
    <v>5844.19</v>
    <v>5886.55</v>
    <v>5892.58</v>
    <v>5916.93</v>
    <v>5958.38</v>
    <v>5963.6</v>
    <v>5940.46</v>
    <v>5844.61</v>
    <v>5842.01</v>
    <v>5802.82</v>
    <v>5921.54</v>
    <v>5888.55</v>
    <v>5912.17</v>
    <v>5911.69</v>
    <v>5935.94</v>
    <v>5970.37</v>
    <v>5970.81</v>
    <v>5939.3</v>
    <v>6000.36</v>
    <v>6005.88</v>
    <v>6038.81</v>
    <v>6022.24</v>
    <v>6045.26</v>
    <v>5976.97</v>
    <v>6033.11</v>
    <v>5982.72</v>
    <v>5980.87</v>
    <v>5967.84</v>
    <v>6025.17</v>
    <v>6092.18</v>
    <v>6092.16</v>
    <v>6141.02</v>
    <v>6173.07</v>
    <v>6204.95</v>
    <v>6198.01</v>
    <v>6227.42</v>
    <v>6279.35</v>
    <v>6229.98</v>
    <v>6225.52</v>
    <v>6263.26</v>
    <v>6280.46</v>
    <v>6259.75</v>
    <v>6268.56</v>
    <v>6243.76</v>
    <v>6263.7</v>
    <v>6297.36</v>
    <v>6296.79</v>
    <v>6305.6</v>
    <v>6309.62</v>
    <v>6358.91</v>
    <v>6363.35</v>
    <v>6388.64</v>
    <v>6389.77</v>
    <v>6370.86</v>
    <v>6362.9</v>
    <v>6339.39</v>
    <v>6238.01</v>
    <v>6329.94</v>
    <v>6299.19</v>
    <v>6345.06</v>
    <v>6340</v>
    <v>6389.45</v>
    <v>6373.45</v>
    <v>6445.76</v>
    <v>6466.58</v>
    <v>6468.54</v>
    <v>6449.8</v>
    <v>6449.15</v>
    <v>6411.37</v>
    <v>6395.78</v>
    <v>6370.17</v>
    <v>6466.91</v>
    <v>6439.32</v>
    <v>6465.94</v>
    <v>6481.4</v>
    <v>6501.86</v>
    <v>6460.26</v>
    <v>6415.54</v>
    <v>6448.26</v>
    <v>6502.08</v>
    <v>6481.5</v>
    <v>6495.15</v>
    <v>6512.61</v>
    <v>6532.04</v>
    <v>6587.47</v>
    <v>6584.29</v>
    <v>6615.28</v>
    <v>6606.76</v>
    <v>6600.35</v>
    <v>6631.96</v>
    <v>6664.36</v>
    <v>6693.75</v>
    <v>6656.92</v>
    <v>6637.97</v>
    <v>6604.72</v>
    <v>6643.7</v>
    <v>6661.21</v>
    <v>6688.46</v>
    <v>6711.2</v>
    <v>6715.35</v>
    <v>6715.79</v>
    <v>6740.28</v>
    <v>6714.59</v>
    <v>6753.72</v>
    <v>6735.11</v>
    <v>6552.51</v>
    <v>6654.72</v>
    <v>6644.31</v>
    <v>6671.06</v>
    <v>6629.07</v>
    <v>6664.01</v>
    <v>6735.13</v>
    <v>6735.35</v>
    <v>6699.4</v>
    <v>6738.44</v>
    <v>6791.69</v>
    <v>6875.16</v>
    <v>6890.89</v>
    <v>6890.59</v>
    <v>6822.34</v>
    <v>6840.2</v>
    <v>6851.97</v>
    <v>6771.55</v>
    <v>6796.29</v>
    <v>6720.32</v>
    <v>6728.8</v>
    <v>6832.43</v>
    <v>6846.61</v>
    <v>6850.92</v>
    <v>6737.49</v>
    <v>6734.11</v>
    <v>6672.41</v>
    <v>6617.32</v>
    <v>6642.16</v>
    <v>6538.76</v>
    <v>6602.99</v>
    <v>6705.12</v>
    <v>6765.88</v>
    <v>6812.61</v>
    <v>6849.09</v>
    <v>6812.63</v>
    <v>6829.37</v>
    <v>6849.72</v>
    <v>6857.12</v>
    <v>6870.4</v>
    <v>6846.51</v>
    <v>6840.51</v>
    <v>6886.68</v>
    <v>6901</v>
    <v>6827.41</v>
    <v>6816.51</v>
    <v>6800.26</v>
    <v>6721.43</v>
    <v>6774.76</v>
    <v>6834.5</v>
    <v>6878.49</v>
    <v>6909.79</v>
    <v>6932.05</v>
    <v>6929.94</v>
    <v>6905.74</v>
    <v>6896.24</v>
    <v>6845.5</v>
    <v>6858.47</v>
    <v>6902.05</v>
    <v>6944.82</v>
    <v>6920.93</v>
    <v>6921.46</v>
    <v>6966.28</v>
    <v>6977.27</v>
    <v>6963.74</v>
    <v>6926.6</v>
    <v>6944.47</v>
    <v>6940.01</v>
    <v>6796.86</v>
    <v>6875.62</v>
    <v>6913.35</v>
    <v>6915.61</v>
    <v>6950.23</v>
    <v>6978.6</v>
    <v>6978.03</v>
    <v>6969.01</v>
    <v>6939.03</v>
    <v>6976.44</v>
    <v>6917.81</v>
    <v>6882.72</v>
    <v>6798.4</v>
    <v>6932.3</v>
    <v>6964.82</v>
    <v>6941.81</v>
    <v>6941.47</v>
    <v>6832.76</v>
    <v>6836.17</v>
    <v>6843.22</v>
    <v>6881.31</v>
    <v>6861.89</v>
    <v>6909.51</v>
    <v>6837.75</v>
    <v>6890.07</v>
    <v>6946.13</v>
    <v>6908.86</v>
    <v>6878.88</v>
    <v>6881.62</v>
    <v>6816.63</v>
    <v>6869.5</v>
    <v>6830.71</v>
    <v>6740.02</v>
    <v>6795.99</v>
    <v>6781.48</v>
    <v>6775.8</v>
    <v>6672.62</v>
    <v>6632.19</v>
    <v>6699.38</v>
    <v>6716.09</v>
    <v>6624.7</v>
    <v>6606.49</v>
    <v>6506.48</v>
    <v>6581</v>
    <v>6556.37</v>
    <v>6591.9</v>
    <v>6477.16</v>
    <v>6368.85</v>
    <v>6343.72</v>
    <v>6528.52</v>
    <v>6575.32</v>
    <v>6582.69</v>
    <v>6611.83</v>
    <v>6616.85</v>
    <v>6782.81</v>
    <v>6824.66</v>
    <v>6816.89</v>
    <v>6886.24</v>
    <v>6967.38</v>
    <v>7022.95</v>
    <v>7041.28</v>
    <v>7126.06</v>
    <v>7109.14</v>
  </a>
  <a r="1" c="251">
    <v>56484</v>
    <v>57045</v>
    <v>86911</v>
    <v>16944</v>
    <v>34676</v>
    <v>25192</v>
    <v>35669</v>
    <v>52247</v>
    <v>38653</v>
    <v>22564</v>
    <v>24712</v>
    <v>16315</v>
    <v>31509</v>
    <v>22222</v>
    <v>38138</v>
    <v>22338</v>
    <v>17621</v>
    <v>15518</v>
    <v>26081</v>
    <v>20099</v>
    <v>32468</v>
    <v>14174</v>
    <v>26252</v>
    <v>37748</v>
    <v>9223</v>
    <v>17861</v>
    <v>19193</v>
    <v>11526</v>
    <v>23749</v>
    <v>41587</v>
    <v>17952</v>
    <v>16652</v>
    <v>22570</v>
    <v>23339</v>
    <v>21904</v>
    <v>16880</v>
    <v>20779</v>
    <v>17544</v>
    <v>22651</v>
    <v>36453</v>
    <v>16821</v>
    <v>12685</v>
    <v>9089</v>
    <v>21163</v>
    <v>27478</v>
    <v>16187</v>
    <v>20698</v>
    <v>20758</v>
    <v>28281</v>
    <v>22992</v>
    <v>32696</v>
    <v>19880</v>
    <v>5577</v>
    <v>50422</v>
    <v>18821</v>
    <v>20572</v>
    <v>23828</v>
    <v>63981</v>
    <v>19960</v>
    <v>22792</v>
    <v>30570</v>
    <v>15029</v>
    <v>16732</v>
    <v>20555</v>
    <v>18462</v>
    <v>13528</v>
    <v>18302</v>
    <v>12374</v>
    <v>22694</v>
    <v>18362</v>
    <v>9809</v>
    <v>23983</v>
    <v>43249</v>
    <v>24494</v>
    <v>17840</v>
    <v>17920</v>
    <v>15884</v>
    <v>21507</v>
    <v>12156</v>
    <v>16617</v>
    <v>23060</v>
    <v>24918</v>
    <v>25870</v>
    <v>16019</v>
    <v>16776</v>
    <v>13798</v>
    <v>21748</v>
    <v>14606</v>
    <v>22480</v>
    <v>27646</v>
    <v>16700</v>
    <v>48656</v>
    <v>25179</v>
    <v>20091</v>
    <v>19696</v>
    <v>18038</v>
    <v>34148</v>
    <v>21115</v>
    <v>19081</v>
    <v>18346</v>
    <v>31489</v>
    <v>30644</v>
    <v>38706</v>
    <v>59829</v>
    <v>14791</v>
    <v>40590</v>
    <v>23179</v>
    <v>65788</v>
    <v>22354</v>
    <v>43495</v>
    <v>22900</v>
    <v>29313</v>
    <v>18004</v>
    <v>13147</v>
    <v>22489</v>
    <v>19750</v>
    <v>35183</v>
    <v>30344</v>
    <v>15170</v>
    <v>23124</v>
    <v>35115</v>
    <v>35579</v>
    <v>21076</v>
    <v>25481</v>
    <v>41504</v>
    <v>31661</v>
    <v>27629</v>
    <v>14201</v>
    <v>34887</v>
    <v>42444</v>
    <v>25426</v>
    <v>40190</v>
    <v>37842</v>
    <v>20490</v>
    <v>16121</v>
    <v>30903</v>
    <v>21429</v>
    <v>11553</v>
    <v>26318</v>
    <v>24537</v>
    <v>33207</v>
    <v>23857</v>
    <v>27732</v>
    <v>31084</v>
    <v>16785</v>
    <v>20857</v>
    <v>20655</v>
    <v>11016</v>
    <v>21176</v>
    <v>20010</v>
    <v>18451</v>
    <v>17709</v>
    <v>21935</v>
    <v>13151</v>
    <v>14751</v>
    <v>23588</v>
    <v>24183</v>
    <v>17944</v>
    <v>14011</v>
    <v>12335</v>
    <v>23792</v>
    <v>24301</v>
    <v>18476</v>
    <v>13734</v>
    <v>20170</v>
    <v>21415</v>
    <v>18508</v>
    <v>14999</v>
    <v>21131</v>
    <v>38052</v>
    <v>33951</v>
    <v>29594</v>
    <v>13330</v>
    <v>40347</v>
    <v>26251</v>
    <v>17081</v>
    <v>59201</v>
    <v>47838</v>
    <v>83993</v>
    <v>66382</v>
    <v>54928</v>
    <v>20302</v>
    <v>66321</v>
    <v>32948</v>
    <v>32724</v>
    <v>44554</v>
    <v>29361</v>
    <v>22498</v>
    <v>41917</v>
    <v>23577</v>
    <v>18026</v>
    <v>32031</v>
    <v>84017</v>
    <v>43155</v>
    <v>35334</v>
    <v>65359</v>
    <v>107455</v>
    <v>47415</v>
    <v>33604</v>
    <v>33616</v>
    <v>41664</v>
    <v>21481</v>
    <v>35673</v>
    <v>27280</v>
    <v>49516</v>
    <v>50975</v>
    <v>36775</v>
    <v>37361</v>
    <v>33513</v>
    <v>39973</v>
    <v>41448</v>
    <v>28984</v>
    <v>20898</v>
    <v>27624</v>
    <v>40968</v>
    <v>49920</v>
    <v>46711</v>
    <v>62938</v>
    <v>21018</v>
    <v>25767</v>
    <v>26966</v>
    <v>35906</v>
    <v>80718</v>
    <v>17635</v>
    <v>22372</v>
    <v>33859</v>
    <v>37333</v>
    <v>19195</v>
    <v>32122</v>
    <v>40428</v>
    <v>44174</v>
    <v>74395</v>
    <v>27387</v>
    <v>20955</v>
    <v>47807</v>
    <v>46536</v>
    <v>25787</v>
    <v>58877</v>
    <v>41235</v>
    <v>25296</v>
    <v>33808</v>
    <v>62130</v>
    <v>49419</v>
    <v>15763</v>
    <v>21964</v>
    <v>22566</v>
    <v>19660</v>
    <v>16435</v>
    <v>66061</v>
    <v>49207</v>
    <v>37537</v>
  </a>
  <a r="1" c="251">
    <v>52.9801</v>
    <v>53.750100000000003</v>
    <v>54.100099999999998</v>
    <v>54.650100000000002</v>
    <v>54.710099999999997</v>
    <v>54.900100000000002</v>
    <v>55.140099999999997</v>
    <v>54.9801</v>
    <v>55.000100000000003</v>
    <v>55.530099999999997</v>
    <v>55.350099999999998</v>
    <v>55.240099999999998</v>
    <v>55.520099999999999</v>
    <v>55.790100000000002</v>
    <v>55.950099999999999</v>
    <v>56.4801</v>
    <v>56.620100000000001</v>
    <v>56.900100000000002</v>
    <v>57.390099999999997</v>
    <v>57.510100000000001</v>
    <v>57.5901</v>
    <v>57.080100000000002</v>
    <v>57.120100000000001</v>
    <v>57.120100000000001</v>
    <v>57.460099999999997</v>
    <v>57.970100000000002</v>
    <v>58.020099999999999</v>
    <v>57.850099999999998</v>
    <v>57.780099999999997</v>
    <v>58.250100000000003</v>
    <v>58.260100000000001</v>
    <v>57.960099999999997</v>
    <v>57.940100000000001</v>
    <v>58.200099999999999</v>
    <v>57.990099999999998</v>
    <v>58.140099999999997</v>
    <v>58.400100000000002</v>
    <v>58.500100000000003</v>
    <v>58.270099999999999</v>
    <v>58.460099999999997</v>
    <v>58.390099999999997</v>
    <v>58.420099999999998</v>
    <v>58.310099999999998</v>
    <v>57.850099999999998</v>
    <v>58.130099999999999</v>
    <v>58.430100000000003</v>
    <v>58.0501</v>
    <v>58.360100000000003</v>
    <v>58.3001</v>
    <v>58.620100000000001</v>
    <v>58.620100000000001</v>
    <v>59.010100000000001</v>
    <v>58.9801</v>
    <v>58.920099999999998</v>
    <v>58.6601</v>
    <v>58.8401</v>
    <v>59.120100000000001</v>
    <v>58.900100000000002</v>
    <v>59.3401</v>
    <v>58.9801</v>
    <v>59.270099999999999</v>
    <v>59.890099999999997</v>
    <v>59.6751</v>
    <v>59.610100000000003</v>
    <v>59.695099999999996</v>
    <v>59.790100000000002</v>
    <v>59.7301</v>
    <v>60.030099999999997</v>
    <v>59.850099999999998</v>
    <v>60.030099999999997</v>
    <v>59.750100000000003</v>
    <v>59.530099999999997</v>
    <v>58.970100000000002</v>
    <v>60.080100000000002</v>
    <v>61.000100000000003</v>
    <v>60.570099999999996</v>
    <v>60.500100000000003</v>
    <v>60.520099999999999</v>
    <v>60.750100000000003</v>
    <v>60.900100000000002</v>
    <v>60.720100000000002</v>
    <v>60.6601</v>
    <v>60.710099999999997</v>
    <v>60.650100000000002</v>
    <v>60.780099999999997</v>
    <v>61.0501</v>
    <v>61.670099999999998</v>
    <v>61.310099999999998</v>
    <v>61.690100000000001</v>
    <v>61.920099999999998</v>
    <v>61.920099999999998</v>
    <v>62.220100000000002</v>
    <v>62.320099999999996</v>
    <v>62.5501</v>
    <v>63.000100000000003</v>
    <v>63.170099999999998</v>
    <v>63.060099999999998</v>
    <v>63.190100000000001</v>
    <v>63.3401</v>
    <v>63.8401</v>
    <v>63.5901</v>
    <v>63.860100000000003</v>
    <v>63.690100000000001</v>
    <v>63.790100000000002</v>
    <v>64.140100000000004</v>
    <v>64.390100000000004</v>
    <v>64.690100000000001</v>
    <v>64.430099999999996</v>
    <v>64.240099999999998</v>
    <v>64.150099999999995</v>
    <v>64.130099999999999</v>
    <v>64.650099999999995</v>
    <v>64.750100000000003</v>
    <v>64.930099999999996</v>
    <v>65.0501</v>
    <v>65.760099999999994</v>
    <v>65.820099999999996</v>
    <v>65.430099999999996</v>
    <v>65.630099999999999</v>
    <v>65.220100000000002</v>
    <v>64.310100000000006</v>
    <v>65.280100000000004</v>
    <v>65.860100000000003</v>
    <v>65.420100000000005</v>
    <v>64.820099999999996</v>
    <v>65.450100000000006</v>
    <v>64.440100000000001</v>
    <v>64.650099999999995</v>
    <v>65.070099999999996</v>
    <v>65.450100000000006</v>
    <v>65.4101</v>
    <v>65.690100000000001</v>
    <v>65.090100000000007</v>
    <v>65.150099999999995</v>
    <v>65.330100000000002</v>
    <v>65.4101</v>
    <v>64.420100000000005</v>
    <v>65.110100000000003</v>
    <v>64.610100000000003</v>
    <v>64.520099999999999</v>
    <v>65.4101</v>
    <v>65.650099999999995</v>
    <v>66.480099999999993</v>
    <v>65.280100000000004</v>
    <v>65.5501</v>
    <v>65.020099999999999</v>
    <v>64.930099999999996</v>
    <v>65.4101</v>
    <v>64.770099999999999</v>
    <v>65.310100000000006</v>
    <v>66.170100000000005</v>
    <v>66.830100000000002</v>
    <v>67.370099999999994</v>
    <v>67.480099999999993</v>
    <v>67.740099999999998</v>
    <v>67.090100000000007</v>
    <v>66.990099999999998</v>
    <v>67.290099999999995</v>
    <v>68.000100000000003</v>
    <v>67.600099999999998</v>
    <v>67.400099999999995</v>
    <v>67.540099999999995</v>
    <v>68.020099999999999</v>
    <v>68.400099999999995</v>
    <v>68.140100000000004</v>
    <v>68.080100000000002</v>
    <v>67.610100000000003</v>
    <v>67.520099999999999</v>
    <v>67.990099999999998</v>
    <v>68.630099999999999</v>
    <v>69.060100000000006</v>
    <v>69.220100000000002</v>
    <v>69.1601</v>
    <v>69.030100000000004</v>
    <v>68.55</v>
    <v>68.22</v>
    <v>68.599999999999994</v>
    <v>69.260000000000005</v>
    <v>69.599999999999994</v>
    <v>68.97</v>
    <v>69.56</v>
    <v>70.03</v>
    <v>70.47</v>
    <v>70.47</v>
    <v>70.53</v>
    <v>70.77</v>
    <v>70.69</v>
    <v>70.66</v>
    <v>69.8</v>
    <v>70.08</v>
    <v>70.2</v>
    <v>70.459999999999994</v>
    <v>70.38</v>
    <v>70.3</v>
    <v>70.37</v>
    <v>70.22</v>
    <v>68.150000000000006</v>
    <v>68.8</v>
    <v>69.010000000000005</v>
    <v>69.33</v>
    <v>68.400000000000006</v>
    <v>69.23</v>
    <v>70.36</v>
    <v>70.98</v>
    <v>70.78</v>
    <v>69.25</v>
    <v>70.38</v>
    <v>70.16</v>
    <v>71.23</v>
    <v>71.510000000000005</v>
    <v>72.02</v>
    <v>71.78</v>
    <v>72.06</v>
    <v>72.489999999999995</v>
    <v>73.2</v>
    <v>72.75</v>
    <v>73.2</v>
    <v>71.84</v>
    <v>72.2</v>
    <v>71.66</v>
    <v>70.510000000000005</v>
    <v>70.8</v>
    <v>70.89</v>
    <v>70.62</v>
    <v>70.08</v>
    <v>69.599999999999994</v>
    <v>70.39</v>
    <v>70.540000000000006</v>
    <v>69.3</v>
    <v>68.47</v>
    <v>66.91</v>
    <v>68.19</v>
    <v>68.209999999999994</v>
    <v>69.17</v>
    <v>68.17</v>
    <v>68.19</v>
    <v>68.290000000000006</v>
    <v>69.97</v>
    <v>70.319999999999993</v>
    <v>70.739999999999995</v>
    <v>70.88</v>
    <v>70.989999999999995</v>
    <v>71.84</v>
    <v>71.52</v>
    <v>72</v>
    <v>72.38</v>
    <v>72.88</v>
    <v>73.08</v>
    <v>72.84</v>
    <v>73.47</v>
    <v>73.459999999999994</v>
  </a>
  <a r="1" c="251">
    <v>359.12</v>
    <v>366.82</v>
    <v>374.39</v>
    <v>387.3</v>
    <v>391.85</v>
    <v>391.16</v>
    <v>394.04</v>
    <v>395.26</v>
    <v>425.4</v>
    <v>435.28</v>
    <v>436.17</v>
    <v>433.31</v>
    <v>433.35</v>
    <v>438.17</v>
    <v>438.73</v>
    <v>449.26</v>
    <v>449.14</v>
    <v>452.94</v>
    <v>453.13</v>
    <v>454.27</v>
    <v>458.87</v>
    <v>458.17</v>
    <v>452.57</v>
    <v>454.86</v>
    <v>450.18</v>
    <v>460.69</v>
    <v>457.36</v>
    <v>458.68</v>
    <v>460.36</v>
    <v>461.97</v>
    <v>462.97</v>
    <v>463.87</v>
    <v>467.68</v>
    <v>470.38</v>
    <v>472.75</v>
    <v>470.92</v>
    <v>472.62</v>
    <v>478.87</v>
    <v>474.96</v>
    <v>479.14</v>
    <v>478.04</v>
    <v>480.24</v>
    <v>477.4</v>
    <v>486</v>
    <v>490.11</v>
    <v>492.27</v>
    <v>497.45</v>
    <v>495.94</v>
    <v>497.41</v>
    <v>492.05</v>
    <v>491.09</v>
    <v>498.84</v>
    <v>497.72</v>
    <v>496.62</v>
    <v>503.51</v>
    <v>501.48</v>
    <v>503.32</v>
    <v>503.02</v>
    <v>505.82</v>
    <v>505.62</v>
    <v>511.7</v>
    <v>510.05</v>
    <v>510.06</v>
    <v>505.27</v>
    <v>505.87</v>
    <v>510.88</v>
    <v>513.71</v>
    <v>512.5</v>
    <v>512.57000000000005</v>
    <v>513.24</v>
    <v>533.5</v>
    <v>524.11</v>
    <v>535.64</v>
    <v>527.75</v>
    <v>524.94000000000005</v>
    <v>520.84</v>
    <v>522.04</v>
    <v>521.77</v>
    <v>529.24</v>
    <v>520.58000000000004</v>
    <v>522.48</v>
    <v>520.16999999999996</v>
    <v>517.1</v>
    <v>509.77</v>
    <v>505.72</v>
    <v>504.24</v>
    <v>507.23</v>
    <v>504.26</v>
    <v>502.04</v>
    <v>506.74</v>
    <v>509.64</v>
    <v>506.69</v>
    <v>505.12</v>
    <v>505.35</v>
    <v>507.97</v>
    <v>495</v>
    <v>498.2</v>
    <v>498.41</v>
    <v>500.37</v>
    <v>501.01</v>
    <v>509.9</v>
    <v>515.36</v>
    <v>509.04</v>
    <v>510.02</v>
    <v>508.45</v>
    <v>517.92999999999995</v>
    <v>514.45000000000005</v>
    <v>509.23</v>
    <v>510.15</v>
    <v>507.03</v>
    <v>511.46</v>
    <v>514.6</v>
    <v>517.95000000000005</v>
    <v>519.71</v>
    <v>515.74</v>
    <v>517.35</v>
    <v>528.57000000000005</v>
    <v>523.98</v>
    <v>524.85</v>
    <v>522.4</v>
    <v>510.96</v>
    <v>514.04999999999995</v>
    <v>513.57000000000005</v>
    <v>513.42999999999995</v>
    <v>511.61</v>
    <v>513.58000000000004</v>
    <v>516.79</v>
    <v>517.66</v>
    <v>520.54</v>
    <v>520.55999999999995</v>
    <v>523.61</v>
    <v>531.52</v>
    <v>542.07000000000005</v>
    <v>541.54999999999995</v>
    <v>525.76</v>
    <v>517.80999999999995</v>
    <v>517.03</v>
    <v>514.33000000000004</v>
    <v>507.16</v>
    <v>497.1</v>
    <v>496.82</v>
    <v>506</v>
    <v>508.68</v>
    <v>511.14</v>
    <v>503.29</v>
    <v>510.18</v>
    <v>507.49</v>
    <v>493.79</v>
    <v>487.12</v>
    <v>478.43</v>
    <v>472.12</v>
    <v>474</v>
    <v>476.99</v>
    <v>485.5</v>
    <v>492.01</v>
    <v>486.74</v>
    <v>490</v>
    <v>477.73</v>
    <v>480.84</v>
    <v>483.16</v>
    <v>491.02</v>
    <v>492.02</v>
    <v>478.56</v>
    <v>483.47</v>
    <v>478.53</v>
    <v>474.82</v>
    <v>476.39</v>
    <v>476.12</v>
    <v>483.98</v>
    <v>485.92</v>
    <v>484.92</v>
    <v>486.85</v>
    <v>488.02</v>
    <v>487.71</v>
    <v>487.1</v>
    <v>487.48</v>
    <v>483.62</v>
    <v>472.94</v>
    <v>472.85</v>
    <v>478.51</v>
    <v>483.47</v>
    <v>478.11</v>
    <v>479.28</v>
    <v>477.18</v>
    <v>470.67</v>
    <v>459.38</v>
    <v>456.66</v>
    <v>459.86</v>
    <v>454.52</v>
    <v>444.11</v>
    <v>451.14</v>
    <v>465.95</v>
    <v>470.28</v>
    <v>480.58</v>
    <v>481.63</v>
    <v>433.5</v>
    <v>430.29</v>
    <v>423.37</v>
    <v>411.21</v>
    <v>414.19</v>
    <v>393.67</v>
    <v>401.14</v>
    <v>413.6</v>
    <v>413.27</v>
    <v>404.37</v>
    <v>401.84</v>
    <v>401.32</v>
    <v>396.86</v>
    <v>399.6</v>
    <v>398.46</v>
    <v>397.23</v>
    <v>384.47</v>
    <v>389</v>
    <v>400.6</v>
    <v>401.72</v>
    <v>392.74</v>
    <v>398.55</v>
    <v>403.93</v>
    <v>405.2</v>
    <v>410.68</v>
    <v>408.96</v>
    <v>409.41</v>
    <v>405.76</v>
    <v>404.88</v>
    <v>401.86</v>
    <v>395.55</v>
    <v>399.95</v>
    <v>399.41</v>
    <v>391.79</v>
    <v>389.02</v>
    <v>381.87</v>
    <v>383</v>
    <v>372.74</v>
    <v>371.04</v>
    <v>365.97</v>
    <v>356.77</v>
    <v>358.96</v>
    <v>370.17</v>
    <v>369.37</v>
    <v>373.46</v>
    <v>372.88</v>
    <v>372.29</v>
    <v>374.33</v>
    <v>373.07</v>
    <v>370.87</v>
    <v>384.37</v>
    <v>393.11</v>
    <v>411.22</v>
    <v>420.26</v>
    <v>422.79</v>
    <v>418.07</v>
  </a>
  <a r="1" c="251">
    <v>159.38</v>
    <v>163.03</v>
    <v>163.5</v>
    <v>163.04</v>
    <v>163.30000000000001</v>
    <v>163.88</v>
    <v>165.91</v>
    <v>165.47</v>
    <v>166.15</v>
    <v>167.43</v>
    <v>167</v>
    <v>165.45</v>
    <v>166.4</v>
    <v>166.84</v>
    <v>167.59</v>
    <v>169.01</v>
    <v>169.78</v>
    <v>171.24</v>
    <v>174.19</v>
    <v>175.84</v>
    <v>175.82</v>
    <v>174.36</v>
    <v>175.41</v>
    <v>176.08</v>
    <v>176.39</v>
    <v>177.87</v>
    <v>178.6</v>
    <v>172.4</v>
    <v>173.94</v>
    <v>175.16</v>
    <v>174.93</v>
    <v>174.25</v>
    <v>173.48</v>
    <v>174.57</v>
    <v>174.66</v>
    <v>175.47</v>
    <v>174.72</v>
    <v>175.27</v>
    <v>173.55</v>
    <v>174.99</v>
    <v>174.66</v>
    <v>175.33</v>
    <v>175.03</v>
    <v>174.84</v>
    <v>174.67</v>
    <v>176.13</v>
    <v>175.72</v>
    <v>177.61</v>
    <v>177.7</v>
    <v>179.47</v>
    <v>178.11</v>
    <v>179.53</v>
    <v>179.55</v>
    <v>180.12</v>
    <v>180.39</v>
    <v>181.29</v>
    <v>182.33</v>
    <v>180.37</v>
    <v>180.63</v>
    <v>179.35</v>
    <v>180.63</v>
    <v>182.78</v>
    <v>182.14</v>
    <v>182.36</v>
    <v>181.21</v>
    <v>182.42</v>
    <v>180.07</v>
    <v>180.97</v>
    <v>179.19</v>
    <v>178.61</v>
    <v>179.07</v>
    <v>177.79</v>
    <v>177.48</v>
    <v>180.06</v>
    <v>181.78</v>
    <v>182.12</v>
    <v>182.37</v>
    <v>183.87</v>
    <v>185.73</v>
    <v>187.03</v>
    <v>188.61</v>
    <v>188.5</v>
    <v>188.41</v>
    <v>189.03</v>
    <v>189.35</v>
    <v>189.41</v>
    <v>190.65</v>
    <v>188.88</v>
    <v>190.39</v>
    <v>200.07</v>
    <v>200.77</v>
    <v>199.58</v>
    <v>199.53</v>
    <v>200.97</v>
    <v>201.72</v>
    <v>200.22</v>
    <v>199.77</v>
    <v>199.7</v>
    <v>199.94</v>
    <v>200.82</v>
    <v>199.63</v>
    <v>200.25</v>
    <v>201.02</v>
    <v>201.52</v>
    <v>201.64</v>
    <v>203.14</v>
    <v>205.5</v>
    <v>205.04</v>
    <v>204.77</v>
    <v>203.85</v>
    <v>203.63</v>
    <v>204.7</v>
    <v>205.12</v>
    <v>205.25</v>
    <v>204.44</v>
    <v>205.06</v>
    <v>205.03</v>
    <v>203.61</v>
    <v>202.51</v>
    <v>203.81</v>
    <v>201.2</v>
    <v>204.19</v>
    <v>206.3</v>
    <v>204.2</v>
    <v>204.27</v>
    <v>206.21</v>
    <v>205.44</v>
    <v>205.27</v>
    <v>206.34</v>
    <v>206.89</v>
    <v>207.45</v>
    <v>207.8</v>
    <v>204.55</v>
    <v>204.12</v>
    <v>205.47</v>
    <v>207.22</v>
    <v>205.4</v>
    <v>205.64</v>
    <v>205.25</v>
    <v>204.01</v>
    <v>205.84</v>
    <v>206.81</v>
    <v>208.76</v>
    <v>205.85</v>
    <v>205.46</v>
    <v>206.93</v>
    <v>208.38</v>
    <v>208.51</v>
    <v>207.98</v>
    <v>211.38</v>
    <v>211.39</v>
    <v>214.72</v>
    <v>215.06</v>
    <v>215.41</v>
    <v>216.14</v>
    <v>214.09</v>
    <v>216.21</v>
    <v>218.64</v>
    <v>224.06</v>
    <v>224.72</v>
    <v>226.45</v>
    <v>226.03</v>
    <v>227.75</v>
    <v>230</v>
    <v>228.29</v>
    <v>230.1</v>
    <v>228.78</v>
    <v>227.86</v>
    <v>230.36</v>
    <v>232.71</v>
    <v>233.56</v>
    <v>234.05</v>
    <v>233.85</v>
    <v>235.18</v>
    <v>235</v>
    <v>233.99</v>
    <v>234.57</v>
    <v>238.25</v>
    <v>235.45</v>
    <v>234.68</v>
    <v>235.03</v>
    <v>235.52</v>
    <v>235.31</v>
    <v>234.56</v>
    <v>234.08</v>
    <v>235.34</v>
    <v>235.42</v>
    <v>234.96</v>
    <v>231.9</v>
    <v>232.31</v>
    <v>232.8</v>
    <v>232.71</v>
    <v>229.56</v>
    <v>229.19</v>
    <v>225.93</v>
    <v>227.52</v>
    <v>226.72</v>
    <v>230.51</v>
    <v>232.75</v>
    <v>232.37</v>
    <v>231.13</v>
    <v>232.72</v>
    <v>236.29</v>
    <v>237.82</v>
    <v>234.71</v>
    <v>230.49</v>
    <v>230.98</v>
    <v>230.99</v>
    <v>233.98</v>
    <v>233.96</v>
    <v>236</v>
    <v>234</v>
    <v>234.05</v>
    <v>237.21</v>
    <v>232.14</v>
    <v>228.07</v>
    <v>230.74</v>
    <v>226.77</v>
    <v>226.41</v>
    <v>224.79</v>
    <v>222.48</v>
    <v>221.95</v>
    <v>224.61</v>
    <v>224.19</v>
    <v>222.11</v>
    <v>221.47</v>
    <v>224.21</v>
    <v>224.89</v>
    <v>222.95</v>
    <v>220.25</v>
    <v>218.5</v>
    <v>221.9</v>
    <v>223.18</v>
    <v>224.51</v>
    <v>222</v>
    <v>219.85</v>
    <v>219.79</v>
    <v>224.88</v>
    <v>226.93</v>
    <v>227.34</v>
    <v>228.83</v>
    <v>229.99</v>
    <v>234.28</v>
    <v>235.83</v>
    <v>237.86</v>
    <v>239</v>
    <v>240.71</v>
    <v>241.74</v>
    <v>241.1</v>
    <v>244.23</v>
    <v>245.85</v>
  </a>
  <a r="1" c="251">
    <v>94.7</v>
    <v>95.81</v>
    <v>93.89</v>
    <v>92.7</v>
    <v>93.91</v>
    <v>90.96</v>
    <v>92.33</v>
    <v>92.19</v>
    <v>90.69</v>
    <v>90.48</v>
    <v>90.74</v>
    <v>91</v>
    <v>90.88</v>
    <v>90.83</v>
    <v>89.81</v>
    <v>89.14</v>
    <v>87.88</v>
    <v>87.57</v>
    <v>89.63</v>
    <v>91.23</v>
    <v>91.74</v>
    <v>91.99</v>
    <v>91.67</v>
    <v>90.9</v>
    <v>92.59</v>
    <v>92.43</v>
    <v>91.76</v>
    <v>92.3</v>
    <v>92.94</v>
    <v>91.93</v>
    <v>90.62</v>
    <v>90.2</v>
    <v>90.15</v>
    <v>90.24</v>
    <v>90.87</v>
    <v>91.94</v>
    <v>92.11</v>
    <v>93.14</v>
    <v>90.26</v>
    <v>90.11</v>
    <v>88.63</v>
    <v>88.19</v>
    <v>87.78</v>
    <v>88.67</v>
    <v>88.18</v>
    <v>87.8</v>
    <v>87.79</v>
    <v>88.71</v>
    <v>90.9</v>
    <v>92.04</v>
    <v>92.4</v>
    <v>92.78</v>
    <v>93.33</v>
    <v>92.14</v>
    <v>91.58</v>
    <v>90.62</v>
    <v>89.58</v>
    <v>88.85</v>
    <v>88.15</v>
    <v>87.66</v>
    <v>87.24</v>
    <v>86.84</v>
    <v>86.64</v>
    <v>88.7</v>
    <v>88.79</v>
    <v>88.45</v>
    <v>87.93</v>
    <v>86.47</v>
    <v>86.86</v>
    <v>85.8</v>
    <v>83.85</v>
    <v>83.51</v>
    <v>83.36</v>
    <v>83.06</v>
    <v>84.61</v>
    <v>84.71</v>
    <v>84.69</v>
    <v>84.45</v>
    <v>84.97</v>
    <v>86.34</v>
    <v>84.65</v>
    <v>85.07</v>
    <v>84.26</v>
    <v>85.85</v>
    <v>86.05</v>
    <v>86.28</v>
    <v>85.94</v>
    <v>84.06</v>
    <v>84.14</v>
    <v>84.45</v>
    <v>83.42</v>
    <v>84.07</v>
    <v>84.39</v>
    <v>83.81</v>
    <v>83.67</v>
    <v>85.13</v>
    <v>84.19</v>
    <v>84.28</v>
    <v>83.2</v>
    <v>84.06</v>
    <v>83.28</v>
    <v>82.13</v>
    <v>81.48</v>
    <v>82.22</v>
    <v>81.53</v>
    <v>81.17</v>
    <v>79.36</v>
    <v>80.150000000000006</v>
    <v>81.13</v>
    <v>79.7</v>
    <v>79.59</v>
    <v>80.400000000000006</v>
    <v>79.94</v>
    <v>79.010000000000005</v>
    <v>78.31</v>
    <v>78</v>
    <v>77.45</v>
    <v>79.11</v>
    <v>78</v>
    <v>77.81</v>
    <v>77.959999999999994</v>
    <v>76.98</v>
    <v>78.400000000000006</v>
    <v>77.63</v>
    <v>78.08</v>
    <v>79.12</v>
    <v>78.75</v>
    <v>78.62</v>
    <v>79.86</v>
    <v>78.44</v>
    <v>78</v>
    <v>77.83</v>
    <v>77.14</v>
    <v>75.73</v>
    <v>76.510000000000005</v>
    <v>77.05</v>
    <v>74.98</v>
    <v>76.55</v>
    <v>76.91</v>
    <v>77.27</v>
    <v>78.760000000000005</v>
    <v>78.47</v>
    <v>79.47</v>
    <v>78.56</v>
    <v>78.790000000000006</v>
    <v>78.05</v>
    <v>78.81</v>
    <v>79.33</v>
    <v>78.47</v>
    <v>78.86</v>
    <v>80.930000000000007</v>
    <v>79.180000000000007</v>
    <v>79.819999999999993</v>
    <v>80.040000000000006</v>
    <v>80.39</v>
    <v>79.94</v>
    <v>78.819999999999993</v>
    <v>78.2</v>
    <v>77.599999999999994</v>
    <v>78.069999999999993</v>
    <v>76.11</v>
    <v>76.98</v>
    <v>77.760000000000005</v>
    <v>77.25</v>
    <v>78.34</v>
    <v>79.430000000000007</v>
    <v>78.95</v>
    <v>79.73</v>
    <v>77.73</v>
    <v>78.36</v>
    <v>79.040000000000006</v>
    <v>79.930000000000007</v>
    <v>80.25</v>
    <v>79.73</v>
    <v>79.69</v>
    <v>79.510000000000005</v>
    <v>79.02</v>
    <v>77.69</v>
    <v>76.930000000000007</v>
    <v>77.2</v>
    <v>77.09</v>
    <v>80.87</v>
    <v>81.48</v>
    <v>81.93</v>
    <v>82.96</v>
    <v>84.55</v>
    <v>84.34</v>
    <v>84.52</v>
    <v>85.44</v>
    <v>84.73</v>
    <v>85.81</v>
    <v>86.66</v>
    <v>85.2</v>
    <v>85.76</v>
    <v>85</v>
    <v>85.24</v>
    <v>90.29</v>
    <v>91.89</v>
    <v>93.15</v>
    <v>94.37</v>
    <v>94.88</v>
    <v>94.41</v>
    <v>94.16</v>
    <v>93.93</v>
    <v>95.31</v>
    <v>96.17</v>
    <v>96.67</v>
    <v>95.65</v>
    <v>95.58</v>
    <v>93.98</v>
    <v>95.09</v>
    <v>97.1</v>
    <v>98.11</v>
    <v>96.67</v>
    <v>97.55</v>
    <v>99.14</v>
    <v>97.3</v>
    <v>95.51</v>
    <v>95.28</v>
    <v>92.67</v>
    <v>93.56</v>
    <v>93</v>
    <v>92.49</v>
    <v>89.61</v>
    <v>87.95</v>
    <v>88.84</v>
    <v>90.3</v>
    <v>89.94</v>
    <v>87.52</v>
    <v>85.5</v>
    <v>85.12</v>
    <v>85.15</v>
    <v>84.53</v>
    <v>85.49</v>
    <v>84.14</v>
    <v>84.29</v>
    <v>85.73</v>
    <v>85.23</v>
    <v>85.41</v>
    <v>85.14</v>
    <v>84.53</v>
    <v>83.13</v>
    <v>85.55</v>
    <v>86.04</v>
    <v>84.34</v>
    <v>83.98</v>
    <v>84.16</v>
    <v>83.49</v>
    <v>83.62</v>
    <v>85.81</v>
    <v>83.53</v>
  </a>
  <a r="1" c="251">
    <v>156.91999999999999</v>
    <v>157.75</v>
    <v>155.38</v>
    <v>154.93</v>
    <v>154.58000000000001</v>
    <v>155.35</v>
    <v>155.91</v>
    <v>156.31</v>
    <v>154.46</v>
    <v>156.12</v>
    <v>155</v>
    <v>154.47</v>
    <v>157.30000000000001</v>
    <v>155.66</v>
    <v>154.22</v>
    <v>154.13999999999999</v>
    <v>148.44</v>
    <v>146.36000000000001</v>
    <v>149.61000000000001</v>
    <v>151.33000000000001</v>
    <v>152.49</v>
    <v>153.66</v>
    <v>153.18</v>
    <v>152.61000000000001</v>
    <v>152.94</v>
    <v>153.25</v>
    <v>152.43</v>
    <v>153.58000000000001</v>
    <v>155.21</v>
    <v>155.4</v>
    <v>154.41999999999999</v>
    <v>153.22</v>
    <v>153.66</v>
    <v>155.03</v>
    <v>155.22999999999999</v>
    <v>156.44999999999999</v>
    <v>155.26</v>
    <v>156.66</v>
    <v>157.1</v>
    <v>155.22</v>
    <v>152.38</v>
    <v>150.72999999999999</v>
    <v>149.79</v>
    <v>151.32</v>
    <v>152.19</v>
    <v>152.28</v>
    <v>152.01</v>
    <v>152.41</v>
    <v>152.75</v>
    <v>155.91999999999999</v>
    <v>155.56</v>
    <v>156.01</v>
    <v>155.27000000000001</v>
    <v>155.79</v>
    <v>156.28</v>
    <v>157.69</v>
    <v>156.9</v>
    <v>156.82</v>
    <v>155.16999999999999</v>
    <v>164.78</v>
    <v>162.97999999999999</v>
    <v>163.69999999999999</v>
    <v>164.36</v>
    <v>167.93</v>
    <v>169.1</v>
    <v>169.56</v>
    <v>168.3</v>
    <v>166.22</v>
    <v>168.11</v>
    <v>167.26</v>
    <v>164.74</v>
    <v>167.33</v>
    <v>171.04</v>
    <v>170.74</v>
    <v>170.59</v>
    <v>171.53</v>
    <v>173.33</v>
    <v>173.82</v>
    <v>172.78</v>
    <v>174.42</v>
    <v>174.72</v>
    <v>176.64</v>
    <v>176.25</v>
    <v>177.8</v>
    <v>178.84</v>
    <v>178.93</v>
    <v>179.29</v>
    <v>178.41</v>
    <v>176.49</v>
    <v>176.79</v>
    <v>175.45</v>
    <v>177.17</v>
    <v>178.06</v>
    <v>178</v>
    <v>178.76</v>
    <v>178.43</v>
    <v>178.13</v>
    <v>176.96</v>
    <v>175.79</v>
    <v>178.5</v>
    <v>178.06</v>
    <v>177.4</v>
    <v>176.46</v>
    <v>177.2</v>
    <v>174.16</v>
    <v>176.19</v>
    <v>174.21</v>
    <v>176.58</v>
    <v>176.69</v>
    <v>177.73</v>
    <v>179.71</v>
    <v>181.62</v>
    <v>185.42</v>
    <v>186.05</v>
    <v>185.98</v>
    <v>188.64</v>
    <v>188.16</v>
    <v>188.89</v>
    <v>189.69</v>
    <v>191.08</v>
    <v>190.72</v>
    <v>190.9</v>
    <v>190.85</v>
    <v>191.17</v>
    <v>192.12</v>
    <v>193.22</v>
    <v>193.72</v>
    <v>191.88</v>
    <v>192.94</v>
    <v>192.47</v>
    <v>190.4</v>
    <v>190.3</v>
    <v>186.93</v>
    <v>186.6</v>
    <v>189.05</v>
    <v>188.87</v>
    <v>186.26</v>
    <v>186.86</v>
    <v>186</v>
    <v>186.97</v>
    <v>186.57</v>
    <v>188.41</v>
    <v>193.83</v>
    <v>194.39</v>
    <v>195.25</v>
    <v>195.93</v>
    <v>199.58</v>
    <v>200</v>
    <v>202.51</v>
    <v>203.07</v>
    <v>203.9</v>
    <v>206.05</v>
    <v>206.67</v>
    <v>207.56</v>
    <v>206.92</v>
    <v>205.34</v>
    <v>205.42</v>
    <v>205.33</v>
    <v>202.48</v>
    <v>201.93</v>
    <v>201.62</v>
    <v>199.96</v>
    <v>206.54</v>
    <v>210.01</v>
    <v>211.58</v>
    <v>214.17</v>
    <v>209.3</v>
    <v>210.33</v>
    <v>208.31</v>
    <v>206.37</v>
    <v>207.32</v>
    <v>205.78</v>
    <v>207.78</v>
    <v>207.63</v>
    <v>207.56</v>
    <v>206.91</v>
    <v>206.95</v>
    <v>207.35</v>
    <v>204.31</v>
    <v>204.79</v>
    <v>207.49</v>
    <v>205.75</v>
    <v>204.39</v>
    <v>209.72</v>
    <v>213.65</v>
    <v>218.55</v>
    <v>219.57</v>
    <v>218.66</v>
    <v>218.21</v>
    <v>218.01</v>
    <v>218.49</v>
    <v>220.14</v>
    <v>221.49</v>
    <v>224.44</v>
    <v>227.72</v>
    <v>227.29</v>
    <v>227.25</v>
    <v>230.75</v>
    <v>233.1</v>
    <v>234.47</v>
    <v>237.79</v>
    <v>239.99</v>
    <v>238.64</v>
    <v>238.35</v>
    <v>240.86</v>
    <v>244.55</v>
    <v>243.45</v>
    <v>243.33</v>
    <v>244.99</v>
    <v>246.91</v>
    <v>242.49</v>
    <v>245.84</v>
    <v>246.28</v>
    <v>245.17</v>
    <v>243.47</v>
    <v>248.43</v>
    <v>248.56</v>
    <v>246.75</v>
    <v>245.3</v>
    <v>239.63</v>
    <v>240.4</v>
    <v>242.59</v>
    <v>243.71</v>
    <v>242.99</v>
    <v>242.04</v>
    <v>241.52</v>
    <v>243.19</v>
    <v>238.11</v>
    <v>237.28</v>
    <v>237.6</v>
    <v>235.37</v>
    <v>235.42</v>
    <v>235.27</v>
    <v>239.93</v>
    <v>239.24</v>
    <v>240.45</v>
    <v>242.49</v>
    <v>244.44</v>
    <v>244.12</v>
    <v>243.04</v>
    <v>240.97</v>
    <v>238.41</v>
    <v>241.3</v>
    <v>241.31</v>
    <v>238.46</v>
    <v>237.96</v>
    <v>240.1</v>
    <v>238.67</v>
    <v>234.54</v>
    <v>234.18</v>
    <v>230.69</v>
  </a>
  <a r="1" c="251">
    <v>78.260000000000005</v>
    <v>79.03</v>
    <v>80.27</v>
    <v>80.84</v>
    <v>80.819999999999993</v>
    <v>81.16</v>
    <v>81.97</v>
    <v>82.15</v>
    <v>81.88</v>
    <v>82.95</v>
    <v>83.01</v>
    <v>82.42</v>
    <v>83.62</v>
    <v>83.5</v>
    <v>86.54</v>
    <v>87.38</v>
    <v>87.01</v>
    <v>88</v>
    <v>88.12</v>
    <v>87.94</v>
    <v>88.35</v>
    <v>87.53</v>
    <v>87.54</v>
    <v>87.32</v>
    <v>87.6</v>
    <v>88.84</v>
    <v>88.22</v>
    <v>88.57</v>
    <v>88.4</v>
    <v>89.26</v>
    <v>89.05</v>
    <v>88.68</v>
    <v>89.1</v>
    <v>89.38</v>
    <v>89.02</v>
    <v>88.54</v>
    <v>88.42</v>
    <v>88.41</v>
    <v>87.29</v>
    <v>87.84</v>
    <v>87.69</v>
    <v>87.81</v>
    <v>87.54</v>
    <v>88.05</v>
    <v>88.98</v>
    <v>89.37</v>
    <v>89.09</v>
    <v>89.25</v>
    <v>90.35</v>
    <v>90.61</v>
    <v>87.89</v>
    <v>88.06</v>
    <v>88.18</v>
    <v>85.78</v>
    <v>85.14</v>
    <v>84.3</v>
    <v>84.77</v>
    <v>85</v>
    <v>85.98</v>
    <v>85.11</v>
    <v>85.45</v>
    <v>85.51</v>
    <v>85.35</v>
    <v>83.75</v>
    <v>85.1</v>
    <v>85.11</v>
    <v>85</v>
    <v>85.6</v>
    <v>84.97</v>
    <v>85.49</v>
    <v>84.67</v>
    <v>84.48</v>
    <v>83.33</v>
    <v>83.71</v>
    <v>84.91</v>
    <v>84.57</v>
    <v>77.849999999999994</v>
    <v>78.45</v>
    <v>79.37</v>
    <v>79.790000000000006</v>
    <v>80.209999999999994</v>
    <v>80.25</v>
    <v>80.64</v>
    <v>80.92</v>
    <v>81.25</v>
    <v>81.67</v>
    <v>81.489999999999995</v>
    <v>80.510000000000005</v>
    <v>81.03</v>
    <v>79.73</v>
    <v>80.12</v>
    <v>80.22</v>
    <v>79.53</v>
    <v>80.09</v>
    <v>79.94</v>
    <v>79.98</v>
    <v>80.73</v>
    <v>81.05</v>
    <v>81.38</v>
    <v>82.42</v>
    <v>82.06</v>
    <v>82.21</v>
    <v>80.87</v>
    <v>81.319999999999993</v>
    <v>82</v>
    <v>83.01</v>
    <v>82.77</v>
    <v>82.63</v>
    <v>82</v>
    <v>82.25</v>
    <v>82.1</v>
    <v>82.68</v>
    <v>83.57</v>
    <v>83.91</v>
    <v>83.98</v>
    <v>84.17</v>
    <v>85.23</v>
    <v>84.87</v>
    <v>86.45</v>
    <v>85.28</v>
    <v>86.24</v>
    <v>87.6</v>
    <v>87.38</v>
    <v>85.72</v>
    <v>84.9</v>
    <v>85.84</v>
    <v>85.64</v>
    <v>86.04</v>
    <v>85.85</v>
    <v>85.98</v>
    <v>87.19</v>
    <v>86.92</v>
    <v>86.12</v>
    <v>85.48</v>
    <v>85.31</v>
    <v>85.74</v>
    <v>86.5</v>
    <v>87.03</v>
    <v>83.41</v>
    <v>82.12</v>
    <v>81.37</v>
    <v>81.180000000000007</v>
    <v>82.8</v>
    <v>82.66</v>
    <v>83.11</v>
    <v>83.02</v>
    <v>82.82</v>
    <v>82.48</v>
    <v>82.77</v>
    <v>84</v>
    <v>83.3</v>
    <v>84.37</v>
    <v>82.41</v>
    <v>82.13</v>
    <v>82.83</v>
    <v>80.86</v>
    <v>80.540000000000006</v>
    <v>80.7</v>
    <v>80.58</v>
    <v>81.12</v>
    <v>81.099999999999994</v>
    <v>81.89</v>
    <v>81.13</v>
    <v>82.23</v>
    <v>83.16</v>
    <v>83.75</v>
    <v>84.23</v>
    <v>84.38</v>
    <v>84.56</v>
    <v>84.86</v>
    <v>85.43</v>
    <v>85.68</v>
    <v>85.41</v>
    <v>86</v>
    <v>85.84</v>
    <v>85.68</v>
    <v>86.32</v>
    <v>87.4</v>
    <v>87.89</v>
    <v>86.97</v>
    <v>86.85</v>
    <v>87.4</v>
    <v>86.74</v>
    <v>85.24</v>
    <v>85.99</v>
    <v>87.21</v>
    <v>87.47</v>
    <v>87.56</v>
    <v>86.34</v>
    <v>86.37</v>
    <v>86.32</v>
    <v>87.23</v>
    <v>86.67</v>
    <v>85.29</v>
    <v>85.41</v>
    <v>86</v>
    <v>85.8</v>
    <v>87.15</v>
    <v>87.84</v>
    <v>89.62</v>
    <v>88.78</v>
    <v>88.99</v>
    <v>87.44</v>
    <v>88.76</v>
    <v>88.07</v>
    <v>93.64</v>
    <v>93.94</v>
    <v>92.47</v>
    <v>90.84</v>
    <v>89.47</v>
    <v>90.84</v>
    <v>88.47</v>
    <v>88.96</v>
    <v>89.57</v>
    <v>89.43</v>
    <v>89.4</v>
    <v>89.17</v>
    <v>88.29</v>
    <v>89.36</v>
    <v>89.54</v>
    <v>88.12</v>
    <v>86.3</v>
    <v>86.37</v>
    <v>86.38</v>
    <v>85.68</v>
    <v>86.15</v>
    <v>87.34</v>
    <v>87.71</v>
    <v>87.02</v>
    <v>85.95</v>
    <v>85.34</v>
    <v>86.62</v>
    <v>86.81</v>
    <v>86.74</v>
    <v>86.65</v>
    <v>85.26</v>
    <v>86.31</v>
    <v>87.15</v>
    <v>87.34</v>
    <v>88.5</v>
    <v>88.42</v>
    <v>88.82</v>
    <v>91.23</v>
    <v>91.31</v>
    <v>90.27</v>
    <v>91.41</v>
    <v>92.42</v>
    <v>93.89</v>
    <v>94.06</v>
    <v>96.31</v>
    <v>96.08</v>
  </a>
  <a r="1" c="251">
    <v>80.87</v>
    <v>82.64</v>
    <v>83.55</v>
    <v>83.66</v>
    <v>84.71</v>
    <v>85.55</v>
    <v>86.47</v>
    <v>86.95</v>
    <v>87.32</v>
    <v>88</v>
    <v>88.07</v>
    <v>87.73</v>
    <v>88.43</v>
    <v>88.79</v>
    <v>88.45</v>
    <v>89.08</v>
    <v>90.31</v>
    <v>91.56</v>
    <v>91.78</v>
    <v>92.71</v>
    <v>92.91</v>
    <v>92.63</v>
    <v>92.85</v>
    <v>93.57</v>
    <v>93.92</v>
    <v>94.55</v>
    <v>93.99</v>
    <v>93.71</v>
    <v>93.43</v>
    <v>92.84</v>
    <v>92.91</v>
    <v>92.92</v>
    <v>93.9</v>
    <v>94.24</v>
    <v>94.03</v>
    <v>93.69</v>
    <v>92.87</v>
    <v>92.93</v>
    <v>92.61</v>
    <v>93.32</v>
    <v>93.69</v>
    <v>93.78</v>
    <v>94.57</v>
    <v>94.69</v>
    <v>95.66</v>
    <v>96.42</v>
    <v>96.35</v>
    <v>96.21</v>
    <v>95.56</v>
    <v>96.66</v>
    <v>97.34</v>
    <v>97.75</v>
    <v>97.89</v>
    <v>98.56</v>
    <v>98.07</v>
    <v>99.56</v>
    <v>100.34</v>
    <v>100.04</v>
    <v>98.98</v>
    <v>98.87</v>
    <v>99.39</v>
    <v>100.34</v>
    <v>100.61</v>
    <v>100.55</v>
    <v>101.22</v>
    <v>100.96</v>
    <v>100.65</v>
    <v>101.44</v>
    <v>101.52</v>
    <v>99.98</v>
    <v>99.36</v>
    <v>99.03</v>
    <v>99.07</v>
    <v>99.77</v>
    <v>99.2</v>
    <v>99</v>
    <v>99.95</v>
    <v>100.3</v>
    <v>100.73</v>
    <v>100.92</v>
    <v>102</v>
    <v>101.99</v>
    <v>101.9</v>
    <v>101.38</v>
    <v>101.48</v>
    <v>101.6</v>
    <v>101.22</v>
    <v>100.68</v>
    <v>102.07</v>
    <v>103.81</v>
    <v>105.91</v>
    <v>106.09</v>
    <v>106.47</v>
    <v>108.19</v>
    <v>109.42</v>
    <v>108.42</v>
    <v>107.91</v>
    <v>108.21</v>
    <v>109.28</v>
    <v>110.03</v>
    <v>109.59</v>
    <v>109.66</v>
    <v>110.33</v>
    <v>110.5</v>
    <v>110.96</v>
    <v>112.53</v>
    <v>112.39</v>
    <v>113.08</v>
    <v>112.17</v>
    <v>111.99</v>
    <v>112.44</v>
    <v>110.86</v>
    <v>111.21</v>
    <v>112.14</v>
    <v>112.7</v>
    <v>113.65</v>
    <v>113.88</v>
    <v>113.88</v>
    <v>112.21</v>
    <v>112.14</v>
    <v>111.82</v>
    <v>112.9</v>
    <v>114.87</v>
    <v>112.69</v>
    <v>112.52</v>
    <v>113.34</v>
    <v>113.21</v>
    <v>113.41</v>
    <v>114.04</v>
    <v>115.26</v>
    <v>116.1</v>
    <v>116.82</v>
    <v>115.34</v>
    <v>115.25</v>
    <v>116.21</v>
    <v>117.84</v>
    <v>117.41</v>
    <v>117.62</v>
    <v>118.73</v>
    <v>118.92</v>
    <v>120.08</v>
    <v>120.12</v>
    <v>121.89</v>
    <v>120.93</v>
    <v>122.27</v>
    <v>122.05</v>
    <v>119.99</v>
    <v>118.19</v>
    <v>117.01</v>
    <v>118.45</v>
    <v>118.6</v>
    <v>119.77</v>
    <v>120.3</v>
    <v>119.94</v>
    <v>120.83</v>
    <v>119.3</v>
    <v>121.06</v>
    <v>121.27</v>
    <v>126.3</v>
    <v>126.15</v>
    <v>125.04</v>
    <v>125.4</v>
    <v>126.62</v>
    <v>127.64</v>
    <v>127.84</v>
    <v>128.38</v>
    <v>128.11000000000001</v>
    <v>126.23</v>
    <v>127.27</v>
    <v>128.16999999999999</v>
    <v>126.99</v>
    <v>126.56</v>
    <v>126.61</v>
    <v>125.6</v>
    <v>125.31</v>
    <v>124.43</v>
    <v>126.22</v>
    <v>127.72</v>
    <v>125.76</v>
    <v>126.79</v>
    <v>127.14</v>
    <v>126.29</v>
    <v>126.94</v>
    <v>127.22</v>
    <v>126.97</v>
    <v>127.99</v>
    <v>128.46</v>
    <v>127.78</v>
    <v>125.08</v>
    <v>126.55</v>
    <v>127.44</v>
    <v>127.04</v>
    <v>125.51</v>
    <v>126.92</v>
    <v>126.33</v>
    <v>128.22999999999999</v>
    <v>125.84</v>
    <v>129.63</v>
    <v>129.43</v>
    <v>129.80000000000001</v>
    <v>129.5</v>
    <v>132.1</v>
    <v>132.94</v>
    <v>132.94999999999999</v>
    <v>131.59</v>
    <v>129.78</v>
    <v>130.51</v>
    <v>131.74</v>
    <v>132.41</v>
    <v>134.47</v>
    <v>136.25</v>
    <v>135.96</v>
    <v>134.53</v>
    <v>137.85</v>
    <v>141.84</v>
    <v>137.79</v>
    <v>138.66999999999999</v>
    <v>137.30000000000001</v>
    <v>138.09</v>
    <v>137.16999999999999</v>
    <v>135.35</v>
    <v>132.9</v>
    <v>134.94</v>
    <v>134.58000000000001</v>
    <v>132.11000000000001</v>
    <v>130.86000000000001</v>
    <v>133.47</v>
    <v>133.93</v>
    <v>132.54</v>
    <v>131.43</v>
    <v>129.47999999999999</v>
    <v>132.56</v>
    <v>133.19999999999999</v>
    <v>134.53</v>
    <v>130.71</v>
    <v>128.9</v>
    <v>127.87</v>
    <v>131.84</v>
    <v>133.57</v>
    <v>133.96</v>
    <v>135.12</v>
    <v>136.58000000000001</v>
    <v>139.65</v>
    <v>141.59</v>
    <v>142.66</v>
    <v>144.4</v>
    <v>146.07</v>
    <v>147.4</v>
    <v>147.36000000000001</v>
    <v>149.43</v>
    <v>150.38999999999999</v>
  </a>
  <a r="1" c="251">
    <v>57.67</v>
    <v>58.06</v>
    <v>57.28</v>
    <v>56.39</v>
    <v>56.14</v>
    <v>55.75</v>
    <v>56.15</v>
    <v>56.74</v>
    <v>55.58</v>
    <v>55.43</v>
    <v>55.05</v>
    <v>54.56</v>
    <v>54.44</v>
    <v>54.71</v>
    <v>54.5</v>
    <v>54.84</v>
    <v>53.77</v>
    <v>53.28</v>
    <v>54.4</v>
    <v>55.13</v>
    <v>54.83</v>
    <v>54.79</v>
    <v>53.36</v>
    <v>53.34</v>
    <v>53.38</v>
    <v>54.13</v>
    <v>53.37</v>
    <v>53.99</v>
    <v>54.26</v>
    <v>54.13</v>
    <v>54.31</v>
    <v>54.61</v>
    <v>54.55</v>
    <v>54.77</v>
    <v>54.8</v>
    <v>54.5</v>
    <v>54.23</v>
    <v>54.74</v>
    <v>53.56</v>
    <v>53.53</v>
    <v>53.08</v>
    <v>52.96</v>
    <v>52.99</v>
    <v>53.47</v>
    <v>53.41</v>
    <v>50.68</v>
    <v>50.37</v>
    <v>50.52</v>
    <v>51.81</v>
    <v>53.19</v>
    <v>53.83</v>
    <v>53.15</v>
    <v>51.84</v>
    <v>51.84</v>
    <v>51.2</v>
    <v>51.36</v>
    <v>51.58</v>
    <v>50.97</v>
    <v>50.01</v>
    <v>50.09</v>
    <v>50.29</v>
    <v>50.1</v>
    <v>49.18</v>
    <v>50.95</v>
    <v>51.27</v>
    <v>50.95</v>
    <v>51.07</v>
    <v>49.85</v>
    <v>50.02</v>
    <v>49.21</v>
    <v>48.98</v>
    <v>48.94</v>
    <v>49.02</v>
    <v>49.15</v>
    <v>49.31</v>
    <v>50.15</v>
    <v>49.83</v>
    <v>49.35</v>
    <v>49.16</v>
    <v>49.73</v>
    <v>49.67</v>
    <v>49.65</v>
    <v>49.35</v>
    <v>49.91</v>
    <v>49.64</v>
    <v>49.81</v>
    <v>50.18</v>
    <v>49.33</v>
    <v>49.25</v>
    <v>49.25</v>
    <v>48.44</v>
    <v>49.33</v>
    <v>49.32</v>
    <v>49.75</v>
    <v>49.61</v>
    <v>50.58</v>
    <v>50.12</v>
    <v>50.35</v>
    <v>50.01</v>
    <v>50.61</v>
    <v>49.92</v>
    <v>49.01</v>
    <v>49.56</v>
    <v>49.18</v>
    <v>49.85</v>
    <v>50.35</v>
    <v>50.07</v>
    <v>50.56</v>
    <v>51.11</v>
    <v>49.43</v>
    <v>50.09</v>
    <v>49.66</v>
    <v>50.42</v>
    <v>50.7</v>
    <v>50.32</v>
    <v>50.36</v>
    <v>50.18</v>
    <v>50.93</v>
    <v>49.75</v>
    <v>49.21</v>
    <v>49.34</v>
    <v>48.15</v>
    <v>48.58</v>
    <v>47.74</v>
    <v>47.71</v>
    <v>48.39</v>
    <v>48.81</v>
    <v>48.57</v>
    <v>49.18</v>
    <v>47.93</v>
    <v>47.41</v>
    <v>48.29</v>
    <v>48.05</v>
    <v>46.57</v>
    <v>47.05</v>
    <v>46.61</v>
    <v>46.43</v>
    <v>46.38</v>
    <v>46.39</v>
    <v>45.98</v>
    <v>46.88</v>
    <v>46.22</v>
    <v>46.65</v>
    <v>46.5</v>
    <v>47.33</v>
    <v>47.41</v>
    <v>46.97</v>
    <v>47.69</v>
    <v>47.63</v>
    <v>47.81</v>
    <v>48.33</v>
    <v>46.95</v>
    <v>46.95</v>
    <v>47.17</v>
    <v>47.35</v>
    <v>47.07</v>
    <v>45.93</v>
    <v>46.2</v>
    <v>45.98</v>
    <v>45.93</v>
    <v>45.96</v>
    <v>45.64</v>
    <v>45.71</v>
    <v>46.23</v>
    <v>46.69</v>
    <v>47.06</v>
    <v>47.02</v>
    <v>48.61</v>
    <v>48.71</v>
    <v>47.86</v>
    <v>47.4</v>
    <v>46.64</v>
    <v>47</v>
    <v>47.05</v>
    <v>46.92</v>
    <v>46.67</v>
    <v>46.5</v>
    <v>45.72</v>
    <v>44.37</v>
    <v>43.84</v>
    <v>42.95</v>
    <v>43.92</v>
    <v>44.6</v>
    <v>43.48</v>
    <v>44.27</v>
    <v>45.62</v>
    <v>45.6</v>
    <v>44.51</v>
    <v>44.45</v>
    <v>43.98</v>
    <v>44.49</v>
    <v>44.56</v>
    <v>44.63</v>
    <v>44.71</v>
    <v>44.35</v>
    <v>44.43</v>
    <v>46.26</v>
    <v>45.62</v>
    <v>46.5</v>
    <v>48.5</v>
    <v>48.37</v>
    <v>47.87</v>
    <v>48.1</v>
    <v>48.66</v>
    <v>49.01</v>
    <v>48.58</v>
    <v>48.34</v>
    <v>44.96</v>
    <v>45.36</v>
    <v>44.8</v>
    <v>44.62</v>
    <v>45.38</v>
    <v>45.42</v>
    <v>44.54</v>
    <v>44.93</v>
    <v>45.23</v>
    <v>45.12</v>
    <v>44.54</v>
    <v>43.56</v>
    <v>43.57</v>
    <v>44.29</v>
    <v>43.4</v>
    <v>42.28</v>
    <v>40.659999999999997</v>
    <v>39.4</v>
    <v>39.380000000000003</v>
    <v>38.979999999999997</v>
    <v>38.74</v>
    <v>37.590000000000003</v>
    <v>37.5</v>
    <v>37.01</v>
    <v>37.36</v>
    <v>36.799999999999997</v>
    <v>36.17</v>
    <v>36.020000000000003</v>
    <v>36.450000000000003</v>
    <v>37.11</v>
    <v>37.22</v>
    <v>37.21</v>
    <v>37.42</v>
    <v>37.67</v>
    <v>36.799999999999997</v>
    <v>36.6</v>
    <v>36.75</v>
    <v>35.590000000000003</v>
    <v>34.56</v>
    <v>34.700000000000003</v>
    <v>34.49</v>
    <v>35.32</v>
    <v>35.5</v>
    <v>35.28</v>
  </a>
  <a r="1" c="251">
    <v>92.41</v>
    <v>94.85</v>
    <v>94.96</v>
    <v>95.84</v>
    <v>95.09</v>
    <v>95.22</v>
    <v>96.04</v>
    <v>97.25</v>
    <v>97.41</v>
    <v>98.75</v>
    <v>99.33</v>
    <v>98.55</v>
    <v>98.83</v>
    <v>97.43</v>
    <v>96.72</v>
    <v>96.75</v>
    <v>95.88</v>
    <v>96.83</v>
    <v>96.35</v>
    <v>98.24</v>
    <v>98.12</v>
    <v>97.8</v>
    <v>96.43</v>
    <v>95.93</v>
    <v>96.34</v>
    <v>97.58</v>
    <v>97.24</v>
    <v>97.1</v>
    <v>98.72</v>
    <v>99.77</v>
    <v>99.98</v>
    <v>99.35</v>
    <v>97.96</v>
    <v>97.47</v>
    <v>97.45</v>
    <v>97.32</v>
    <v>95.8</v>
    <v>94.83</v>
    <v>94.44</v>
    <v>94.29</v>
    <v>94.25</v>
    <v>95.09</v>
    <v>96.12</v>
    <v>97.87</v>
    <v>98</v>
    <v>97.26</v>
    <v>96.02</v>
    <v>97.27</v>
    <v>97.78</v>
    <v>98.24</v>
    <v>97.61</v>
    <v>98.36</v>
    <v>99.35</v>
    <v>97.09</v>
    <v>96.81</v>
    <v>94.86</v>
    <v>94.4</v>
    <v>95.78</v>
    <v>95.39</v>
    <v>95.15</v>
    <v>95.09</v>
    <v>95.05</v>
    <v>95.67</v>
    <v>95.85</v>
    <v>95.68</v>
    <v>96.6</v>
    <v>97.47</v>
    <v>97.61</v>
    <v>98.33</v>
    <v>97.59</v>
    <v>97.98</v>
    <v>98.49</v>
    <v>99.59</v>
    <v>99.31</v>
    <v>103.36</v>
    <v>103.12</v>
    <v>103.73</v>
    <v>103.93</v>
    <v>103.62</v>
    <v>100.99</v>
    <v>100.85</v>
    <v>100</v>
    <v>100.7</v>
    <v>101.29</v>
    <v>102.57</v>
    <v>97.96</v>
    <v>96.83</v>
    <v>96.07</v>
    <v>96.05</v>
    <v>96.08</v>
    <v>96.11</v>
    <v>96.98</v>
    <v>97.85</v>
    <v>99.44</v>
    <v>100.93</v>
    <v>100.51</v>
    <v>102.28</v>
    <v>102.29</v>
    <v>100.41</v>
    <v>102.65</v>
    <v>103.49</v>
    <v>103.69</v>
    <v>103.42</v>
    <v>104.27</v>
    <v>103.6</v>
    <v>102.33</v>
    <v>102.82</v>
    <v>102.52</v>
    <v>102.73</v>
    <v>103.05</v>
    <v>103.16</v>
    <v>103.08</v>
    <v>103.06</v>
    <v>101.96</v>
    <v>101.7</v>
    <v>102.07</v>
    <v>102.7</v>
    <v>103.24</v>
    <v>102.9</v>
    <v>101.77</v>
    <v>101.84</v>
    <v>102.12</v>
    <v>107.21</v>
    <v>109.03</v>
    <v>106.47</v>
    <v>107.73</v>
    <v>107.05</v>
    <v>106.22</v>
    <v>107.14</v>
    <v>106.86</v>
    <v>106.17</v>
    <v>104.47</v>
    <v>103.17</v>
    <v>102.46</v>
    <v>102.23</v>
    <v>101.18</v>
    <v>101.59</v>
    <v>102.27</v>
    <v>101.47</v>
    <v>101.68</v>
    <v>102.59</v>
    <v>102.42</v>
    <v>103.44</v>
    <v>103.44</v>
    <v>102.54</v>
    <v>102.48</v>
    <v>102.95</v>
    <v>101.39</v>
    <v>100.61</v>
    <v>107.11</v>
    <v>105.32</v>
    <v>104.06</v>
    <v>107</v>
    <v>109.1</v>
    <v>110.51</v>
    <v>111.53</v>
    <v>112.41</v>
    <v>114.41</v>
    <v>114.84</v>
    <v>115.11</v>
    <v>113.56</v>
    <v>115.06</v>
    <v>113.18</v>
    <v>115.52</v>
    <v>116.7</v>
    <v>116.79</v>
    <v>115.42</v>
    <v>115.66</v>
    <v>114.83</v>
    <v>114.36</v>
    <v>112.6</v>
    <v>110.9</v>
    <v>111.61</v>
    <v>111.74</v>
    <v>112.53</v>
    <v>111.92</v>
    <v>111.41</v>
    <v>112.76</v>
    <v>112.71</v>
    <v>114.34</v>
    <v>112.72</v>
    <v>113.07</v>
    <v>114.53</v>
    <v>117.97</v>
    <v>120.36</v>
    <v>120.04</v>
    <v>119.2</v>
    <v>119.7</v>
    <v>118.71</v>
    <v>119.36</v>
    <v>117.83</v>
    <v>117.73</v>
    <v>117.64</v>
    <v>116.94</v>
    <v>116.57</v>
    <v>117.41</v>
    <v>119.14</v>
    <v>124.06</v>
    <v>127.71</v>
    <v>128</v>
    <v>126.94</v>
    <v>131.18</v>
    <v>129.02000000000001</v>
    <v>126.7</v>
    <v>128.77000000000001</v>
    <v>133.63999999999999</v>
    <v>133.88999999999999</v>
    <v>128.85</v>
    <v>126.62</v>
    <v>124.87</v>
    <v>122.99</v>
    <v>125.81</v>
    <v>126.75</v>
    <v>125.75</v>
    <v>124.42</v>
    <v>127.95</v>
    <v>127.1</v>
    <v>127.91</v>
    <v>127.81</v>
    <v>123.31</v>
    <v>123.8</v>
    <v>124.34</v>
    <v>125.12</v>
    <v>123.49</v>
    <v>125.33</v>
    <v>126.52</v>
    <v>125.99</v>
    <v>125.08</v>
    <v>121.98</v>
    <v>121.09</v>
    <v>119.02</v>
    <v>120.72</v>
    <v>122.05</v>
    <v>123.06</v>
    <v>122.18</v>
    <v>122.89</v>
    <v>123.5</v>
    <v>124.28</v>
    <v>124.74</v>
    <v>125.79</v>
    <v>126.79</v>
    <v>122.49</v>
    <v>127.26</v>
    <v>129.13</v>
    <v>126.77</v>
    <v>124.57</v>
    <v>125.05</v>
    <v>124.76</v>
    <v>124.82</v>
    <v>127.5</v>
    <v>127.92</v>
  </a>
  <a r="1" c="251">
    <v>125.23</v>
    <v>126.14</v>
    <v>129.68</v>
    <v>131.66999999999999</v>
    <v>132.05000000000001</v>
    <v>132.07</v>
    <v>132.86000000000001</v>
    <v>133.91999999999999</v>
    <v>132.62</v>
    <v>137.02000000000001</v>
    <v>134.5</v>
    <v>132.99</v>
    <v>134.46</v>
    <v>133.83000000000001</v>
    <v>135.31</v>
    <v>136.74</v>
    <v>137.55000000000001</v>
    <v>139.30000000000001</v>
    <v>141.52000000000001</v>
    <v>142.03</v>
    <v>141.99</v>
    <v>140.02000000000001</v>
    <v>140.09</v>
    <v>138.88999999999999</v>
    <v>140.57</v>
    <v>141.84</v>
    <v>143.4</v>
    <v>140.86000000000001</v>
    <v>139.72</v>
    <v>139.38999999999999</v>
    <v>140.16</v>
    <v>139.66999999999999</v>
    <v>140.22</v>
    <v>142.32</v>
    <v>140.94999999999999</v>
    <v>140.02000000000001</v>
    <v>140.72</v>
    <v>141.30000000000001</v>
    <v>142.26</v>
    <v>143.75</v>
    <v>142.56</v>
    <v>142.01</v>
    <v>144.15</v>
    <v>144.16</v>
    <v>145.01</v>
    <v>143.91999999999999</v>
    <v>145.55000000000001</v>
    <v>146.51</v>
    <v>147.38</v>
    <v>149.29</v>
    <v>145.81</v>
    <v>146.35</v>
    <v>146.61000000000001</v>
    <v>144.96</v>
    <v>144.83000000000001</v>
    <v>144.15</v>
    <v>144.19</v>
    <v>143.44</v>
    <v>144.61000000000001</v>
    <v>143.71</v>
    <v>144.43</v>
    <v>145.04</v>
    <v>144.9</v>
    <v>143.55000000000001</v>
    <v>144.78</v>
    <v>143.12</v>
    <v>143.19</v>
    <v>144.38999999999999</v>
    <v>143.37</v>
    <v>143.08000000000001</v>
    <v>136.32</v>
    <v>135.63</v>
    <v>135.34</v>
    <v>138.44999999999999</v>
    <v>142.13999999999999</v>
    <v>142.44</v>
    <v>141.27000000000001</v>
    <v>143.27000000000001</v>
    <v>145.61000000000001</v>
    <v>147.19</v>
    <v>149</v>
    <v>147.35</v>
    <v>148.12</v>
    <v>146.38</v>
    <v>147.18</v>
    <v>150.04</v>
    <v>151.06</v>
    <v>149.56</v>
    <v>148.07</v>
    <v>148.34</v>
    <v>149.24</v>
    <v>147.75</v>
    <v>149.31</v>
    <v>152.27000000000001</v>
    <v>153.59</v>
    <v>149.18</v>
    <v>151.49</v>
    <v>152.63</v>
    <v>152.68</v>
    <v>155.94</v>
    <v>155.16999999999999</v>
    <v>156</v>
    <v>153.32</v>
    <v>153.86000000000001</v>
    <v>154.71</v>
    <v>156.36000000000001</v>
    <v>156.13</v>
    <v>155.15</v>
    <v>153.28</v>
    <v>153.28</v>
    <v>153.18</v>
    <v>157.18</v>
    <v>158.22999999999999</v>
    <v>158.54</v>
    <v>159.46</v>
    <v>160.26</v>
    <v>161.19999999999999</v>
    <v>160.88</v>
    <v>159.76</v>
    <v>157.37</v>
    <v>158.21</v>
    <v>158.83000000000001</v>
    <v>159.80000000000001</v>
    <v>157.12</v>
    <v>156.04</v>
    <v>157.34</v>
    <v>159.41</v>
    <v>158.81</v>
    <v>160.69999999999999</v>
    <v>163.34</v>
    <v>164.16</v>
    <v>164.66</v>
    <v>162.93</v>
    <v>163.08000000000001</v>
    <v>165.56</v>
    <v>167.52</v>
    <v>167.55</v>
    <v>162.85</v>
    <v>162.12</v>
    <v>161.33000000000001</v>
    <v>161.49</v>
    <v>162.77000000000001</v>
    <v>167.11</v>
    <v>165.9</v>
    <v>164.79</v>
    <v>163.58000000000001</v>
    <v>165.24</v>
    <v>164.3</v>
    <v>163.9</v>
    <v>166.09</v>
    <v>169.01</v>
    <v>170.36</v>
    <v>164.78</v>
    <v>164.76</v>
    <v>165.06</v>
    <v>165.7</v>
    <v>163.79</v>
    <v>165.2</v>
    <v>165.61</v>
    <v>166.01</v>
    <v>167.25</v>
    <v>168.27</v>
    <v>170.95</v>
    <v>173.52</v>
    <v>174.8</v>
    <v>176.13</v>
    <v>176.71</v>
    <v>176.16</v>
    <v>177.54</v>
    <v>175.27</v>
    <v>178.62</v>
    <v>178.8</v>
    <v>177.86</v>
    <v>178.8</v>
    <v>178</v>
    <v>177.83</v>
    <v>177.41</v>
    <v>180.06</v>
    <v>181.65</v>
    <v>181.01</v>
    <v>178.24</v>
    <v>179.67</v>
    <v>179.54</v>
    <v>176.41</v>
    <v>177.61</v>
    <v>181.9</v>
    <v>174.34</v>
    <v>174.88</v>
    <v>170.65</v>
    <v>171.58</v>
    <v>170.3</v>
    <v>168.85</v>
    <v>168.03</v>
    <v>166.28</v>
    <v>165.96</v>
    <v>166.91</v>
    <v>167.31</v>
    <v>169.27</v>
    <v>170.84</v>
    <v>170.94</v>
    <v>171.41</v>
    <v>172.87</v>
    <v>172</v>
    <v>171.74</v>
    <v>168.89</v>
    <v>166.5</v>
    <v>168.02</v>
    <v>170.06</v>
    <v>151.34</v>
    <v>149.85</v>
    <v>155.44999999999999</v>
    <v>153.76</v>
    <v>155.86000000000001</v>
    <v>156.43</v>
    <v>157.05000000000001</v>
    <v>155.13</v>
    <v>154.07</v>
    <v>152.53</v>
    <v>152.38999999999999</v>
    <v>150.97</v>
    <v>149.19999999999999</v>
    <v>149.33000000000001</v>
    <v>150.55000000000001</v>
    <v>149.46</v>
    <v>149</v>
    <v>147.33000000000001</v>
    <v>149.74</v>
    <v>151.18</v>
    <v>150.4</v>
    <v>147.18</v>
    <v>146.18</v>
    <v>149.69999999999999</v>
    <v>151.18</v>
    <v>152.94</v>
    <v>152.69999999999999</v>
    <v>151.38</v>
    <v>150.77000000000001</v>
    <v>154.38</v>
    <v>156.28</v>
    <v>157.38999999999999</v>
    <v>158.66</v>
    <v>160.74</v>
    <v>164.01</v>
    <v>166.56</v>
    <v>166.02</v>
    <v>168.47</v>
    <v>171.19</v>
    <v>172.67</v>
    <v>171.03</v>
    <v>172.58</v>
    <v>172.42</v>
  </a>
  <a r="1" c="251">
    <v>18.84</v>
    <v>19.510000000000002</v>
    <v>20.59</v>
    <v>21.49</v>
    <v>20.05</v>
    <v>20.51</v>
    <v>20.34</v>
    <v>20.100000000000001</v>
    <v>19.98</v>
    <v>20.62</v>
    <v>20.27</v>
    <v>19.940000000000001</v>
    <v>20.309999999999999</v>
    <v>21</v>
    <v>21.42</v>
    <v>22.18</v>
    <v>22.56</v>
    <v>21.52</v>
    <v>21.55</v>
    <v>21.66</v>
    <v>21.38</v>
    <v>21.27</v>
    <v>20.69</v>
    <v>20.55</v>
    <v>20.05</v>
    <v>20.55</v>
    <v>20.37</v>
    <v>20.25</v>
    <v>19.55</v>
    <v>19.739999999999998</v>
    <v>20.29</v>
    <v>20.25</v>
    <v>19.989999999999998</v>
    <v>20.059999999999999</v>
    <v>20.48</v>
    <v>22.08</v>
    <v>20.68</v>
    <v>20.77</v>
    <v>20.14</v>
    <v>20.74</v>
    <v>20.8</v>
    <v>21.49</v>
    <v>21.08</v>
    <v>21.19</v>
    <v>22.55</v>
    <v>22.2</v>
    <v>22.5</v>
    <v>22.69</v>
    <v>22.4</v>
    <v>22.85</v>
    <v>21.88</v>
    <v>22.49</v>
    <v>22</v>
    <v>23.59</v>
    <v>23.44</v>
    <v>23.82</v>
    <v>23.43</v>
    <v>23.3</v>
    <v>22.92</v>
    <v>22.69</v>
    <v>22.8</v>
    <v>23.1</v>
    <v>23.26</v>
    <v>23.24</v>
    <v>23.49</v>
    <v>22.63</v>
    <v>20.7</v>
    <v>20.68</v>
    <v>20.41</v>
    <v>20.34</v>
    <v>19.8</v>
    <v>19.309999999999999</v>
    <v>19.5</v>
    <v>20.190000000000001</v>
    <v>20.41</v>
    <v>19.77</v>
    <v>19.95</v>
    <v>20.65</v>
    <v>21.81</v>
    <v>22.22</v>
    <v>23.86</v>
    <v>24.56</v>
    <v>23.66</v>
    <v>25.31</v>
    <v>23.54</v>
    <v>23.5</v>
    <v>24.8</v>
    <v>24.55</v>
    <v>24.35</v>
    <v>24.85</v>
    <v>24.93</v>
    <v>24.35</v>
    <v>24.21</v>
    <v>24</v>
    <v>24.61</v>
    <v>24.49</v>
    <v>24.48</v>
    <v>24.44</v>
    <v>24.77</v>
    <v>24.61</v>
    <v>24.08</v>
    <v>24.77</v>
    <v>25.27</v>
    <v>24.9</v>
    <v>30.57</v>
    <v>29.58</v>
    <v>28.76</v>
    <v>29.34</v>
    <v>31.22</v>
    <v>33.99</v>
    <v>35.5</v>
    <v>34.479999999999997</v>
    <v>33.549999999999997</v>
    <v>35.94</v>
    <v>37.299999999999997</v>
    <v>36.83</v>
    <v>36.590000000000003</v>
    <v>37.17</v>
    <v>37.43</v>
    <v>37.799999999999997</v>
    <v>36.369999999999997</v>
    <v>37.22</v>
    <v>35.630000000000003</v>
    <v>37.15</v>
    <v>36.840000000000003</v>
    <v>37.01</v>
    <v>38.1</v>
    <v>38.119999999999997</v>
    <v>36.92</v>
    <v>38.159999999999997</v>
    <v>38.28</v>
    <v>39.54</v>
    <v>41.53</v>
    <v>41.34</v>
    <v>40.159999999999997</v>
    <v>39.99</v>
    <v>39.5</v>
    <v>37.03</v>
    <v>38.380000000000003</v>
    <v>37.24</v>
    <v>38.130000000000003</v>
    <v>38.450000000000003</v>
    <v>37.880000000000003</v>
    <v>37.89</v>
    <v>35.909999999999997</v>
    <v>35.520000000000003</v>
    <v>34.71</v>
    <v>34.33</v>
    <v>35.11</v>
    <v>33.619999999999997</v>
    <v>34.5</v>
    <v>35.79</v>
    <v>35.83</v>
    <v>36.81</v>
    <v>40.56</v>
    <v>40.01</v>
    <v>43.47</v>
    <v>43.76</v>
    <v>40.5</v>
    <v>41.41</v>
    <v>40.299999999999997</v>
    <v>40.5</v>
    <v>40.78</v>
    <v>39.51</v>
    <v>37.81</v>
    <v>37.51</v>
    <v>37.31</v>
    <v>36.049999999999997</v>
    <v>36.28</v>
    <v>36.82</v>
    <v>36.369999999999997</v>
    <v>36.35</v>
    <v>36.159999999999997</v>
    <v>36.200000000000003</v>
    <v>36.68</v>
    <v>37.299999999999997</v>
    <v>36.9</v>
    <v>39.380000000000003</v>
    <v>39.369999999999997</v>
    <v>40.04</v>
    <v>42.63</v>
    <v>41.11</v>
    <v>45.55</v>
    <v>44.06</v>
    <v>47.29</v>
    <v>48.72</v>
    <v>48.32</v>
    <v>46.96</v>
    <v>48.56</v>
    <v>54.25</v>
    <v>54.32</v>
    <v>45.07</v>
    <v>42.49</v>
    <v>43.93</v>
    <v>48.78</v>
    <v>48.66</v>
    <v>46.47</v>
    <v>48.81</v>
    <v>49.25</v>
    <v>48.6</v>
    <v>48.24</v>
    <v>50.59</v>
    <v>50.24</v>
    <v>47.13</v>
    <v>48.29</v>
    <v>46.48</v>
    <v>46.79</v>
    <v>46.18</v>
    <v>45.46</v>
    <v>44.62</v>
    <v>44.11</v>
    <v>43.63</v>
    <v>46.12</v>
    <v>46.88</v>
    <v>45.46</v>
    <v>45.61</v>
    <v>45.5</v>
    <v>43.1</v>
    <v>45.58</v>
    <v>45.95</v>
    <v>43.42</v>
    <v>45.58</v>
    <v>46.78</v>
    <v>47.98</v>
    <v>45.25</v>
    <v>45.77</v>
    <v>45.76</v>
    <v>44.06</v>
    <v>45.03</v>
    <v>46.18</v>
    <v>43.87</v>
    <v>44.01</v>
    <v>44.06</v>
    <v>47.18</v>
    <v>44.1</v>
    <v>43.13</v>
    <v>41.19</v>
    <v>44.13</v>
    <v>48.03</v>
    <v>50.38</v>
    <v>50.78</v>
    <v>52.91</v>
    <v>58.95</v>
    <v>61.72</v>
    <v>62.38</v>
    <v>65.180000000000007</v>
    <v>63.81</v>
    <v>64.94</v>
    <v>68.5</v>
    <v>68.5</v>
    <v>65.7</v>
  </a>
  <a r="1" c="251">
    <v>72.77</v>
    <v>73.900000000000006</v>
    <v>73.3</v>
    <v>72.52</v>
    <v>71.91</v>
    <v>71.790000000000006</v>
    <v>72.349999999999994</v>
    <v>72.55</v>
    <v>71.290000000000006</v>
    <v>71.650000000000006</v>
    <v>71.7</v>
    <v>71.72</v>
    <v>72.400000000000006</v>
    <v>71.17</v>
    <v>70.52</v>
    <v>69.53</v>
    <v>68.959999999999994</v>
    <v>69.16</v>
    <v>71.61</v>
    <v>72</v>
    <v>71.930000000000007</v>
    <v>71.69</v>
    <v>71.849999999999994</v>
    <v>71.14</v>
    <v>71.77</v>
    <v>71.78</v>
    <v>71.150000000000006</v>
    <v>71.489999999999995</v>
    <v>72.099999999999994</v>
    <v>72</v>
    <v>71.16</v>
    <v>71.37</v>
    <v>70.91</v>
    <v>71.349999999999994</v>
    <v>71.77</v>
    <v>72.349999999999994</v>
    <v>72.069999999999993</v>
    <v>72.239999999999995</v>
    <v>71.02</v>
    <v>70.52</v>
    <v>69.62</v>
    <v>69.209999999999994</v>
    <v>68.84</v>
    <v>69.739999999999995</v>
    <v>70.209999999999994</v>
    <v>69.63</v>
    <v>69.47</v>
    <v>70.33</v>
    <v>70.75</v>
    <v>71.67</v>
    <v>70.91</v>
    <v>71.349999999999994</v>
    <v>71.010000000000005</v>
    <v>70.239999999999995</v>
    <v>69.48</v>
    <v>69.77</v>
    <v>69.87</v>
    <v>69.47</v>
    <v>69.36</v>
    <v>69.27</v>
    <v>70.59</v>
    <v>69.849999999999994</v>
    <v>70.069999999999993</v>
    <v>69.66</v>
    <v>69.16</v>
    <v>69.099999999999994</v>
    <v>69.17</v>
    <v>68.09</v>
    <v>69.38</v>
    <v>68.75</v>
    <v>67.89</v>
    <v>68.86</v>
    <v>68.959999999999994</v>
    <v>69.05</v>
    <v>69.510000000000005</v>
    <v>70.430000000000007</v>
    <v>70.34</v>
    <v>70.75</v>
    <v>70.709999999999994</v>
    <v>70.459999999999994</v>
    <v>69.55</v>
    <v>69.92</v>
    <v>69.13</v>
    <v>70.13</v>
    <v>70.7</v>
    <v>70.66</v>
    <v>70.13</v>
    <v>68.930000000000007</v>
    <v>68.73</v>
    <v>68.83</v>
    <v>68.36</v>
    <v>68.989999999999995</v>
    <v>69.06</v>
    <v>68.989999999999995</v>
    <v>68.25</v>
    <v>67.959999999999994</v>
    <v>67.430000000000007</v>
    <v>67.86</v>
    <v>67.819999999999993</v>
    <v>67.62</v>
    <v>67.010000000000005</v>
    <v>66.209999999999994</v>
    <v>66.239999999999995</v>
    <v>67.040000000000006</v>
    <v>66.459999999999994</v>
    <v>66.430000000000007</v>
    <v>66.209999999999994</v>
    <v>66.709999999999994</v>
    <v>66.45</v>
    <v>65.98</v>
    <v>65.67</v>
    <v>66.040000000000006</v>
    <v>66.319999999999993</v>
    <v>66.78</v>
    <v>66.099999999999994</v>
    <v>66.650000000000006</v>
    <v>66.099999999999994</v>
    <v>66.790000000000006</v>
    <v>66.12</v>
    <v>66.37</v>
    <v>67.040000000000006</v>
    <v>66.8</v>
    <v>67.510000000000005</v>
    <v>67.08</v>
    <v>67.59</v>
    <v>68.44</v>
    <v>68.44</v>
    <v>71.22</v>
    <v>70.81</v>
    <v>69.94</v>
    <v>69.709999999999994</v>
    <v>70.06</v>
    <v>70.16</v>
    <v>68.349999999999994</v>
    <v>68.98</v>
    <v>68.900000000000006</v>
    <v>67.97</v>
    <v>68.66</v>
    <v>68.510000000000005</v>
    <v>69.06</v>
    <v>70.55</v>
    <v>70.52</v>
    <v>71.61</v>
    <v>71.510000000000005</v>
    <v>71.069999999999993</v>
    <v>71.16</v>
    <v>70.680000000000007</v>
    <v>71.22</v>
    <v>71.11</v>
    <v>71.209999999999994</v>
    <v>72.95</v>
    <v>72.59</v>
    <v>72.61</v>
    <v>72.88</v>
    <v>73.12</v>
    <v>71.95</v>
    <v>70.67</v>
    <v>70.81</v>
    <v>70.45</v>
    <v>70</v>
    <v>70.25</v>
    <v>70.09</v>
    <v>70.209999999999994</v>
    <v>69.11</v>
    <v>70.52</v>
    <v>70.97</v>
    <v>70.37</v>
    <v>70.67</v>
    <v>70.36</v>
    <v>70.06</v>
    <v>70.209999999999994</v>
    <v>69.87</v>
    <v>70.11</v>
    <v>69.87</v>
    <v>70.16</v>
    <v>70.069999999999993</v>
    <v>69.91</v>
    <v>69.12</v>
    <v>67.94</v>
    <v>67.84</v>
    <v>67.540000000000006</v>
    <v>69.37</v>
    <v>70.510000000000005</v>
    <v>70.5</v>
    <v>71.239999999999995</v>
    <v>71.44</v>
    <v>70.48</v>
    <v>70.44</v>
    <v>71.75</v>
    <v>72.010000000000005</v>
    <v>71.87</v>
    <v>72.88</v>
    <v>72.56</v>
    <v>73.55</v>
    <v>73.06</v>
    <v>73.430000000000007</v>
    <v>74.81</v>
    <v>75.33</v>
    <v>76.89</v>
    <v>77.349999999999994</v>
    <v>78.510000000000005</v>
    <v>79.03</v>
    <v>77.97</v>
    <v>76.81</v>
    <v>78.599999999999994</v>
    <v>79</v>
    <v>78.680000000000007</v>
    <v>79.56</v>
    <v>79.489999999999995</v>
    <v>78.91</v>
    <v>79.84</v>
    <v>80.56</v>
    <v>80.72</v>
    <v>80.47</v>
    <v>80.5</v>
    <v>81.56</v>
    <v>80.22</v>
    <v>79.34</v>
    <v>78.099999999999994</v>
    <v>77.03</v>
    <v>77.040000000000006</v>
    <v>77.8</v>
    <v>77.88</v>
    <v>77.63</v>
    <v>77.61</v>
    <v>77.34</v>
    <v>77.819999999999993</v>
    <v>77.58</v>
    <v>75.97</v>
    <v>75.55</v>
    <v>74.75</v>
    <v>75.11</v>
    <v>74.67</v>
    <v>75.25</v>
    <v>74.69</v>
    <v>75.709999999999994</v>
    <v>76.27</v>
    <v>76.05</v>
    <v>76.08</v>
    <v>76.72</v>
    <v>77.22</v>
    <v>75.91</v>
    <v>77.290000000000006</v>
    <v>78.180000000000007</v>
    <v>77.47</v>
    <v>76.41</v>
    <v>75.900000000000006</v>
    <v>75.31</v>
    <v>75.180000000000007</v>
    <v>75.739999999999995</v>
    <v>75.48</v>
  </a>
  <a r="1" c="251">
    <v>84.18</v>
    <v>85.6</v>
    <v>85.7</v>
    <v>86.2</v>
    <v>86.17</v>
    <v>86.68</v>
    <v>87.56</v>
    <v>88.09</v>
    <v>87.41</v>
    <v>88.34</v>
    <v>88.18</v>
    <v>87.45</v>
    <v>87.34</v>
    <v>87.76</v>
    <v>88.07</v>
    <v>88.52</v>
    <v>89.13</v>
    <v>89.8</v>
    <v>90.72</v>
    <v>89.83</v>
    <v>90.17</v>
    <v>89.9</v>
    <v>92.81</v>
    <v>92.91</v>
    <v>93.42</v>
    <v>94.32</v>
    <v>94.24</v>
    <v>94.92</v>
    <v>94.77</v>
    <v>94.96</v>
    <v>96.02</v>
    <v>95.22</v>
    <v>95.6</v>
    <v>96.35</v>
    <v>95.92</v>
    <v>96.76</v>
    <v>95.98</v>
    <v>96.31</v>
    <v>96.23</v>
    <v>96.46</v>
    <v>96.8</v>
    <v>97.69</v>
    <v>97.43</v>
    <v>97.39</v>
    <v>97.77</v>
    <v>98.58</v>
    <v>98.84</v>
    <v>99.46</v>
    <v>99.45</v>
    <v>100.16</v>
    <v>101.1</v>
    <v>101.59</v>
    <v>101.69</v>
    <v>101.27</v>
    <v>101.4</v>
    <v>101.44</v>
    <v>100.98</v>
    <v>100.69</v>
    <v>101.48</v>
    <v>100.87</v>
    <v>101.29</v>
    <v>101.67</v>
    <v>101.01</v>
    <v>101.82</v>
    <v>102.17</v>
    <v>102.44</v>
    <v>102.13</v>
    <v>102.65</v>
    <v>101.79</v>
    <v>101.31</v>
    <v>101.8</v>
    <v>100.92</v>
    <v>100.09</v>
    <v>100.53</v>
    <v>101.04</v>
    <v>100.24</v>
    <v>100.76</v>
    <v>100.78</v>
    <v>100.94</v>
    <v>102.57</v>
    <v>102.99</v>
    <v>102.35</v>
    <v>102.08</v>
    <v>101.69</v>
    <v>102.24</v>
    <v>102.45</v>
    <v>102.88</v>
    <v>102.28</v>
    <v>104.09</v>
    <v>105.01</v>
    <v>100.27</v>
    <v>103.12</v>
    <v>102.75</v>
    <v>103.33</v>
    <v>103.33</v>
    <v>103.16</v>
    <v>103.23</v>
    <v>104.44</v>
    <v>105.24</v>
    <v>106.24</v>
    <v>106.32</v>
    <v>106.96</v>
    <v>107.08</v>
    <v>107.98</v>
    <v>108.19</v>
    <v>108.39</v>
    <v>109.56</v>
    <v>108.95</v>
    <v>108.59</v>
    <v>109.96</v>
    <v>110.35</v>
    <v>111.11</v>
    <v>111.28</v>
    <v>112.13</v>
    <v>111.14</v>
    <v>113.26</v>
    <v>113.3</v>
    <v>112.94</v>
    <v>112.34</v>
    <v>112.02</v>
    <v>109.78</v>
    <v>111.51</v>
    <v>112.96</v>
    <v>110.73</v>
    <v>111.06</v>
    <v>112.07</v>
    <v>112.64</v>
    <v>113.11</v>
    <v>113.14</v>
    <v>113.35</v>
    <v>114.26</v>
    <v>115.29</v>
    <v>114.03</v>
    <v>114.64</v>
    <v>115.16</v>
    <v>115.18</v>
    <v>113.56</v>
    <v>113.85</v>
    <v>113.54</v>
    <v>113.58</v>
    <v>113.72</v>
    <v>114.35</v>
    <v>115.89</v>
    <v>114.22</v>
    <v>114.05</v>
    <v>114.46</v>
    <v>114.93</v>
    <v>114.67</v>
    <v>114.66</v>
    <v>115.59</v>
    <v>116.71</v>
    <v>116.04</v>
    <v>117.15</v>
    <v>117.06</v>
    <v>117.65</v>
    <v>116.96</v>
    <v>118.2</v>
    <v>117.7</v>
    <v>120.09</v>
    <v>122.2</v>
    <v>122.15</v>
    <v>123.47</v>
    <v>125.88</v>
    <v>126.43</v>
    <v>125.8</v>
    <v>126.75</v>
    <v>126.11</v>
    <v>125.78</v>
    <v>127.49</v>
    <v>127.99</v>
    <v>127.98</v>
    <v>128.91999999999999</v>
    <v>129.16</v>
    <v>129.59</v>
    <v>129.81</v>
    <v>129.36000000000001</v>
    <v>129.82</v>
    <v>132.27000000000001</v>
    <v>130.72999999999999</v>
    <v>130.16</v>
    <v>131.15</v>
    <v>131.16999999999999</v>
    <v>130.65</v>
    <v>130.41</v>
    <v>130.18</v>
    <v>130.71</v>
    <v>130.55000000000001</v>
    <v>129.99</v>
    <v>128.66999999999999</v>
    <v>129.55000000000001</v>
    <v>130.56</v>
    <v>130.37</v>
    <v>130.09</v>
    <v>130.41999999999999</v>
    <v>126.9</v>
    <v>127.99</v>
    <v>127.26</v>
    <v>129.16</v>
    <v>130.19999999999999</v>
    <v>130.37</v>
    <v>130.16999999999999</v>
    <v>131.99</v>
    <v>133.16999999999999</v>
    <v>133.63999999999999</v>
    <v>132.07</v>
    <v>130.18</v>
    <v>129.93</v>
    <v>130.4</v>
    <v>131.66</v>
    <v>131.27000000000001</v>
    <v>132.79</v>
    <v>131.30000000000001</v>
    <v>130.33000000000001</v>
    <v>132.96</v>
    <v>135.13999999999999</v>
    <v>132.88</v>
    <v>134.38</v>
    <v>133.6</v>
    <v>134.69999999999999</v>
    <v>132.78</v>
    <v>130.06</v>
    <v>129.47</v>
    <v>130.25</v>
    <v>130.31</v>
    <v>128.24</v>
    <v>128.05000000000001</v>
    <v>130.29</v>
    <v>131.41999999999999</v>
    <v>129.51</v>
    <v>128.63999999999999</v>
    <v>126.11</v>
    <v>128.37</v>
    <v>128.69999999999999</v>
    <v>130.32</v>
    <v>128.66</v>
    <v>126.87</v>
    <v>127.52</v>
    <v>129.91999999999999</v>
    <v>131.31</v>
    <v>132.51</v>
    <v>133.44</v>
    <v>134.86000000000001</v>
    <v>137.25</v>
    <v>137.94</v>
    <v>139.28</v>
    <v>140.66999999999999</v>
    <v>141.94999999999999</v>
    <v>142.77000000000001</v>
    <v>142.47999999999999</v>
    <v>144.16999999999999</v>
    <v>145.41</v>
  </a>
  <a r="1" c="251">
    <v>36.450000000000003</v>
    <v>36.630000000000003</v>
    <v>37.03</v>
    <v>37.5</v>
    <v>37.43</v>
    <v>38.06</v>
    <v>38.97</v>
    <v>39.85</v>
    <v>38.75</v>
    <v>39.07</v>
    <v>38.85</v>
    <v>37.5</v>
    <v>37.17</v>
    <v>36.869999999999997</v>
    <v>36.619999999999997</v>
    <v>37.369999999999997</v>
    <v>36.35</v>
    <v>36.22</v>
    <v>37.57</v>
    <v>37.64</v>
    <v>37.96</v>
    <v>38.4</v>
    <v>38.54</v>
    <v>38.92</v>
    <v>38.659999999999997</v>
    <v>39.44</v>
    <v>39.18</v>
    <v>40</v>
    <v>41.03</v>
    <v>41.66</v>
    <v>40.46</v>
    <v>40.799999999999997</v>
    <v>41.15</v>
    <v>41.2</v>
    <v>40.86</v>
    <v>41.3</v>
    <v>41.62</v>
    <v>42.49</v>
    <v>40.86</v>
    <v>40.49</v>
    <v>39.72</v>
    <v>38.64</v>
    <v>38.07</v>
    <v>38.26</v>
    <v>38.68</v>
    <v>38.28</v>
    <v>38.549999999999997</v>
    <v>38.58</v>
    <v>38.4</v>
    <v>38.950000000000003</v>
    <v>38.51</v>
    <v>38.18</v>
    <v>38.19</v>
    <v>38.479999999999997</v>
    <v>39.04</v>
    <v>39.58</v>
    <v>38.28</v>
    <v>38.29</v>
    <v>37.82</v>
    <v>38.28</v>
    <v>36.47</v>
    <v>36.31</v>
    <v>36.200000000000003</v>
    <v>37.020000000000003</v>
    <v>38.03</v>
    <v>38.229999999999997</v>
    <v>37.97</v>
    <v>37.450000000000003</v>
    <v>37.67</v>
    <v>38.97</v>
    <v>37.15</v>
    <v>37.56</v>
    <v>37.68</v>
    <v>37.32</v>
    <v>36.75</v>
    <v>37.58</v>
    <v>37.799999999999997</v>
    <v>37.71</v>
    <v>38.22</v>
    <v>39.130000000000003</v>
    <v>39.229999999999997</v>
    <v>39.36</v>
    <v>39.07</v>
    <v>39.619999999999997</v>
    <v>40.07</v>
    <v>40.08</v>
    <v>40.19</v>
    <v>39.64</v>
    <v>39.83</v>
    <v>39.909999999999997</v>
    <v>39.44</v>
    <v>39.67</v>
    <v>38.96</v>
    <v>39.36</v>
    <v>39.61</v>
    <v>40.5</v>
    <v>40.049999999999997</v>
    <v>40.78</v>
    <v>40.5</v>
    <v>41.48</v>
    <v>40.83</v>
    <v>40.299999999999997</v>
    <v>40.049999999999997</v>
    <v>40.36</v>
    <v>40.299999999999997</v>
    <v>40.67</v>
    <v>40.909999999999997</v>
    <v>40.520000000000003</v>
    <v>40.18</v>
    <v>39.520000000000003</v>
    <v>39.85</v>
    <v>41.1</v>
    <v>43.16</v>
    <v>45.51</v>
    <v>43.69</v>
    <v>43.35</v>
    <v>43.45</v>
    <v>43.5</v>
    <v>43.35</v>
    <v>43.44</v>
    <v>43.54</v>
    <v>43.69</v>
    <v>44.15</v>
    <v>43.78</v>
    <v>43.77</v>
    <v>43.91</v>
    <v>44.12</v>
    <v>43.94</v>
    <v>44.26</v>
    <v>45.54</v>
    <v>43.24</v>
    <v>43.8</v>
    <v>43.7</v>
    <v>45.93</v>
    <v>46.94</v>
    <v>46.86</v>
    <v>46.35</v>
    <v>46.82</v>
    <v>46.69</v>
    <v>47.1</v>
    <v>46.63</v>
    <v>47.36</v>
    <v>48.41</v>
    <v>48.07</v>
    <v>48.14</v>
    <v>47.18</v>
    <v>47.53</v>
    <v>47.37</v>
    <v>46.34</v>
    <v>46.11</v>
    <v>47.19</v>
    <v>46.99</v>
    <v>47.55</v>
    <v>48.02</v>
    <v>47.86</v>
    <v>47.19</v>
    <v>48.27</v>
    <v>48.97</v>
    <v>48.57</v>
    <v>48.41</v>
    <v>48.47</v>
    <v>47.27</v>
    <v>48.41</v>
    <v>48.88</v>
    <v>48.81</v>
    <v>49.24</v>
    <v>48.78</v>
    <v>48.71</v>
    <v>48.29</v>
    <v>48.61</v>
    <v>48.59</v>
    <v>48.85</v>
    <v>48.96</v>
    <v>49.08</v>
    <v>49.11</v>
    <v>49.3</v>
    <v>49.04</v>
    <v>49.63</v>
    <v>49.02</v>
    <v>50.56</v>
    <v>50.62</v>
    <v>50.22</v>
    <v>50.39</v>
    <v>50.39</v>
    <v>49.9</v>
    <v>50.79</v>
    <v>49.12</v>
    <v>48.22</v>
    <v>47.65</v>
    <v>48.07</v>
    <v>48.65</v>
    <v>49.15</v>
    <v>50.32</v>
    <v>50.8</v>
    <v>50.1</v>
    <v>50.66</v>
    <v>51.6</v>
    <v>52.47</v>
    <v>53.34</v>
    <v>57.23</v>
    <v>59.17</v>
    <v>60.23</v>
    <v>59.01</v>
    <v>58.82</v>
    <v>58.49</v>
    <v>58.54</v>
    <v>58.93</v>
    <v>60.87</v>
    <v>61.18</v>
    <v>60.85</v>
    <v>59.52</v>
    <v>59.26</v>
    <v>59.12</v>
    <v>59.54</v>
    <v>58.07</v>
    <v>59.13</v>
    <v>58.29</v>
    <v>57.07</v>
    <v>56.83</v>
    <v>55.27</v>
    <v>54.51</v>
    <v>55.51</v>
    <v>55.32</v>
    <v>55.15</v>
    <v>54.28</v>
    <v>53.39</v>
    <v>53.77</v>
    <v>53.41</v>
    <v>52.06</v>
    <v>52.37</v>
    <v>51.84</v>
    <v>51.99</v>
    <v>52.95</v>
    <v>54.7</v>
    <v>53.94</v>
    <v>53.84</v>
    <v>54.23</v>
    <v>55.19</v>
    <v>55.99</v>
    <v>56.69</v>
    <v>56.37</v>
    <v>55.84</v>
    <v>57.37</v>
    <v>58.36</v>
    <v>58.21</v>
    <v>58.94</v>
    <v>59.18</v>
    <v>57.81</v>
    <v>57.13</v>
    <v>58.35</v>
    <v>57.35</v>
  </a>
  <a r="1" c="251">
    <v>53.857500000000002</v>
    <v>54.064999999999998</v>
    <v>53.9</v>
    <v>53.827500000000001</v>
    <v>54.104999999999997</v>
    <v>54.44</v>
    <v>54.59</v>
    <v>55.95</v>
    <v>55.962499999999999</v>
    <v>56.255000000000003</v>
    <v>56.737499999999997</v>
    <v>56.717500000000001</v>
    <v>57.2575</v>
    <v>55.15</v>
    <v>54.542499999999997</v>
    <v>53.472499999999997</v>
    <v>53.64</v>
    <v>53.247500000000002</v>
    <v>54.337499999999999</v>
    <v>54.902500000000003</v>
    <v>55.677500000000002</v>
    <v>56.052500000000002</v>
    <v>56.045000000000002</v>
    <v>56.092500000000001</v>
    <v>56.262500000000003</v>
    <v>57.255000000000003</v>
    <v>58.027500000000003</v>
    <v>57.715000000000003</v>
    <v>57.8825</v>
    <v>58.527500000000003</v>
    <v>57.265000000000001</v>
    <v>56.314999999999998</v>
    <v>56.1875</v>
    <v>55.395000000000003</v>
    <v>55.354999999999997</v>
    <v>55.884999999999998</v>
    <v>55.292499999999997</v>
    <v>55.88</v>
    <v>55.577500000000001</v>
    <v>55.102499999999999</v>
    <v>55.372500000000002</v>
    <v>55.672499999999999</v>
    <v>55.63</v>
    <v>55.59</v>
    <v>56.54</v>
    <v>57.272500000000001</v>
    <v>56.232500000000002</v>
    <v>55.947499999999998</v>
    <v>55.895000000000003</v>
    <v>56.3125</v>
    <v>55.045000000000002</v>
    <v>55.715000000000003</v>
    <v>56.032499999999999</v>
    <v>56.05</v>
    <v>56.2575</v>
    <v>56.414999999999999</v>
    <v>55.807499999999997</v>
    <v>55.407499999999999</v>
    <v>56.0075</v>
    <v>55.08</v>
    <v>55.5</v>
    <v>54.597499999999997</v>
    <v>55.21</v>
    <v>54.767499999999998</v>
    <v>54.39</v>
    <v>54.377499999999998</v>
    <v>55.585000000000001</v>
    <v>55.547499999999999</v>
    <v>55.357500000000002</v>
    <v>56.3825</v>
    <v>56.142499999999998</v>
    <v>56.017499999999998</v>
    <v>55.89</v>
    <v>56.717500000000001</v>
    <v>56.907499999999999</v>
    <v>56.857500000000002</v>
    <v>57.017499999999998</v>
    <v>57.325000000000003</v>
    <v>57.774999999999999</v>
    <v>56.634999999999998</v>
    <v>56.86</v>
    <v>56.837499999999999</v>
    <v>57.697499999999998</v>
    <v>58.76</v>
    <v>59.14</v>
    <v>58.77</v>
    <v>56.88</v>
    <v>56.76</v>
    <v>55.74</v>
    <v>55.8</v>
    <v>55.51</v>
    <v>56.09</v>
    <v>56.55</v>
    <v>56.79</v>
    <v>56.75</v>
    <v>56.62</v>
    <v>56.37</v>
    <v>56.49</v>
    <v>56.15</v>
    <v>56.23</v>
    <v>55.58</v>
    <v>54.2</v>
    <v>53.76</v>
    <v>54.27</v>
    <v>54.89</v>
    <v>55.47</v>
    <v>53.95</v>
    <v>54.4</v>
    <v>53.92</v>
    <v>53.93</v>
    <v>53.46</v>
    <v>53.89</v>
    <v>53.83</v>
    <v>54.02</v>
    <v>54.82</v>
    <v>54.89</v>
    <v>53.62</v>
    <v>54.35</v>
    <v>54.87</v>
    <v>55.26</v>
    <v>56.5</v>
    <v>57.03</v>
    <v>57.44</v>
    <v>58.08</v>
    <v>59.18</v>
    <v>58.28</v>
    <v>58.21</v>
    <v>58.81</v>
    <v>58.48</v>
    <v>57.95</v>
    <v>57.25</v>
    <v>56.65</v>
    <v>54.7</v>
    <v>55.19</v>
    <v>55.74</v>
    <v>55.71</v>
    <v>56.36</v>
    <v>57.73</v>
    <v>56.74</v>
    <v>56.62</v>
    <v>56.54</v>
    <v>56.53</v>
    <v>58.62</v>
    <v>59.09</v>
    <v>60.51</v>
    <v>61.32</v>
    <v>60.71</v>
    <v>61.33</v>
    <v>62.17</v>
    <v>63.03</v>
    <v>61.89</v>
    <v>63.02</v>
    <v>62.65</v>
    <v>62.7</v>
    <v>62</v>
    <v>62.6</v>
    <v>61.7</v>
    <v>60.84</v>
    <v>62.17</v>
    <v>62.17</v>
    <v>61.82</v>
    <v>61.42</v>
    <v>61.27</v>
    <v>61.42</v>
    <v>61.21</v>
    <v>61.61</v>
    <v>61.61</v>
    <v>61.76</v>
    <v>62.48</v>
    <v>61.86</v>
    <v>61.89</v>
    <v>61.55</v>
    <v>61.45</v>
    <v>61.91</v>
    <v>62.01</v>
    <v>62.05</v>
    <v>62.09</v>
    <v>61.31</v>
    <v>60.91</v>
    <v>60.8</v>
    <v>61.04</v>
    <v>61.84</v>
    <v>62.75</v>
    <v>62.34</v>
    <v>62.88</v>
    <v>62.3</v>
    <v>62.58</v>
    <v>62.49</v>
    <v>61.91</v>
    <v>62.7</v>
    <v>62.37</v>
    <v>62.96</v>
    <v>62.44</v>
    <v>61.63</v>
    <v>61.37</v>
    <v>61.94</v>
    <v>61.27</v>
    <v>62.92</v>
    <v>65.459999999999994</v>
    <v>67</v>
    <v>66.77</v>
    <v>67.09</v>
    <v>66.790000000000006</v>
    <v>65.77</v>
    <v>66.28</v>
    <v>67.959999999999994</v>
    <v>67.86</v>
    <v>68.489999999999995</v>
    <v>68.67</v>
    <v>68.58</v>
    <v>67.260000000000005</v>
    <v>69.260000000000005</v>
    <v>67.52</v>
    <v>63.8</v>
    <v>64.11</v>
    <v>63.22</v>
    <v>63.79</v>
    <v>63.24</v>
    <v>62.47</v>
    <v>61.89</v>
    <v>62.29</v>
    <v>63.09</v>
    <v>63.14</v>
    <v>62.09</v>
    <v>62.08</v>
    <v>63.32</v>
    <v>64.38</v>
    <v>63.78</v>
    <v>63.12</v>
    <v>61.87</v>
    <v>61.86</v>
    <v>63.29</v>
    <v>62.58</v>
    <v>62.42</v>
    <v>62.23</v>
    <v>63.09</v>
    <v>63.67</v>
    <v>63.42</v>
    <v>64.040000000000006</v>
    <v>64.59</v>
    <v>64.760000000000005</v>
    <v>64.569999999999993</v>
    <v>65.17</v>
    <v>63.76</v>
    <v>63.21</v>
    <v>62.2</v>
    <v>61.38</v>
    <v>62.19</v>
    <v>61.02</v>
    <v>61.19</v>
    <v>61.69</v>
  </a>
  <a r="1" c="251">
    <v>308.72000000000003</v>
    <v>319.08</v>
    <v>318.48</v>
    <v>316.22000000000003</v>
    <v>316.74</v>
    <v>316.81</v>
    <v>314.5</v>
    <v>319.64999999999998</v>
    <v>313.64</v>
    <v>311.95999999999998</v>
    <v>315.72000000000003</v>
    <v>316.79000000000002</v>
    <v>318.13</v>
    <v>313.49</v>
    <v>313.68</v>
    <v>311.92</v>
    <v>308.69</v>
    <v>307.5</v>
    <v>314.48</v>
    <v>318.61</v>
    <v>321.23</v>
    <v>319.8</v>
    <v>316.44</v>
    <v>314.31</v>
    <v>314.57</v>
    <v>314.95</v>
    <v>312.83999999999997</v>
    <v>311.86</v>
    <v>313.85000000000002</v>
    <v>312.68</v>
    <v>312.39</v>
    <v>311.57</v>
    <v>308.98</v>
    <v>307.36</v>
    <v>304.77999999999997</v>
    <v>300.43</v>
    <v>301.72000000000003</v>
    <v>303.16000000000003</v>
    <v>301.91000000000003</v>
    <v>296.29000000000002</v>
    <v>292.31</v>
    <v>289.63</v>
    <v>287.45999999999998</v>
    <v>289.52</v>
    <v>291.47000000000003</v>
    <v>285.55</v>
    <v>285.63</v>
    <v>291.55</v>
    <v>292.17</v>
    <v>297.49</v>
    <v>294.63</v>
    <v>294.08</v>
    <v>293.52999999999997</v>
    <v>291.67</v>
    <v>293.02</v>
    <v>298.39</v>
    <v>299.91000000000003</v>
    <v>301.88</v>
    <v>299.62</v>
    <v>298.89999999999998</v>
    <v>300.37</v>
    <v>297.07</v>
    <v>295.74</v>
    <v>299.17</v>
    <v>298.12</v>
    <v>294.48</v>
    <v>298.47000000000003</v>
    <v>299.22000000000003</v>
    <v>302.67</v>
    <v>303.61</v>
    <v>300.07</v>
    <v>302.89</v>
    <v>304.23</v>
    <v>298.77</v>
    <v>307.66000000000003</v>
    <v>307.91000000000003</v>
    <v>305.45</v>
    <v>304.36</v>
    <v>301.64</v>
    <v>305.07</v>
    <v>308.95</v>
    <v>308.93</v>
    <v>308.7</v>
    <v>310.93</v>
    <v>313.08</v>
    <v>313.22000000000003</v>
    <v>314.07</v>
    <v>313.44</v>
    <v>312.94</v>
    <v>311.43</v>
    <v>312.22000000000003</v>
    <v>313.54000000000002</v>
    <v>315.76</v>
    <v>316.39</v>
    <v>316.99</v>
    <v>314.38</v>
    <v>312.8</v>
    <v>312.52</v>
    <v>305.94</v>
    <v>308.43</v>
    <v>305.39999999999998</v>
    <v>302.07</v>
    <v>303.29000000000002</v>
    <v>304.97000000000003</v>
    <v>301.14</v>
    <v>302.38</v>
    <v>302.99</v>
    <v>303.19</v>
    <v>304.33</v>
    <v>302.3</v>
    <v>305.24</v>
    <v>302.99</v>
    <v>303.89</v>
    <v>300.52</v>
    <v>299.88</v>
    <v>300.98</v>
    <v>296.04000000000002</v>
    <v>296.32</v>
    <v>294.39999999999998</v>
    <v>293.81</v>
    <v>297.01</v>
    <v>300.11</v>
    <v>304.56</v>
    <v>305.25</v>
    <v>305.33</v>
    <v>308.08999999999997</v>
    <v>307.77</v>
    <v>307.48</v>
    <v>310.11</v>
    <v>306.97000000000003</v>
    <v>305.79000000000002</v>
    <v>310</v>
    <v>306.39999999999998</v>
    <v>302.35000000000002</v>
    <v>302.43</v>
    <v>298.43</v>
    <v>296.37</v>
    <v>299.20999999999998</v>
    <v>305.67</v>
    <v>298.41000000000003</v>
    <v>299.66000000000003</v>
    <v>299.10000000000002</v>
    <v>306.83</v>
    <v>306.94</v>
    <v>307.58</v>
    <v>307.02999999999997</v>
    <v>304.89999999999998</v>
    <v>304.58999999999997</v>
    <v>302.74</v>
    <v>304.16000000000003</v>
    <v>309.35000000000002</v>
    <v>304.89999999999998</v>
    <v>310.45</v>
    <v>312.39999999999998</v>
    <v>311.82</v>
    <v>303.57</v>
    <v>300.72000000000003</v>
    <v>307.70999999999998</v>
    <v>308.54000000000002</v>
    <v>311.23</v>
    <v>309.79000000000002</v>
    <v>310.79000000000002</v>
    <v>310.52999999999997</v>
    <v>309.70999999999998</v>
    <v>316.72000000000003</v>
    <v>318.73</v>
    <v>314.5</v>
    <v>318.69</v>
    <v>319.64999999999998</v>
    <v>315.83999999999997</v>
    <v>316.22000000000003</v>
    <v>310.83999999999997</v>
    <v>313.33</v>
    <v>310.68</v>
    <v>308.52999999999997</v>
    <v>308.02999999999997</v>
    <v>305.63</v>
    <v>303.26</v>
    <v>299.86</v>
    <v>302.77</v>
    <v>304.16000000000003</v>
    <v>308.88</v>
    <v>307.32</v>
    <v>306.75</v>
    <v>309.44</v>
    <v>308.13</v>
    <v>308.62</v>
    <v>307.43</v>
    <v>302.83999999999997</v>
    <v>305.69</v>
    <v>306.02999999999997</v>
    <v>309.25</v>
    <v>312.95</v>
    <v>314.13</v>
    <v>312.8</v>
    <v>315.51</v>
    <v>315</v>
    <v>318.52999999999997</v>
    <v>319.48</v>
    <v>323.69</v>
    <v>323.48</v>
    <v>327.16000000000003</v>
    <v>325.60000000000002</v>
    <v>325.97000000000003</v>
    <v>323.20999999999998</v>
    <v>332.08</v>
    <v>327.58</v>
    <v>327.62</v>
    <v>327.89</v>
    <v>327.11</v>
    <v>329.23</v>
    <v>334.56</v>
    <v>333.05</v>
    <v>333.01</v>
    <v>334.53</v>
    <v>341.06</v>
    <v>334.82</v>
    <v>332.17</v>
    <v>331.74</v>
    <v>327.45</v>
    <v>328.06</v>
    <v>330.8</v>
    <v>327.94</v>
    <v>325.20999999999998</v>
    <v>323.91000000000003</v>
    <v>326.45999999999998</v>
    <v>326.64999999999998</v>
    <v>326.3</v>
    <v>315.73</v>
    <v>309.58</v>
    <v>308.85000000000002</v>
    <v>308.47000000000003</v>
    <v>307.83999999999997</v>
    <v>311.7</v>
    <v>308.93</v>
    <v>305.89999999999998</v>
    <v>308.52999999999997</v>
    <v>310.79000000000002</v>
    <v>307.29000000000002</v>
    <v>307.14</v>
    <v>309.76</v>
    <v>304.85000000000002</v>
    <v>307.01</v>
    <v>309.55</v>
    <v>305.68</v>
    <v>304.51</v>
    <v>303.22000000000003</v>
    <v>306.26</v>
    <v>306.95999999999998</v>
    <v>311.36</v>
    <v>306.94</v>
  </a>
  <a r="1" c="251">
    <v>60.95</v>
    <v>61.15</v>
    <v>61.29</v>
    <v>61.14</v>
    <v>61.41</v>
    <v>61.08</v>
    <v>61.05</v>
    <v>62.05</v>
    <v>61.36</v>
    <v>60.75</v>
    <v>60.65</v>
    <v>61.17</v>
    <v>61.35</v>
    <v>61.78</v>
    <v>61.53</v>
    <v>60.22</v>
    <v>59.82</v>
    <v>59.64</v>
    <v>60.05</v>
    <v>60.29</v>
    <v>61.02</v>
    <v>61.95</v>
    <v>61.23</v>
    <v>61.61</v>
    <v>61.84</v>
    <v>62.65</v>
    <v>62.44</v>
    <v>62.58</v>
    <v>62.91</v>
    <v>62.43</v>
    <v>62.24</v>
    <v>61.84</v>
    <v>61.17</v>
    <v>60.51</v>
    <v>60.48</v>
    <v>60.67</v>
    <v>60.58</v>
    <v>61.12</v>
    <v>61.38</v>
    <v>61.37</v>
    <v>61.44</v>
    <v>60.94</v>
    <v>60.92</v>
    <v>60.9</v>
    <v>61.51</v>
    <v>61.5</v>
    <v>61.34</v>
    <v>61.12</v>
    <v>61.59</v>
    <v>62.38</v>
    <v>61.63</v>
    <v>61.74</v>
    <v>62.09</v>
    <v>62.25</v>
    <v>62.16</v>
    <v>62.38</v>
    <v>62.53</v>
    <v>62.97</v>
    <v>62.57</v>
    <v>62.46</v>
    <v>62.32</v>
    <v>62.02</v>
    <v>62.68</v>
    <v>63.28</v>
    <v>63.74</v>
    <v>63.36</v>
    <v>63.68</v>
    <v>64.040000000000006</v>
    <v>63.57</v>
    <v>64.2</v>
    <v>64.959999999999994</v>
    <v>65.06</v>
    <v>64.5</v>
    <v>64.83</v>
    <v>64.91</v>
    <v>66.11</v>
    <v>66.91</v>
    <v>65.86</v>
    <v>65.209999999999994</v>
    <v>64.78</v>
    <v>65.66</v>
    <v>66.17</v>
    <v>65.94</v>
    <v>66.040000000000006</v>
    <v>66.48</v>
    <v>67.010000000000005</v>
    <v>66.33</v>
    <v>65.95</v>
    <v>65.91</v>
    <v>65.459999999999994</v>
    <v>64.97</v>
    <v>65.41</v>
    <v>65.19</v>
    <v>65.09</v>
    <v>65.02</v>
    <v>64.81</v>
    <v>64.430000000000007</v>
    <v>64.739999999999995</v>
    <v>64.44</v>
    <v>64.38</v>
    <v>64.790000000000006</v>
    <v>64.52</v>
    <v>63.69</v>
    <v>63.76</v>
    <v>63.24</v>
    <v>63.68</v>
    <v>64.34</v>
    <v>64.67</v>
    <v>64.95</v>
    <v>65.34</v>
    <v>65.72</v>
    <v>65.97</v>
    <v>66.77</v>
    <v>66.430000000000007</v>
    <v>67</v>
    <v>66.8</v>
    <v>67.05</v>
    <v>67.19</v>
    <v>67</v>
    <v>67.06</v>
    <v>68.61</v>
    <v>67.73</v>
    <v>68.180000000000007</v>
    <v>68.77</v>
    <v>69.099999999999994</v>
    <v>69.11</v>
    <v>69.05</v>
    <v>69.2</v>
    <v>69.06</v>
    <v>69.17</v>
    <v>68.849999999999994</v>
    <v>67.81</v>
    <v>67.319999999999993</v>
    <v>67.8</v>
    <v>66.680000000000007</v>
    <v>66.53</v>
    <v>66.62</v>
    <v>67.06</v>
    <v>67.52</v>
    <v>67.23</v>
    <v>67.08</v>
    <v>66.599999999999994</v>
    <v>66.709999999999994</v>
    <v>67.89</v>
    <v>67.13</v>
    <v>68.77</v>
    <v>68.42</v>
    <v>68.010000000000005</v>
    <v>67.260000000000005</v>
    <v>66.78</v>
    <v>67.650000000000006</v>
    <v>68.31</v>
    <v>68.31</v>
    <v>68.02</v>
    <v>67.819999999999993</v>
    <v>68.22</v>
    <v>67.55</v>
    <v>66.97</v>
    <v>66.12</v>
    <v>65.66</v>
    <v>65.31</v>
    <v>65.150000000000006</v>
    <v>65.010000000000005</v>
    <v>65.23</v>
    <v>65.959999999999994</v>
    <v>66.45</v>
    <v>66.569999999999993</v>
    <v>66.87</v>
    <v>66.849999999999994</v>
    <v>66.510000000000005</v>
    <v>66.650000000000006</v>
    <v>67.14</v>
    <v>67.040000000000006</v>
    <v>67.34</v>
    <v>67.540000000000006</v>
    <v>67.64</v>
    <v>67.599999999999994</v>
    <v>66.95</v>
    <v>67.66</v>
    <v>67.67</v>
    <v>67.89</v>
    <v>67.989999999999995</v>
    <v>66.36</v>
    <v>66.569999999999993</v>
    <v>67.47</v>
    <v>67.91</v>
    <v>68.45</v>
    <v>68.58</v>
    <v>69.540000000000006</v>
    <v>68.81</v>
    <v>68.45</v>
    <v>68.290000000000006</v>
    <v>68.13</v>
    <v>68.319999999999993</v>
    <v>68.13</v>
    <v>67.959999999999994</v>
    <v>67.489999999999995</v>
    <v>67.150000000000006</v>
    <v>67.98</v>
    <v>68.739999999999995</v>
    <v>68.69</v>
    <v>67.37</v>
    <v>66.349999999999994</v>
    <v>66.19</v>
    <v>66.52</v>
    <v>68.66</v>
    <v>70.14</v>
    <v>70.55</v>
    <v>69.8</v>
    <v>70.14</v>
    <v>70.17</v>
    <v>70.13</v>
    <v>69.849999999999994</v>
    <v>69.959999999999994</v>
    <v>69.62</v>
    <v>70.97</v>
    <v>70.23</v>
    <v>70.47</v>
    <v>71.05</v>
    <v>71.38</v>
    <v>71.09</v>
    <v>70.84</v>
    <v>71.430000000000007</v>
    <v>71.41</v>
    <v>72.5</v>
    <v>73.430000000000007</v>
    <v>73.400000000000006</v>
    <v>73.22</v>
    <v>72.900000000000006</v>
    <v>71.819999999999993</v>
    <v>70.45</v>
    <v>69.680000000000007</v>
    <v>69.599999999999994</v>
    <v>70.55</v>
    <v>71.400000000000006</v>
    <v>71.349999999999994</v>
    <v>72.13</v>
    <v>72.11</v>
    <v>72.55</v>
    <v>73.319999999999993</v>
    <v>73.08</v>
    <v>73.56</v>
    <v>73.150000000000006</v>
    <v>73.44</v>
    <v>73.95</v>
    <v>72.42</v>
    <v>72.19</v>
    <v>72.099999999999994</v>
    <v>72.03</v>
    <v>71.97</v>
    <v>71.010000000000005</v>
  </a>
  <a r="1" c="251">
    <v>66.59</v>
    <v>67.64</v>
    <v>67.06</v>
    <v>67.290000000000006</v>
    <v>67.34</v>
    <v>67.180000000000007</v>
    <v>67.540000000000006</v>
    <v>68.27</v>
    <v>67.8</v>
    <v>67.08</v>
    <v>67.319999999999993</v>
    <v>67.53</v>
    <v>68.84</v>
    <v>67.52</v>
    <v>66.91</v>
    <v>65.37</v>
    <v>64.89</v>
    <v>64.94</v>
    <v>66.03</v>
    <v>65.900000000000006</v>
    <v>66.489999999999995</v>
    <v>66.739999999999995</v>
    <v>66.16</v>
    <v>66.34</v>
    <v>66.260000000000005</v>
    <v>67.069999999999993</v>
    <v>66.239999999999995</v>
    <v>66.569999999999993</v>
    <v>67.05</v>
    <v>66.739999999999995</v>
    <v>66.430000000000007</v>
    <v>65.91</v>
    <v>65.67</v>
    <v>65.040000000000006</v>
    <v>64.78</v>
    <v>64.930000000000007</v>
    <v>64.760000000000005</v>
    <v>65.25</v>
    <v>65.45</v>
    <v>64.78</v>
    <v>64.7</v>
    <v>64.83</v>
    <v>64.42</v>
    <v>64.62</v>
    <v>65.28</v>
    <v>64.98</v>
    <v>63.97</v>
    <v>64.25</v>
    <v>64.64</v>
    <v>65.02</v>
    <v>63.96</v>
    <v>64.12</v>
    <v>64.3</v>
    <v>64.02</v>
    <v>64.08</v>
    <v>64.09</v>
    <v>64.430000000000007</v>
    <v>64.61</v>
    <v>64.650000000000006</v>
    <v>64.53</v>
    <v>64.55</v>
    <v>64.569999999999993</v>
    <v>64.849999999999994</v>
    <v>65.86</v>
    <v>66.739999999999995</v>
    <v>66.3</v>
    <v>66.94</v>
    <v>67.28</v>
    <v>66.42</v>
    <v>67.22</v>
    <v>67.8</v>
    <v>67.8</v>
    <v>68.790000000000006</v>
    <v>69.430000000000007</v>
    <v>69.3</v>
    <v>69.84</v>
    <v>69.91</v>
    <v>69.819999999999993</v>
    <v>69.63</v>
    <v>69.48</v>
    <v>70.099999999999994</v>
    <v>70.150000000000006</v>
    <v>69.83</v>
    <v>69.66</v>
    <v>70.53</v>
    <v>70.61</v>
    <v>70.05</v>
    <v>69.59</v>
    <v>68.900000000000006</v>
    <v>68.95</v>
    <v>68.209999999999994</v>
    <v>68.349999999999994</v>
    <v>68.27</v>
    <v>68.17</v>
    <v>68.709999999999994</v>
    <v>68.180000000000007</v>
    <v>67.59</v>
    <v>67.88</v>
    <v>67.900000000000006</v>
    <v>68.069999999999993</v>
    <v>68.37</v>
    <v>68.02</v>
    <v>67.39</v>
    <v>67.52</v>
    <v>67.38</v>
    <v>67.94</v>
    <v>67.98</v>
    <v>68.239999999999995</v>
    <v>68.73</v>
    <v>69.010000000000005</v>
    <v>69.19</v>
    <v>69.72</v>
    <v>70.59</v>
    <v>70.290000000000006</v>
    <v>70.19</v>
    <v>70.14</v>
    <v>70.42</v>
    <v>70.34</v>
    <v>70.31</v>
    <v>70.180000000000007</v>
    <v>71.459999999999994</v>
    <v>71.58</v>
    <v>72.16</v>
    <v>72.319999999999993</v>
    <v>72.47</v>
    <v>72.430000000000007</v>
    <v>72.42</v>
    <v>72.87</v>
    <v>72.260000000000005</v>
    <v>71.959999999999994</v>
    <v>71.540000000000006</v>
    <v>70.650000000000006</v>
    <v>70</v>
    <v>70.66</v>
    <v>70.5</v>
    <v>69.989999999999995</v>
    <v>71.239999999999995</v>
    <v>71.3</v>
    <v>72.12</v>
    <v>71.959999999999994</v>
    <v>72.010000000000005</v>
    <v>72.64</v>
    <v>73.739999999999995</v>
    <v>73.44</v>
    <v>73.33</v>
    <v>73.260000000000005</v>
    <v>72.680000000000007</v>
    <v>72.44</v>
    <v>72.569999999999993</v>
    <v>72.66</v>
    <v>72.56</v>
    <v>73.25</v>
    <v>73.59</v>
    <v>73.239999999999995</v>
    <v>73.260000000000005</v>
    <v>73.069999999999993</v>
    <v>72.27</v>
    <v>71.290000000000006</v>
    <v>71.11</v>
    <v>70.680000000000007</v>
    <v>70.16</v>
    <v>69.62</v>
    <v>69.11</v>
    <v>69.25</v>
    <v>70.16</v>
    <v>71.05</v>
    <v>70.55</v>
    <v>71.180000000000007</v>
    <v>70.88</v>
    <v>70.099999999999994</v>
    <v>70.41</v>
    <v>70.94</v>
    <v>70.64</v>
    <v>70.98</v>
    <v>71.31</v>
    <v>71.36</v>
    <v>71.25</v>
    <v>70.430000000000007</v>
    <v>71.05</v>
    <v>70.989999999999995</v>
    <v>71.58</v>
    <v>71.63</v>
    <v>71.28</v>
    <v>71.25</v>
    <v>72.09</v>
    <v>71.81</v>
    <v>72.28</v>
    <v>72.489999999999995</v>
    <v>72.47</v>
    <v>72.33</v>
    <v>72.09</v>
    <v>72.19</v>
    <v>72.5</v>
    <v>72.91</v>
    <v>72.319999999999993</v>
    <v>72.33</v>
    <v>72.599999999999994</v>
    <v>72.03</v>
    <v>73.77</v>
    <v>74.22</v>
    <v>75.260000000000005</v>
    <v>73.739999999999995</v>
    <v>73.39</v>
    <v>73.97</v>
    <v>73.989999999999995</v>
    <v>76.319999999999993</v>
    <v>77.42</v>
    <v>77.709999999999994</v>
    <v>77.180000000000007</v>
    <v>77.38</v>
    <v>76.989999999999995</v>
    <v>78.239999999999995</v>
    <v>77.849999999999994</v>
    <v>77.81</v>
    <v>77.55</v>
    <v>78.47</v>
    <v>78.02</v>
    <v>78.38</v>
    <v>78.73</v>
    <v>78.31</v>
    <v>78.59</v>
    <v>78.510000000000005</v>
    <v>78.19</v>
    <v>77.930000000000007</v>
    <v>79.16</v>
    <v>79.92</v>
    <v>80.099999999999994</v>
    <v>79.819999999999993</v>
    <v>79.03</v>
    <v>77.22</v>
    <v>75.650000000000006</v>
    <v>75.69</v>
    <v>75.84</v>
    <v>76.48</v>
    <v>77.099999999999994</v>
    <v>77.290000000000006</v>
    <v>78.06</v>
    <v>77.61</v>
    <v>78.180000000000007</v>
    <v>79.02</v>
    <v>78.83</v>
    <v>79.58</v>
    <v>79.31</v>
    <v>79.3</v>
    <v>79.72</v>
    <v>78.459999999999994</v>
    <v>78.39</v>
    <v>78.150000000000006</v>
    <v>77.94</v>
    <v>77.930000000000007</v>
    <v>76.959999999999994</v>
  </a>
  <a r="1" c="251">
    <v>57.63</v>
    <v>58.82</v>
    <v>58.56</v>
    <v>58.71</v>
    <v>58.26</v>
    <v>58.19</v>
    <v>58.77</v>
    <v>59.15</v>
    <v>59.31</v>
    <v>59.61</v>
    <v>59.87</v>
    <v>60.48</v>
    <v>60.91</v>
    <v>60.4</v>
    <v>59.43</v>
    <v>56.95</v>
    <v>56.47</v>
    <v>56.33</v>
    <v>58.06</v>
    <v>58.89</v>
    <v>59.47</v>
    <v>59.9</v>
    <v>59.45</v>
    <v>59.3</v>
    <v>59.74</v>
    <v>59.62</v>
    <v>59.48</v>
    <v>59.48</v>
    <v>60.61</v>
    <v>60.63</v>
    <v>60.37</v>
    <v>59.31</v>
    <v>59.39</v>
    <v>59.24</v>
    <v>59.07</v>
    <v>58.56</v>
    <v>59.91</v>
    <v>59.92</v>
    <v>59.81</v>
    <v>58.8</v>
    <v>58.99</v>
    <v>59.49</v>
    <v>59.75</v>
    <v>60.49</v>
    <v>59.91</v>
    <v>58.94</v>
    <v>58.79</v>
    <v>58.75</v>
    <v>58.63</v>
    <v>58.14</v>
    <v>59.17</v>
    <v>59.65</v>
    <v>60.25</v>
    <v>59.54</v>
    <v>57.75</v>
    <v>58.55</v>
    <v>57.8</v>
    <v>58.13</v>
    <v>58.48</v>
    <v>58.86</v>
    <v>57.98</v>
    <v>58.02</v>
    <v>58.92</v>
    <v>59.44</v>
    <v>59.77</v>
    <v>59.61</v>
    <v>59.84</v>
    <v>58.72</v>
    <v>59.36</v>
    <v>61.5</v>
    <v>61.94</v>
    <v>61.78</v>
    <v>61.94</v>
    <v>62.52</v>
    <v>63.15</v>
    <v>63.55</v>
    <v>64.19</v>
    <v>65.67</v>
    <v>66.010000000000005</v>
    <v>65.5</v>
    <v>65.55</v>
    <v>65.819999999999993</v>
    <v>65.989999999999995</v>
    <v>66.56</v>
    <v>67.58</v>
    <v>67.680000000000007</v>
    <v>67.67</v>
    <v>67.05</v>
    <v>66.45</v>
    <v>66.41</v>
    <v>66.42</v>
    <v>67.209999999999994</v>
    <v>67.13</v>
    <v>66.63</v>
    <v>66.59</v>
    <v>66.55</v>
    <v>65.77</v>
    <v>66.19</v>
    <v>66.23</v>
    <v>66.36</v>
    <v>66.650000000000006</v>
    <v>64.89</v>
    <v>64.81</v>
    <v>65.510000000000005</v>
    <v>63.94</v>
    <v>64.89</v>
    <v>63.79</v>
    <v>64.87</v>
    <v>65.13</v>
    <v>65.19</v>
    <v>65.709999999999994</v>
    <v>65.67</v>
    <v>66.06</v>
    <v>66.290000000000006</v>
    <v>65.75</v>
    <v>65.73</v>
    <v>65.37</v>
    <v>66.650000000000006</v>
    <v>65.42</v>
    <v>65.72</v>
    <v>66.540000000000006</v>
    <v>64.95</v>
    <v>65.400000000000006</v>
    <v>64.87</v>
    <v>64.260000000000005</v>
    <v>65.05</v>
    <v>64.400000000000006</v>
    <v>63.75</v>
    <v>64.430000000000007</v>
    <v>64.569999999999993</v>
    <v>64.67</v>
    <v>63.74</v>
    <v>63.28</v>
    <v>61.97</v>
    <v>57.13</v>
    <v>56.38</v>
    <v>56.67</v>
    <v>57.31</v>
    <v>57.16</v>
    <v>57.27</v>
    <v>58.03</v>
    <v>57.55</v>
    <v>58.41</v>
    <v>58.05</v>
    <v>57.81</v>
    <v>58.19</v>
    <v>58.13</v>
    <v>58.94</v>
    <v>58.61</v>
    <v>58.18</v>
    <v>58.19</v>
    <v>57.33</v>
    <v>58.34</v>
    <v>58.69</v>
    <v>59.01</v>
    <v>59.14</v>
    <v>58.82</v>
    <v>58.41</v>
    <v>58.34</v>
    <v>57.99</v>
    <v>58.11</v>
    <v>58.18</v>
    <v>58.69</v>
    <v>58.72</v>
    <v>58.75</v>
    <v>59.09</v>
    <v>59.33</v>
    <v>59.18</v>
    <v>58.39</v>
    <v>58.07</v>
    <v>58.61</v>
    <v>58.75</v>
    <v>58.98</v>
    <v>57.6</v>
    <v>57.62</v>
    <v>57.77</v>
    <v>57.66</v>
    <v>57.31</v>
    <v>56.3</v>
    <v>55.16</v>
    <v>54.72</v>
    <v>55.9</v>
    <v>57.53</v>
    <v>58.54</v>
    <v>60.15</v>
    <v>61.47</v>
    <v>61.58</v>
    <v>61.76</v>
    <v>61.15</v>
    <v>61.08</v>
    <v>61.03</v>
    <v>61.91</v>
    <v>62.98</v>
    <v>63.62</v>
    <v>63.13</v>
    <v>59.76</v>
    <v>61.99</v>
    <v>62.23</v>
    <v>64.16</v>
    <v>65.16</v>
    <v>65.39</v>
    <v>65.400000000000006</v>
    <v>64.400000000000006</v>
    <v>64.400000000000006</v>
    <v>65.92</v>
    <v>67.010000000000005</v>
    <v>67.25</v>
    <v>66.540000000000006</v>
    <v>66.77</v>
    <v>67.989999999999995</v>
    <v>67.569999999999993</v>
    <v>68.98</v>
    <v>69.25</v>
    <v>69.7</v>
    <v>69.47</v>
    <v>69.040000000000006</v>
    <v>68.69</v>
    <v>68.89</v>
    <v>68.12</v>
    <v>66.98</v>
    <v>66.510000000000005</v>
    <v>67.040000000000006</v>
    <v>67.14</v>
    <v>66.34</v>
    <v>67.72</v>
    <v>67.89</v>
    <v>67.53</v>
    <v>66.97</v>
    <v>65.13</v>
    <v>65.069999999999993</v>
    <v>64.47</v>
    <v>64.39</v>
    <v>64.319999999999993</v>
    <v>63.78</v>
    <v>64.62</v>
    <v>66.48</v>
    <v>67.02</v>
    <v>65.989999999999995</v>
    <v>65.48</v>
    <v>65.760000000000005</v>
    <v>66.55</v>
    <v>66.25</v>
    <v>66.8</v>
    <v>67.459999999999994</v>
    <v>67.38</v>
    <v>66.81</v>
    <v>65.62</v>
    <v>64.42</v>
    <v>64.94</v>
    <v>64.17</v>
    <v>64.61</v>
  </a>
  <a r="1" c="251">
    <v>39.32</v>
    <v>40.39</v>
    <v>41.32</v>
    <v>41.85</v>
    <v>41.93</v>
    <v>42.14</v>
    <v>42.46</v>
    <v>42.25</v>
    <v>42.7</v>
    <v>43.57</v>
    <v>43.25</v>
    <v>43.09</v>
    <v>43.43</v>
    <v>43.4</v>
    <v>42.88</v>
    <v>44.22</v>
    <v>44.28</v>
    <v>44.38</v>
    <v>44.53</v>
    <v>44.77</v>
    <v>44.27</v>
    <v>42.68</v>
    <v>42.94</v>
    <v>42.83</v>
    <v>43.22</v>
    <v>43.92</v>
    <v>43.61</v>
    <v>43.83</v>
    <v>43.7</v>
    <v>43.79</v>
    <v>43.86</v>
    <v>43.73</v>
    <v>43.83</v>
    <v>44.42</v>
    <v>44.28</v>
    <v>43.84</v>
    <v>43.73</v>
    <v>43.74</v>
    <v>42.34</v>
    <v>42.38</v>
    <v>42.12</v>
    <v>41.94</v>
    <v>42.11</v>
    <v>42.13</v>
    <v>42.98</v>
    <v>43.28</v>
    <v>42.94</v>
    <v>43.75</v>
    <v>43.83</v>
    <v>43.54</v>
    <v>42.74</v>
    <v>42.85</v>
    <v>42.79</v>
    <v>41.85</v>
    <v>41.74</v>
    <v>41.73</v>
    <v>41.99</v>
    <v>41.71</v>
    <v>41.74</v>
    <v>41.49</v>
    <v>41.69</v>
    <v>42.48</v>
    <v>42.29</v>
    <v>41.75</v>
    <v>41.89</v>
    <v>42.58</v>
    <v>42.45</v>
    <v>42.9</v>
    <v>43.2</v>
    <v>43.35</v>
    <v>42.48</v>
    <v>42.87</v>
    <v>42.02</v>
    <v>42.42</v>
    <v>43</v>
    <v>41.34</v>
    <v>41.41</v>
    <v>41.19</v>
    <v>41.55</v>
    <v>41.96</v>
    <v>42.25</v>
    <v>42</v>
    <v>42.29</v>
    <v>42.15</v>
    <v>41.74</v>
    <v>41.8</v>
    <v>42.49</v>
    <v>41.67</v>
    <v>41.63</v>
    <v>41.82</v>
    <v>42.2</v>
    <v>42.25</v>
    <v>42.02</v>
    <v>42.07</v>
    <v>42.73</v>
    <v>42.48</v>
    <v>42.47</v>
    <v>42.79</v>
    <v>42.82</v>
    <v>43.96</v>
    <v>44.14</v>
    <v>44.53</v>
    <v>43.28</v>
    <v>42.71</v>
    <v>43.29</v>
    <v>43.57</v>
    <v>43.86</v>
    <v>43.02</v>
    <v>43.05</v>
    <v>42.77</v>
    <v>42.89</v>
    <v>43.17</v>
    <v>43.36</v>
    <v>43.85</v>
    <v>43.84</v>
    <v>44.57</v>
    <v>45.02</v>
    <v>44.83</v>
    <v>45.45</v>
    <v>44.78</v>
    <v>44.41</v>
    <v>45.4</v>
    <v>45.17</v>
    <v>44.5</v>
    <v>44.34</v>
    <v>44.71</v>
    <v>44.56</v>
    <v>44.58</v>
    <v>45.04</v>
    <v>45.67</v>
    <v>46.04</v>
    <v>45.78</v>
    <v>45.4</v>
    <v>44.97</v>
    <v>45.39</v>
    <v>46.42</v>
    <v>46.28</v>
    <v>47.02</v>
    <v>46.82</v>
    <v>46.85</v>
    <v>46.85</v>
    <v>47</v>
    <v>48.24</v>
    <v>48.3</v>
    <v>48.26</v>
    <v>47.48</v>
    <v>46.95</v>
    <v>47.66</v>
    <v>47.8</v>
    <v>48.66</v>
    <v>49.28</v>
    <v>49.8</v>
    <v>48.81</v>
    <v>49.02</v>
    <v>49.47</v>
    <v>49.21</v>
    <v>48.9</v>
    <v>48.99</v>
    <v>49.24</v>
    <v>48.83</v>
    <v>48.46</v>
    <v>48.82</v>
    <v>48.98</v>
    <v>49.08</v>
    <v>48.85</v>
    <v>49.23</v>
    <v>49.44</v>
    <v>49.1</v>
    <v>49.87</v>
    <v>49.92</v>
    <v>50.24</v>
    <v>50.36</v>
    <v>50.12</v>
    <v>50.23</v>
    <v>50.06</v>
    <v>49.84</v>
    <v>49.8</v>
    <v>50.56</v>
    <v>51.64</v>
    <v>50.71</v>
    <v>51.48</v>
    <v>52</v>
    <v>51.54</v>
    <v>51.09</v>
    <v>51.79</v>
    <v>52.28</v>
    <v>52.04</v>
    <v>52.15</v>
    <v>50.63</v>
    <v>51.23</v>
    <v>50.62</v>
    <v>50.65</v>
    <v>50.89</v>
    <v>50.71</v>
    <v>51.15</v>
    <v>51.98</v>
    <v>51.87</v>
    <v>52.46</v>
    <v>51.91</v>
    <v>50.89</v>
    <v>51.24</v>
    <v>51.97</v>
    <v>51.57</v>
    <v>51.85</v>
    <v>51.4</v>
    <v>48.7</v>
    <v>50.07</v>
    <v>50.73</v>
    <v>50.64</v>
    <v>49.57</v>
    <v>50.16</v>
    <v>49.23</v>
    <v>49.04</v>
    <v>48.45</v>
    <v>49.01</v>
    <v>48.57</v>
    <v>47.8</v>
    <v>46.9</v>
    <v>47.49</v>
    <v>47.01</v>
    <v>45.73</v>
    <v>45.34</v>
    <v>45.88</v>
    <v>45.87</v>
    <v>45.69</v>
    <v>45.9</v>
    <v>46.66</v>
    <v>47.31</v>
    <v>47.05</v>
    <v>46.57</v>
    <v>46.45</v>
    <v>47.19</v>
    <v>47.42</v>
    <v>47.82</v>
    <v>47.73</v>
    <v>46.74</v>
    <v>46.84</v>
    <v>47.92</v>
    <v>48.32</v>
    <v>48.57</v>
    <v>48.95</v>
    <v>48.97</v>
    <v>50.47</v>
    <v>50.58</v>
    <v>50.56</v>
    <v>51.39</v>
    <v>52.18</v>
    <v>53.33</v>
    <v>52.98</v>
    <v>53.2</v>
    <v>52.67</v>
  </a>
  <a r="1" c="251">
    <v>14.21</v>
    <v>14.23</v>
    <v>14.38</v>
    <v>14.23</v>
    <v>14.15</v>
    <v>14.15</v>
    <v>14.26</v>
    <v>14.38</v>
    <v>14.25</v>
    <v>14.24</v>
    <v>14.16</v>
    <v>14.43</v>
    <v>14.65</v>
    <v>14.71</v>
    <v>14.77</v>
    <v>14.88</v>
    <v>14.88</v>
    <v>14.83</v>
    <v>15.02</v>
    <v>15.11</v>
    <v>14.79</v>
    <v>14.95</v>
    <v>15.08</v>
    <v>15</v>
    <v>15.05</v>
    <v>15.17</v>
    <v>15.2</v>
    <v>15.36</v>
    <v>15.34</v>
    <v>15.21</v>
    <v>15.28</v>
    <v>15.05</v>
    <v>15.11</v>
    <v>15.35</v>
    <v>15.44</v>
    <v>15.47</v>
    <v>15.39</v>
    <v>15.53</v>
    <v>15.32</v>
    <v>15.2</v>
    <v>14.64</v>
    <v>14.65</v>
    <v>14.64</v>
    <v>14.61</v>
    <v>14.84</v>
    <v>14.78</v>
    <v>14.71</v>
    <v>14.71</v>
    <v>14.67</v>
    <v>14.72</v>
    <v>14.77</v>
    <v>14.76</v>
    <v>15.15</v>
    <v>15.12</v>
    <v>15.05</v>
    <v>15.16</v>
    <v>15.15</v>
    <v>15.23</v>
    <v>15.15</v>
    <v>15.08</v>
    <v>15.08</v>
    <v>15.05</v>
    <v>14.91</v>
    <v>15.01</v>
    <v>14.95</v>
    <v>14.84</v>
    <v>14.75</v>
    <v>14.71</v>
    <v>14.62</v>
    <v>14.69</v>
    <v>14.93</v>
    <v>14.75</v>
    <v>14.79</v>
    <v>14.81</v>
    <v>14.88</v>
    <v>14.85</v>
    <v>14.84</v>
    <v>14.81</v>
    <v>14.87</v>
    <v>14.98</v>
    <v>14.99</v>
    <v>15.08</v>
    <v>15.04</v>
    <v>15.1</v>
    <v>15.13</v>
    <v>15.1</v>
    <v>15.24</v>
    <v>15.14</v>
    <v>15.01</v>
    <v>15.04</v>
    <v>14.94</v>
    <v>15.02</v>
    <v>14.88</v>
    <v>14.89</v>
    <v>14.95</v>
    <v>15.13</v>
    <v>15.07</v>
    <v>15.15</v>
    <v>15.27</v>
    <v>15.31</v>
    <v>15.38</v>
    <v>15.53</v>
    <v>15.47</v>
    <v>15.47</v>
    <v>15.45</v>
    <v>15.54</v>
    <v>15.38</v>
    <v>15.36</v>
    <v>15.35</v>
    <v>15.21</v>
    <v>15.25</v>
    <v>15.19</v>
    <v>15.33</v>
    <v>15.31</v>
    <v>15.38</v>
    <v>15.46</v>
    <v>15.28</v>
    <v>14.78</v>
    <v>14.76</v>
    <v>14.74</v>
    <v>14.77</v>
    <v>15</v>
    <v>15.09</v>
    <v>15</v>
    <v>15.13</v>
    <v>15.46</v>
    <v>15.49</v>
    <v>15.76</v>
    <v>15.77</v>
    <v>15.8</v>
    <v>15.75</v>
    <v>15.51</v>
    <v>15.29</v>
    <v>15.15</v>
    <v>15.38</v>
    <v>15.23</v>
    <v>15.04</v>
    <v>15.27</v>
    <v>15.24</v>
    <v>15.39</v>
    <v>15.19</v>
    <v>15.27</v>
    <v>15.21</v>
    <v>15.09</v>
    <v>15.07</v>
    <v>15.03</v>
    <v>15.11</v>
    <v>15.08</v>
    <v>15</v>
    <v>15.25</v>
    <v>15.13</v>
    <v>15.21</v>
    <v>15.27</v>
    <v>15.25</v>
    <v>15.23</v>
    <v>15.16</v>
    <v>15.09</v>
    <v>14.98</v>
    <v>14.99</v>
    <v>14.95</v>
    <v>15.29</v>
    <v>15.28</v>
    <v>15.38</v>
    <v>15.27</v>
    <v>15.33</v>
    <v>15.43</v>
    <v>15.45</v>
    <v>15.42</v>
    <v>15.64</v>
    <v>15.66</v>
    <v>15.57</v>
    <v>15.58</v>
    <v>15.45</v>
    <v>15.55</v>
    <v>15.57</v>
    <v>15.59</v>
    <v>15.55</v>
    <v>16.12</v>
    <v>16.16</v>
    <v>16.53</v>
    <v>16.71</v>
    <v>16.79</v>
    <v>16.71</v>
    <v>16.690000000000001</v>
    <v>16.850000000000001</v>
    <v>16.72</v>
    <v>16.84</v>
    <v>16.77</v>
    <v>16.78</v>
    <v>16.649999999999999</v>
    <v>16.829999999999998</v>
    <v>16.899999999999999</v>
    <v>16.63</v>
    <v>16.559999999999999</v>
    <v>16.399999999999999</v>
    <v>16.63</v>
    <v>16.55</v>
    <v>16.739999999999998</v>
    <v>16.809999999999999</v>
    <v>17.190000000000001</v>
    <v>17.309999999999999</v>
    <v>17.149999999999999</v>
    <v>17.010000000000002</v>
    <v>17.239999999999998</v>
    <v>17.12</v>
    <v>17.12</v>
    <v>17.3</v>
    <v>17.5</v>
    <v>17.39</v>
    <v>17.47</v>
    <v>17.649999999999999</v>
    <v>17.809999999999999</v>
    <v>17.72</v>
    <v>17.84</v>
    <v>17.95</v>
    <v>18.260000000000002</v>
    <v>17.899999999999999</v>
    <v>17.68</v>
    <v>17.82</v>
    <v>17.97</v>
    <v>17.59</v>
    <v>17.38</v>
    <v>17.329999999999998</v>
    <v>17.2</v>
    <v>17.079999999999998</v>
    <v>17.32</v>
    <v>17.579999999999998</v>
    <v>17.87</v>
    <v>17.55</v>
    <v>17.059999999999999</v>
    <v>16.86</v>
    <v>17.02</v>
    <v>16.91</v>
    <v>17.2</v>
    <v>17</v>
    <v>17.079999999999998</v>
    <v>17.04</v>
    <v>17.25</v>
    <v>17.66</v>
    <v>17.829999999999998</v>
    <v>17.91</v>
    <v>17.95</v>
    <v>18.13</v>
    <v>18.079999999999998</v>
    <v>18.420000000000002</v>
    <v>18.68</v>
    <v>18.8</v>
    <v>18.920000000000002</v>
    <v>19.149999999999999</v>
    <v>19.149999999999999</v>
    <v>18.920000000000002</v>
  </a>
  <a r="1" c="251">
    <v>60.48</v>
    <v>61.65</v>
    <v>64.89</v>
    <v>67.08</v>
    <v>68.42</v>
    <v>68.069999999999993</v>
    <v>68.09</v>
    <v>70.33</v>
    <v>67.67</v>
    <v>70.53</v>
    <v>69.37</v>
    <v>67.09</v>
    <v>68.819999999999993</v>
    <v>70.5</v>
    <v>69.87</v>
    <v>74.11</v>
    <v>73.83</v>
    <v>72.84</v>
    <v>72.91</v>
    <v>73.13</v>
    <v>73.099999999999994</v>
    <v>71.849999999999994</v>
    <v>69.58</v>
    <v>69.44</v>
    <v>69.16</v>
    <v>71.010000000000005</v>
    <v>71.150000000000006</v>
    <v>71.53</v>
    <v>70.540000000000006</v>
    <v>70.150000000000006</v>
    <v>71.16</v>
    <v>71.13</v>
    <v>71.55</v>
    <v>71.62</v>
    <v>71.67</v>
    <v>73.92</v>
    <v>73.400000000000006</v>
    <v>73.11</v>
    <v>72.25</v>
    <v>72.86</v>
    <v>71.14</v>
    <v>71.89</v>
    <v>71.28</v>
    <v>71.16</v>
    <v>71.98</v>
    <v>72.75</v>
    <v>74.86</v>
    <v>74.38</v>
    <v>74.069999999999993</v>
    <v>75.95</v>
    <v>76.12</v>
    <v>76.069999999999993</v>
    <v>74.61</v>
    <v>75.2</v>
    <v>75.510000000000005</v>
    <v>76.5</v>
    <v>75.13</v>
    <v>74.45</v>
    <v>74.39</v>
    <v>75.45</v>
    <v>76.239999999999995</v>
    <v>75.959999999999994</v>
    <v>74.16</v>
    <v>76.489999999999995</v>
    <v>77.25</v>
    <v>76.77</v>
    <v>77.61</v>
    <v>77.739999999999995</v>
    <v>77.72</v>
    <v>71.64</v>
    <v>71.319999999999993</v>
    <v>69.849999999999994</v>
    <v>70.64</v>
    <v>70.739999999999995</v>
    <v>69.959999999999994</v>
    <v>71.099999999999994</v>
    <v>72</v>
    <v>73</v>
    <v>74.41</v>
    <v>75.33</v>
    <v>73.66</v>
    <v>73.400000000000006</v>
    <v>73.17</v>
    <v>73.97</v>
    <v>73.87</v>
    <v>73.150000000000006</v>
    <v>75.22</v>
    <v>74.59</v>
    <v>74.09</v>
    <v>74.260000000000005</v>
    <v>73.72</v>
    <v>73.73</v>
    <v>71.599999999999994</v>
    <v>72.38</v>
    <v>74.12</v>
    <v>75.73</v>
    <v>78.16</v>
    <v>78.709999999999994</v>
    <v>75.989999999999995</v>
    <v>77.959999999999994</v>
    <v>76.44</v>
    <v>77.760000000000005</v>
    <v>77.48</v>
    <v>76.63</v>
    <v>74</v>
    <v>74.91</v>
    <v>74.77</v>
    <v>74.599999999999994</v>
    <v>73.98</v>
    <v>71.5</v>
    <v>72.459999999999994</v>
    <v>73.09</v>
    <v>75.099999999999994</v>
    <v>75.510000000000005</v>
    <v>76.819999999999993</v>
    <v>76.56</v>
    <v>76.41</v>
    <v>74.489999999999995</v>
    <v>75.13</v>
    <v>74.22</v>
    <v>71.010000000000005</v>
    <v>71.84</v>
    <v>72.34</v>
    <v>73.22</v>
    <v>73.38</v>
    <v>74.05</v>
    <v>75.48</v>
    <v>76.099999999999994</v>
    <v>76.14</v>
    <v>77.260000000000005</v>
    <v>78.14</v>
    <v>78.349999999999994</v>
    <v>79.400000000000006</v>
    <v>77.38</v>
    <v>75</v>
    <v>74.95</v>
    <v>74.47</v>
    <v>74.3</v>
    <v>75.61</v>
    <v>74.17</v>
    <v>73.05</v>
    <v>73.48</v>
    <v>73.41</v>
    <v>74.98</v>
    <v>73.97</v>
    <v>73.150000000000006</v>
    <v>70.63</v>
    <v>71.02</v>
    <v>72.31</v>
    <v>74.75</v>
    <v>76.45</v>
    <v>78.239999999999995</v>
    <v>79.959999999999994</v>
    <v>80.63</v>
    <v>79.989999999999995</v>
    <v>79.239999999999995</v>
    <v>80.22</v>
    <v>83.59</v>
    <v>82.52</v>
    <v>85.46</v>
    <v>83.09</v>
    <v>83.03</v>
    <v>84.47</v>
    <v>86.05</v>
    <v>83.96</v>
    <v>84.45</v>
    <v>82.25</v>
    <v>82.38</v>
    <v>82.52</v>
    <v>82.89</v>
    <v>83.94</v>
    <v>83.32</v>
    <v>83.39</v>
    <v>83.61</v>
    <v>83.15</v>
    <v>83.33</v>
    <v>82.02</v>
    <v>82.82</v>
    <v>85.04</v>
    <v>86.73</v>
    <v>85.76</v>
    <v>88.16</v>
    <v>87.28</v>
    <v>86.9</v>
    <v>84.77</v>
    <v>85.3</v>
    <v>82.51</v>
    <v>81.75</v>
    <v>78.83</v>
    <v>81.099999999999994</v>
    <v>81.89</v>
    <v>79.77</v>
    <v>80.27</v>
    <v>80.319999999999993</v>
    <v>79.260000000000005</v>
    <v>78.78</v>
    <v>78.97</v>
    <v>80.11</v>
    <v>78.78</v>
    <v>82.63</v>
    <v>82.31</v>
    <v>80.650000000000006</v>
    <v>79.08</v>
    <v>79.22</v>
    <v>79.2</v>
    <v>78.650000000000006</v>
    <v>80.34</v>
    <v>81.61</v>
    <v>82.95</v>
    <v>83.01</v>
    <v>84.23</v>
    <v>83.86</v>
    <v>84.05</v>
    <v>84.03</v>
    <v>83.92</v>
    <v>84.27</v>
    <v>80.16</v>
    <v>78.13</v>
    <v>79.02</v>
    <v>77.11</v>
    <v>74.27</v>
    <v>75.63</v>
    <v>72.73</v>
    <v>72.650000000000006</v>
    <v>70.33</v>
    <v>70.77</v>
    <v>72.17</v>
    <v>72.34</v>
    <v>70.25</v>
    <v>70.38</v>
    <v>69.650000000000006</v>
    <v>71.650000000000006</v>
    <v>70.959999999999994</v>
    <v>72.2</v>
    <v>71.540000000000006</v>
    <v>69.23</v>
    <v>68.77</v>
    <v>71.180000000000007</v>
    <v>71.98</v>
    <v>70.349999999999994</v>
    <v>70.400000000000006</v>
    <v>69.73</v>
    <v>73.75</v>
    <v>72.91</v>
    <v>73.180000000000007</v>
    <v>73.83</v>
    <v>74.67</v>
    <v>73.510000000000005</v>
    <v>73.2</v>
    <v>74.66</v>
    <v>74.150000000000006</v>
  </a>
  <a r="1" c="251">
    <v>65.66</v>
    <v>66.62</v>
    <v>67.27</v>
    <v>67.31</v>
    <v>67.650000000000006</v>
    <v>68.03</v>
    <v>68.53</v>
    <v>68.98</v>
    <v>69</v>
    <v>69.61</v>
    <v>69.42</v>
    <v>68.91</v>
    <v>69.41</v>
    <v>69.739999999999995</v>
    <v>70.02</v>
    <v>70.739999999999995</v>
    <v>70.61</v>
    <v>71.37</v>
    <v>71.78</v>
    <v>71.97</v>
    <v>71.88</v>
    <v>71.489999999999995</v>
    <v>71.55</v>
    <v>71.69</v>
    <v>71.739999999999995</v>
    <v>72.91</v>
    <v>72.19</v>
    <v>73.540000000000006</v>
    <v>73.430000000000007</v>
    <v>73.290000000000006</v>
    <v>73.16</v>
    <v>73.13</v>
    <v>73.27</v>
    <v>73.83</v>
    <v>73.989999999999995</v>
    <v>73.98</v>
    <v>73.569999999999993</v>
    <v>73.900000000000006</v>
    <v>73.78</v>
    <v>74.459999999999994</v>
    <v>74.25</v>
    <v>74.349999999999994</v>
    <v>74.5</v>
    <v>74.459999999999994</v>
    <v>74.37</v>
    <v>74.61</v>
    <v>74.489999999999995</v>
    <v>75.14</v>
    <v>75.16</v>
    <v>75.3</v>
    <v>74.98</v>
    <v>74.959999999999994</v>
    <v>74.92</v>
    <v>75.010000000000005</v>
    <v>75.11</v>
    <v>75.02</v>
    <v>75.3</v>
    <v>74.67</v>
    <v>74.790000000000006</v>
    <v>74.84</v>
    <v>75.349999999999994</v>
    <v>75.66</v>
    <v>75.760000000000005</v>
    <v>76</v>
    <v>76.69</v>
    <v>77.27</v>
    <v>77.34</v>
    <v>77.63</v>
    <v>77.290000000000006</v>
    <v>77.099999999999994</v>
    <v>77.510000000000005</v>
    <v>77.09</v>
    <v>76.53</v>
    <v>76.63</v>
    <v>76.430000000000007</v>
    <v>76.7</v>
    <v>77.03</v>
    <v>77.3</v>
    <v>77.709999999999994</v>
    <v>78.010000000000005</v>
    <v>78.22</v>
    <v>78.47</v>
    <v>78.53</v>
    <v>78.569999999999993</v>
    <v>78.709999999999994</v>
    <v>78.7</v>
    <v>79.7</v>
    <v>79.53</v>
    <v>84.98</v>
    <v>85.13</v>
    <v>85.82</v>
    <v>85.77</v>
    <v>85.62</v>
    <v>86.73</v>
    <v>87.85</v>
    <v>87.86</v>
    <v>88.3</v>
    <v>88.35</v>
    <v>88.57</v>
    <v>88.87</v>
    <v>87.74</v>
    <v>88.16</v>
    <v>89.13</v>
    <v>88.99</v>
    <v>89.18</v>
    <v>89.6</v>
    <v>89.06</v>
    <v>89.11</v>
    <v>89.09</v>
    <v>89.76</v>
    <v>89.75</v>
    <v>90.2</v>
    <v>89.99</v>
    <v>90.07</v>
    <v>90.87</v>
    <v>91.03</v>
    <v>91.15</v>
    <v>89.61</v>
    <v>88.42</v>
    <v>89.2</v>
    <v>88.84</v>
    <v>90.11</v>
    <v>90.59</v>
    <v>89.91</v>
    <v>89.32</v>
    <v>89.87</v>
    <v>90.28</v>
    <v>89.73</v>
    <v>90.18</v>
    <v>90.68</v>
    <v>91.33</v>
    <v>91.86</v>
    <v>91.1</v>
    <v>91.86</v>
    <v>91.99</v>
    <v>92.36</v>
    <v>92.68</v>
    <v>92.4</v>
    <v>93</v>
    <v>93.54</v>
    <v>94.21</v>
    <v>93.54</v>
    <v>95</v>
    <v>94.42</v>
    <v>94.65</v>
    <v>94.66</v>
    <v>94.8</v>
    <v>94.03</v>
    <v>93.59</v>
    <v>94</v>
    <v>93.96</v>
    <v>95.68</v>
    <v>96.88</v>
    <v>96.89</v>
    <v>96.94</v>
    <v>96.03</v>
    <v>98.72</v>
    <v>98.08</v>
    <v>98.33</v>
    <v>99.26</v>
    <v>99.39</v>
    <v>100.04</v>
    <v>100.2</v>
    <v>100.4</v>
    <v>100.17</v>
    <v>100.55</v>
    <v>100.22</v>
    <v>98.51</v>
    <v>99.34</v>
    <v>100.12</v>
    <v>100.4</v>
    <v>101.04</v>
    <v>101.31</v>
    <v>101.28</v>
    <v>101.33</v>
    <v>101.23</v>
    <v>102.4</v>
    <v>102.82</v>
    <v>99.74</v>
    <v>99.85</v>
    <v>101.08</v>
    <v>100.62</v>
    <v>100.5</v>
    <v>100.88</v>
    <v>101.33</v>
    <v>102.18</v>
    <v>102.18</v>
    <v>102.2</v>
    <v>101.37</v>
    <v>102.06</v>
    <v>102.48</v>
    <v>102.64</v>
    <v>103</v>
    <v>103.51</v>
    <v>102.08</v>
    <v>103.04</v>
    <v>101.8</v>
    <v>102.8</v>
    <v>102.77</v>
    <v>102.1</v>
    <v>103.2</v>
    <v>104.3</v>
    <v>105.29</v>
    <v>105.46</v>
    <v>104.76</v>
    <v>103.28</v>
    <v>103.16</v>
    <v>104.03</v>
    <v>104.03</v>
    <v>104.34</v>
    <v>105.75</v>
    <v>104.01</v>
    <v>103.32</v>
    <v>103.86</v>
    <v>105.06</v>
    <v>103.48</v>
    <v>103.37</v>
    <v>100.45</v>
    <v>101.53</v>
    <v>99.71</v>
    <v>98.03</v>
    <v>96.23</v>
    <v>97.2</v>
    <v>96.94</v>
    <v>95.36</v>
    <v>94.38</v>
    <v>95.75</v>
    <v>96.19</v>
    <v>95.85</v>
    <v>94.5</v>
    <v>93.61</v>
    <v>95.01</v>
    <v>95.66</v>
    <v>96.63</v>
    <v>95.02</v>
    <v>94.09</v>
    <v>93.88</v>
    <v>96.47</v>
    <v>97.4</v>
    <v>97.64</v>
    <v>97.74</v>
    <v>97.17</v>
    <v>98.62</v>
    <v>99.74</v>
    <v>100.85</v>
    <v>101.67</v>
    <v>102.62</v>
    <v>103.43</v>
    <v>102.79</v>
    <v>104.92</v>
    <v>104.89</v>
  </a>
  <a r="1" c="251">
    <v>26.33</v>
    <v>26.96</v>
    <v>27.19</v>
    <v>27.53</v>
    <v>26.81</v>
    <v>27.26</v>
    <v>27.3</v>
    <v>27.7</v>
    <v>27.64</v>
    <v>27.61</v>
    <v>27.51</v>
    <v>28.16</v>
    <v>28.1</v>
    <v>27.47</v>
    <v>27.84</v>
    <v>27.01</v>
    <v>26.45</v>
    <v>26.44</v>
    <v>27.33</v>
    <v>27.72</v>
    <v>28.02</v>
    <v>27.78</v>
    <v>27.47</v>
    <v>27.23</v>
    <v>27.42</v>
    <v>27.39</v>
    <v>27.5</v>
    <v>27.38</v>
    <v>27.8</v>
    <v>27.93</v>
    <v>27.96</v>
    <v>27.36</v>
    <v>27.76</v>
    <v>28.08</v>
    <v>27.86</v>
    <v>28.42</v>
    <v>28.34</v>
    <v>28.27</v>
    <v>28.19</v>
    <v>27.97</v>
    <v>27.65</v>
    <v>27.66</v>
    <v>27.77</v>
    <v>28.2</v>
    <v>28.28</v>
    <v>27.92</v>
    <v>28</v>
    <v>28.08</v>
    <v>28.94</v>
    <v>28.88</v>
    <v>28.31</v>
    <v>28.36</v>
    <v>28.41</v>
    <v>28.29</v>
    <v>28.1</v>
    <v>27.62</v>
    <v>26.97</v>
    <v>27.16</v>
    <v>27.02</v>
    <v>26.95</v>
    <v>26.99</v>
    <v>26.94</v>
    <v>27.38</v>
    <v>27.42</v>
    <v>27.75</v>
    <v>27.92</v>
    <v>28</v>
    <v>27.6</v>
    <v>27.41</v>
    <v>27.5</v>
    <v>27.41</v>
    <v>27.75</v>
    <v>27.68</v>
    <v>27.77</v>
    <v>27.49</v>
    <v>28.06</v>
    <v>28.08</v>
    <v>28.14</v>
    <v>28.48</v>
    <v>28.4</v>
    <v>28.75</v>
    <v>28.87</v>
    <v>28.92</v>
    <v>28.98</v>
    <v>29.28</v>
    <v>29.44</v>
    <v>28.77</v>
    <v>28.74</v>
    <v>28.56</v>
    <v>29.06</v>
    <v>28.94</v>
    <v>29.29</v>
    <v>29.08</v>
    <v>29.04</v>
    <v>29.58</v>
    <v>29.59</v>
    <v>28.9</v>
    <v>29.42</v>
    <v>29.2</v>
    <v>29.49</v>
    <v>29.57</v>
    <v>29.62</v>
    <v>29.33</v>
    <v>29.54</v>
    <v>29.2</v>
    <v>29.01</v>
    <v>28.92</v>
    <v>28.79</v>
    <v>28.32</v>
    <v>28.3</v>
    <v>28.31</v>
    <v>28.07</v>
    <v>28.24</v>
    <v>27.55</v>
    <v>27.01</v>
    <v>27.06</v>
    <v>25.87</v>
    <v>26.16</v>
    <v>26.25</v>
    <v>26.1</v>
    <v>25.87</v>
    <v>25.59</v>
    <v>26.13</v>
    <v>26.07</v>
    <v>26.2</v>
    <v>26.34</v>
    <v>26.1</v>
    <v>26.05</v>
    <v>25.55</v>
    <v>24.62</v>
    <v>25.14</v>
    <v>25.53</v>
    <v>25.7</v>
    <v>25.14</v>
    <v>24.68</v>
    <v>24.75</v>
    <v>24.53</v>
    <v>24.44</v>
    <v>24.56</v>
    <v>24.74</v>
    <v>24.83</v>
    <v>24.83</v>
    <v>25.18</v>
    <v>25.65</v>
    <v>25.75</v>
    <v>25.59</v>
    <v>25.47</v>
    <v>25.6</v>
    <v>25.27</v>
    <v>25.52</v>
    <v>25.93</v>
    <v>25.62</v>
    <v>25.86</v>
    <v>25.82</v>
    <v>26.02</v>
    <v>25.79</v>
    <v>25.52</v>
    <v>25.32</v>
    <v>25.39</v>
    <v>25.28</v>
    <v>24.84</v>
    <v>24.51</v>
    <v>24.39</v>
    <v>24.3</v>
    <v>24.58</v>
    <v>24.31</v>
    <v>24.07</v>
    <v>24.36</v>
    <v>24.26</v>
    <v>24.15</v>
    <v>24.3</v>
    <v>24.46</v>
    <v>24.66</v>
    <v>24.65</v>
    <v>24.77</v>
    <v>24.81</v>
    <v>24.84</v>
    <v>24.56</v>
    <v>24.71</v>
    <v>24.34</v>
    <v>23.97</v>
    <v>24.17</v>
    <v>23.99</v>
    <v>23.74</v>
    <v>23.3</v>
    <v>23.61</v>
    <v>23.73</v>
    <v>23.49</v>
    <v>23.45</v>
    <v>23.5</v>
    <v>23.58</v>
    <v>23.59</v>
    <v>23.45</v>
    <v>23</v>
    <v>24.07</v>
    <v>25.13</v>
    <v>26.21</v>
    <v>26.3</v>
    <v>26.83</v>
    <v>27.22</v>
    <v>27.31</v>
    <v>27.13</v>
    <v>27.11</v>
    <v>27.41</v>
    <v>28.47</v>
    <v>28.8</v>
    <v>28.69</v>
    <v>28.68</v>
    <v>27.88</v>
    <v>27.88</v>
    <v>27.98</v>
    <v>28.52</v>
    <v>28.35</v>
    <v>27.87</v>
    <v>27.46</v>
    <v>28.01</v>
    <v>28.01</v>
    <v>28.67</v>
    <v>28.98</v>
    <v>28.97</v>
    <v>28.64</v>
    <v>27.53</v>
    <v>27.71</v>
    <v>27.16</v>
    <v>27.39</v>
    <v>27.72</v>
    <v>27.73</v>
    <v>27.85</v>
    <v>27.41</v>
    <v>27.74</v>
    <v>28.31</v>
    <v>28.76</v>
    <v>28.87</v>
    <v>28.81</v>
    <v>28.92</v>
    <v>29.1</v>
    <v>28.78</v>
    <v>28.99</v>
    <v>28.31</v>
    <v>28.33</v>
    <v>28.32</v>
    <v>28.04</v>
    <v>27.35</v>
    <v>26.84</v>
    <v>26.46</v>
    <v>25.61</v>
    <v>25.62</v>
    <v>25.46</v>
    <v>26.4</v>
    <v>26.51</v>
    <v>26.18</v>
  </a>
  <a r="1" c="251">
    <v>29.94</v>
    <v>30.2</v>
    <v>30.09</v>
    <v>29.64</v>
    <v>29.49</v>
    <v>28.81</v>
    <v>28.87</v>
    <v>29.1</v>
    <v>28.5</v>
    <v>28.64</v>
    <v>28.59</v>
    <v>28.4</v>
    <v>28.23</v>
    <v>28.49</v>
    <v>28.07</v>
    <v>28.15</v>
    <v>27.59</v>
    <v>27.17</v>
    <v>27.49</v>
    <v>27.74</v>
    <v>27.88</v>
    <v>27.9</v>
    <v>26.63</v>
    <v>26.5</v>
    <v>26.3</v>
    <v>26.83</v>
    <v>26.54</v>
    <v>27.02</v>
    <v>26.73</v>
    <v>26.63</v>
    <v>26.79</v>
    <v>26.7</v>
    <v>26.62</v>
    <v>26.73</v>
    <v>26.48</v>
    <v>26.59</v>
    <v>26.42</v>
    <v>26.46</v>
    <v>26.08</v>
    <v>25.79</v>
    <v>25.75</v>
    <v>25.68</v>
    <v>25.8</v>
    <v>25.92</v>
    <v>26.03</v>
    <v>25.73</v>
    <v>25.79</v>
    <v>25.61</v>
    <v>25.82</v>
    <v>26.61</v>
    <v>27.06</v>
    <v>26.66</v>
    <v>26.08</v>
    <v>26.43</v>
    <v>26.45</v>
    <v>26.47</v>
    <v>27.14</v>
    <v>27.8</v>
    <v>27.12</v>
    <v>27.58</v>
    <v>28.13</v>
    <v>27.82</v>
    <v>27.48</v>
    <v>28.78</v>
    <v>28.94</v>
    <v>28.78</v>
    <v>28.68</v>
    <v>28.25</v>
    <v>28.56</v>
    <v>28.49</v>
    <v>27.46</v>
    <v>27.41</v>
    <v>26.8</v>
    <v>27.04</v>
    <v>27.26</v>
    <v>27.65</v>
    <v>27.76</v>
    <v>27.43</v>
    <v>27.35</v>
    <v>28.02</v>
    <v>27.65</v>
    <v>27.67</v>
    <v>27.27</v>
    <v>27.67</v>
    <v>27.42</v>
    <v>27.5</v>
    <v>28.06</v>
    <v>27.69</v>
    <v>27.7</v>
    <v>27.89</v>
    <v>27.64</v>
    <v>27.97</v>
    <v>26.02</v>
    <v>26.93</v>
    <v>26.96</v>
    <v>27.29</v>
    <v>26.9</v>
    <v>26.67</v>
    <v>26.65</v>
    <v>26.52</v>
    <v>26.13</v>
    <v>25.63</v>
    <v>25.93</v>
    <v>25.73</v>
    <v>26.08</v>
    <v>26.42</v>
    <v>26.38</v>
    <v>26.56</v>
    <v>26.74</v>
    <v>25.81</v>
    <v>26.05</v>
    <v>25.7</v>
    <v>26.04</v>
    <v>26.28</v>
    <v>26.07</v>
    <v>26.06</v>
    <v>25.27</v>
    <v>25.42</v>
    <v>25.08</v>
    <v>25.04</v>
    <v>25.15</v>
    <v>25.11</v>
    <v>25.44</v>
    <v>25.19</v>
    <v>25.13</v>
    <v>25.52</v>
    <v>25.71</v>
    <v>25.58</v>
    <v>25.64</v>
    <v>25.41</v>
    <v>25.25</v>
    <v>25.59</v>
    <v>25.52</v>
    <v>24.38</v>
    <v>24.58</v>
    <v>24.73</v>
    <v>24.33</v>
    <v>24.17</v>
    <v>24.14</v>
    <v>23.72</v>
    <v>24.28</v>
    <v>24.38</v>
    <v>24.67</v>
    <v>24.75</v>
    <v>24.96</v>
    <v>24.85</v>
    <v>24.49</v>
    <v>24.97</v>
    <v>24.91</v>
    <v>24.98</v>
    <v>25.29</v>
    <v>25.23</v>
    <v>25.44</v>
    <v>25.6</v>
    <v>25.51</v>
    <v>25.37</v>
    <v>24.96</v>
    <v>25.03</v>
    <v>24.59</v>
    <v>24.34</v>
    <v>24.51</v>
    <v>24.23</v>
    <v>24.35</v>
    <v>24.39</v>
    <v>24.45</v>
    <v>24.5</v>
    <v>24.68</v>
    <v>24.75</v>
    <v>24.75</v>
    <v>24.51</v>
    <v>24.15</v>
    <v>23.7</v>
    <v>24.02</v>
    <v>24.13</v>
    <v>24.25</v>
    <v>24.43</v>
    <v>24.25</v>
    <v>24.39</v>
    <v>23.77</v>
    <v>23.51</v>
    <v>23.01</v>
    <v>23.43</v>
    <v>23.42</v>
    <v>23.39</v>
    <v>23.51</v>
    <v>24.32</v>
    <v>24.24</v>
    <v>23.53</v>
    <v>23.76</v>
    <v>22.4</v>
    <v>22.72</v>
    <v>23.2</v>
    <v>23.58</v>
    <v>23.7</v>
    <v>23.19</v>
    <v>23.14</v>
    <v>23.74</v>
    <v>23.5</v>
    <v>23.87</v>
    <v>24.48</v>
    <v>24.445</v>
    <v>24.64</v>
    <v>24.58</v>
    <v>24.9</v>
    <v>24.99</v>
    <v>24.32</v>
    <v>24.8</v>
    <v>23.78</v>
    <v>23.95</v>
    <v>23.99</v>
    <v>24.4</v>
    <v>24.54</v>
    <v>24.78</v>
    <v>24.555</v>
    <v>24.57</v>
    <v>24.61</v>
    <v>24.51</v>
    <v>24.22</v>
    <v>24.04</v>
    <v>24.23</v>
    <v>24.54</v>
    <v>24.44</v>
    <v>23.66</v>
    <v>23.14</v>
    <v>22.33</v>
    <v>22.58</v>
    <v>22.71</v>
    <v>22.89</v>
    <v>22.08</v>
    <v>21.76</v>
    <v>21.57</v>
    <v>21.21</v>
    <v>21.32</v>
    <v>21.51</v>
    <v>21.56</v>
    <v>22.04</v>
    <v>22.34</v>
    <v>22.49</v>
    <v>22.27</v>
    <v>22.79</v>
    <v>23.57</v>
    <v>23.18</v>
    <v>22.95</v>
    <v>23.27</v>
    <v>23.06</v>
    <v>22.42</v>
    <v>22.11</v>
    <v>22.01</v>
    <v>22.59</v>
    <v>22.47</v>
    <v>22.21</v>
  </a>
  <a r="1" c="251">
    <v>133.72999999999999</v>
    <v>137.30000000000001</v>
    <v>136.68</v>
    <v>139.07</v>
    <v>138.72999999999999</v>
    <v>140.1</v>
    <v>139.30000000000001</v>
    <v>136.06</v>
    <v>136.26</v>
    <v>138.5</v>
    <v>135.5</v>
    <v>135.6</v>
    <v>135.79</v>
    <v>137.04</v>
    <v>138.49</v>
    <v>141.62</v>
    <v>142.35</v>
    <v>141.66999999999999</v>
    <v>142.26</v>
    <v>142.1</v>
    <v>138.49</v>
    <v>137.27000000000001</v>
    <v>135.56</v>
    <v>135.29</v>
    <v>136.54</v>
    <v>137.83000000000001</v>
    <v>136.02000000000001</v>
    <v>137.91</v>
    <v>136.69999999999999</v>
    <v>137.84</v>
    <v>139.55000000000001</v>
    <v>137.37</v>
    <v>136.9</v>
    <v>140.21</v>
    <v>140.76</v>
    <v>143.35</v>
    <v>144.78</v>
    <v>144.97</v>
    <v>145.91</v>
    <v>146.03</v>
    <v>148.85</v>
    <v>148.19</v>
    <v>149.55000000000001</v>
    <v>146.86000000000001</v>
    <v>143.55000000000001</v>
    <v>143.22999999999999</v>
    <v>144.44</v>
    <v>143.79</v>
    <v>143.19</v>
    <v>145.57</v>
    <v>147.97999999999999</v>
    <v>148.37</v>
    <v>147.4</v>
    <v>153.24</v>
    <v>153.02000000000001</v>
    <v>154.16999999999999</v>
    <v>155.31</v>
    <v>151.65</v>
    <v>150.69</v>
    <v>149.91999999999999</v>
    <v>151.38</v>
    <v>150.04</v>
    <v>149.68</v>
    <v>150.04</v>
    <v>153.12</v>
    <v>155.83000000000001</v>
    <v>154.84</v>
    <v>156.28</v>
    <v>157.03</v>
    <v>153.56</v>
    <v>151.63999999999999</v>
    <v>151.4</v>
    <v>151.04</v>
    <v>153.04</v>
    <v>152.78</v>
    <v>153.16</v>
    <v>155.01</v>
    <v>153.44999999999999</v>
    <v>154.44</v>
    <v>155.87</v>
    <v>155.16</v>
    <v>156.55000000000001</v>
    <v>155.32</v>
    <v>152</v>
    <v>153.22</v>
    <v>155.55000000000001</v>
    <v>158.18</v>
    <v>158.19999999999999</v>
    <v>157.36000000000001</v>
    <v>159.24</v>
    <v>159.32</v>
    <v>160.6</v>
    <v>161.83000000000001</v>
    <v>158.06</v>
    <v>157.69</v>
    <v>153.66</v>
    <v>154</v>
    <v>154.85</v>
    <v>157.79</v>
    <v>158.25</v>
    <v>157.11000000000001</v>
    <v>157.31</v>
    <v>159.54</v>
    <v>160.09</v>
    <v>158.84</v>
    <v>156.21</v>
    <v>156.05000000000001</v>
    <v>157.41999999999999</v>
    <v>159.18</v>
    <v>160.72</v>
    <v>160.16</v>
    <v>156.1</v>
    <v>155.29</v>
    <v>154.58000000000001</v>
    <v>153.37</v>
    <v>153.55000000000001</v>
    <v>154.02000000000001</v>
    <v>154.91</v>
    <v>153.74</v>
    <v>151.63999999999999</v>
    <v>148.9</v>
    <v>151.94</v>
    <v>152.38999999999999</v>
    <v>152.11000000000001</v>
    <v>151.71</v>
    <v>153.08000000000001</v>
    <v>154.47999999999999</v>
    <v>153.79</v>
    <v>155.57</v>
    <v>156.56</v>
    <v>155.56</v>
    <v>155.28</v>
    <v>154.13</v>
    <v>155.1</v>
    <v>153.52000000000001</v>
    <v>157.72</v>
    <v>154.04</v>
    <v>153.38999999999999</v>
    <v>152.66</v>
    <v>152.94</v>
    <v>155.02000000000001</v>
    <v>155.65</v>
    <v>156.24</v>
    <v>153.32</v>
    <v>155.58000000000001</v>
    <v>157.62</v>
    <v>154.82</v>
    <v>153.62</v>
    <v>151.69999999999999</v>
    <v>150.31</v>
    <v>149.97999999999999</v>
    <v>149.75</v>
    <v>148.53</v>
    <v>149.51</v>
    <v>151.13</v>
    <v>152.54</v>
    <v>150.25</v>
    <v>151.59</v>
    <v>152.26</v>
    <v>150</v>
    <v>148.71</v>
    <v>148.49</v>
    <v>151.41</v>
    <v>150.72</v>
    <v>149.99</v>
    <v>149.80000000000001</v>
    <v>146.75</v>
    <v>149.52000000000001</v>
    <v>147.69</v>
    <v>147.75</v>
    <v>149.80000000000001</v>
    <v>150.51</v>
    <v>150.5</v>
    <v>150.02000000000001</v>
    <v>150.99</v>
    <v>152.31</v>
    <v>152.41</v>
    <v>155.9</v>
    <v>163.85</v>
    <v>156.54</v>
    <v>155.19999999999999</v>
    <v>159.25</v>
    <v>162.11000000000001</v>
    <v>162.34</v>
    <v>163.87</v>
    <v>167.24</v>
    <v>166.16</v>
    <v>166.26</v>
    <v>165.3</v>
    <v>166.73</v>
    <v>166.66</v>
    <v>166.72</v>
    <v>167.5</v>
    <v>169.05</v>
    <v>169.93</v>
    <v>171.19</v>
    <v>176.9</v>
    <v>174.03</v>
    <v>178.04</v>
    <v>181.23</v>
    <v>179.23</v>
    <v>180.86</v>
    <v>182.6</v>
    <v>182.26</v>
    <v>185.82</v>
    <v>182.4</v>
    <v>183.74</v>
    <v>180.55</v>
    <v>183.87</v>
    <v>184.78</v>
    <v>183.93</v>
    <v>184.91</v>
    <v>185.34</v>
    <v>184.22</v>
    <v>184.16</v>
    <v>186.76</v>
    <v>189.6</v>
    <v>188.77</v>
    <v>186.03</v>
    <v>189.9</v>
    <v>189.94</v>
    <v>189.44</v>
    <v>186.29</v>
    <v>191.79</v>
    <v>196.97</v>
    <v>196.82</v>
    <v>196.84</v>
    <v>197.97</v>
    <v>198.61</v>
    <v>201.44</v>
    <v>201.73</v>
    <v>205.21</v>
    <v>206.79</v>
    <v>205.15</v>
    <v>207.79</v>
    <v>211.15</v>
    <v>210.71</v>
    <v>206.9</v>
    <v>197.41</v>
    <v>198.97</v>
    <v>198.86</v>
    <v>201.54</v>
    <v>192.89</v>
    <v>190.36</v>
    <v>188.55</v>
    <v>191.78</v>
    <v>187.02</v>
    <v>184.91</v>
    <v>188.15</v>
    <v>183.99</v>
    <v>183.25</v>
  </a>
  <a r="1" c="160">
    <v t="i">0</v>
    <v t="i">1</v>
    <v t="i">2</v>
    <v t="i">3</v>
    <v t="i">4</v>
    <v t="i">7</v>
    <v t="i">8</v>
    <v t="i">9</v>
    <v t="i">10</v>
    <v t="i">11</v>
    <v t="i">14</v>
    <v t="i">15</v>
    <v t="i">16</v>
    <v t="i">17</v>
    <v t="i">18</v>
    <v t="i">21</v>
    <v t="i">22</v>
    <v t="i">23</v>
    <v t="i">24</v>
    <v t="i">25</v>
    <v t="i">28</v>
    <v t="i">29</v>
    <v t="i">30</v>
    <v t="i">31</v>
    <v t="i">32</v>
    <v t="i">36</v>
    <v t="i">37</v>
    <v t="i">38</v>
    <v t="i">39</v>
    <v t="i">42</v>
    <v t="i">43</v>
    <v t="i">44</v>
    <v t="i">45</v>
    <v t="i">46</v>
    <v t="i">49</v>
    <v t="i">50</v>
    <v t="i">51</v>
    <v t="i">52</v>
    <v t="i">53</v>
    <v t="i">56</v>
    <v t="i">57</v>
    <v t="i">58</v>
    <v t="i">60</v>
    <v t="i">63</v>
    <v t="i">64</v>
    <v t="i">65</v>
    <v t="i">66</v>
    <v t="i">67</v>
    <v t="i">70</v>
    <v t="i">71</v>
    <v t="i">72</v>
    <v t="i">73</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134</v>
    <v t="i">135</v>
    <v t="i">136</v>
    <v t="i">137</v>
    <v t="i">140</v>
    <v t="i">141</v>
    <v t="i">142</v>
    <v t="i">143</v>
    <v t="i">144</v>
    <v t="i">147</v>
    <v t="i">148</v>
    <v t="i">149</v>
    <v t="i">150</v>
    <v t="i">151</v>
    <v t="i">154</v>
    <v t="i">155</v>
    <v t="i">156</v>
    <v t="i">157</v>
    <v t="i">158</v>
    <v t="i">161</v>
    <v t="i">162</v>
    <v t="i">163</v>
    <v t="i">164</v>
    <v t="i">165</v>
    <v t="i">168</v>
    <v t="i">169</v>
    <v t="i">170</v>
    <v t="i">171</v>
    <v t="i">172</v>
    <v t="i">175</v>
    <v t="i">176</v>
    <v t="i">177</v>
    <v t="i">178</v>
    <v t="i">179</v>
    <v t="i">182</v>
    <v t="i">183</v>
    <v t="i">184</v>
    <v t="i">185</v>
    <v t="i">186</v>
    <v t="i">189</v>
    <v t="i">190</v>
    <v t="i">191</v>
    <v t="i">192</v>
    <v t="i">193</v>
    <v t="i">196</v>
    <v t="i">197</v>
    <v t="i">198</v>
    <v t="i">199</v>
    <v t="i">200</v>
    <v t="i">203</v>
    <v t="i">204</v>
    <v t="i">205</v>
    <v t="i">206</v>
    <v t="i">207</v>
    <v t="i">210</v>
    <v t="i">211</v>
    <v t="i">212</v>
    <v t="i">213</v>
    <v t="i">214</v>
    <v t="i">217</v>
    <v t="i">218</v>
    <v t="i">219</v>
    <v t="i">221</v>
    <v t="i">224</v>
    <v t="i">225</v>
    <v t="i">226</v>
    <v t="i">227</v>
    <v t="i">228</v>
  </a>
  <a r="1" c="160">
    <v>57.89</v>
    <v>59.39</v>
    <v>58.7</v>
    <v>59.28</v>
    <v>59.95</v>
    <v>60.08</v>
    <v>58.45</v>
    <v>56.85</v>
    <v>57.77</v>
    <v>57.73</v>
    <v>57.39</v>
    <v>57.48</v>
    <v>57.25</v>
    <v>57.4</v>
    <v>58.81</v>
    <v>58.7</v>
    <v>59.9</v>
    <v>59.3</v>
    <v>59.21</v>
    <v>59.68</v>
    <v>59.39</v>
    <v>59.4</v>
    <v>58.83</v>
    <v>58.16</v>
    <v>57.89</v>
    <v>58.49</v>
    <v>58.29</v>
    <v>58.57</v>
    <v>58.68</v>
    <v>60.51</v>
    <v>60.07</v>
    <v>59.05</v>
    <v>59.24</v>
    <v>59.32</v>
    <v>59.65</v>
    <v>60.9</v>
    <v>62.11</v>
    <v>63.07</v>
    <v>63.48</v>
    <v>62.57</v>
    <v>63.94</v>
    <v>62.03</v>
    <v>62.59</v>
    <v>61.28</v>
    <v>60.4</v>
    <v>61.04</v>
    <v>61.56</v>
    <v>61.5</v>
    <v>61.39</v>
    <v>61.91</v>
    <v>63.49</v>
    <v>62.72</v>
    <v>60.42</v>
    <v>62.04</v>
    <v>62.56</v>
    <v>62.61</v>
    <v>63.01</v>
    <v>62.22</v>
    <v>62.08</v>
    <v>61.85</v>
    <v>61.74</v>
    <v>61.7</v>
    <v>61.5</v>
    <v>61.93</v>
    <v>62.38</v>
    <v>60.44</v>
    <v>60.67</v>
    <v>60.96</v>
    <v>61.46</v>
    <v>59.76</v>
    <v>59.55</v>
    <v>59.16</v>
    <v>59.49</v>
    <v>60.28</v>
    <v>60.2</v>
    <v>60.8</v>
    <v>61.33</v>
    <v>60.99</v>
    <v>61.66</v>
    <v>61.37</v>
    <v>61.52</v>
    <v>62.24</v>
    <v>61.52</v>
    <v>62.32</v>
    <v>63.1</v>
    <v>63.45</v>
    <v>64.03</v>
    <v>62.73</v>
    <v>61.92</v>
    <v>62.09</v>
    <v>62.11</v>
    <v>62.75</v>
    <v>62.59</v>
    <v>61.7</v>
    <v>61.54</v>
    <v>60.95</v>
    <v>61.1</v>
    <v>61.56</v>
    <v>62.2</v>
    <v>61.4</v>
    <v>61.14</v>
    <v>61.91</v>
    <v>62.1</v>
    <v>61.19</v>
    <v>61.38</v>
    <v>60.54</v>
    <v>60.77</v>
    <v>61.58</v>
    <v>62.47</v>
    <v>62.42</v>
    <v>63.15</v>
    <v>61.72</v>
    <v>59.69</v>
    <v>60.46</v>
    <v>59.48</v>
    <v>59.71</v>
    <v>59.78</v>
    <v>59.38</v>
    <v>59.09</v>
    <v>58.61</v>
    <v>57.39</v>
    <v>57.59</v>
    <v>58.36</v>
    <v>60.47</v>
    <v>60.44</v>
    <v>61.59</v>
    <v>61.04</v>
    <v>60.99</v>
    <v>62.25</v>
    <v>62.58</v>
    <v>62.1</v>
    <v>62.37</v>
    <v>62.06</v>
    <v>62.22</v>
    <v>61.64</v>
    <v>62.24</v>
    <v>61.57</v>
    <v>61.25</v>
    <v>60.99</v>
    <v>61.11</v>
    <v>62.26</v>
    <v>62.93</v>
    <v>63.96</v>
    <v>63.95</v>
    <v>64.91</v>
    <v>65.400000000000006</v>
    <v>65.010000000000005</v>
    <v>64.95</v>
    <v>64.19</v>
    <v>63.47</v>
    <v>64.650000000000006</v>
    <v>64.510000000000005</v>
    <v>65.2</v>
    <v>65.52</v>
    <v>65.7</v>
    <v>65.63</v>
    <v>65.7</v>
    <v>66.92</v>
    <v>66.78</v>
    <v>64.819999999999993</v>
  </a>
  <a r="1" c="251">
    <v>33.01</v>
    <v>34.33</v>
    <v>34.03</v>
    <v>35.21</v>
    <v>34.36</v>
    <v>33.74</v>
    <v>33.83</v>
    <v>33.96</v>
    <v>34.72</v>
    <v>34.83</v>
    <v>33.92</v>
    <v>33.72</v>
    <v>33.700000000000003</v>
    <v>35.54</v>
    <v>36.369999999999997</v>
    <v>38.89</v>
    <v>38.64</v>
    <v>38.54</v>
    <v>38.26</v>
    <v>39.24</v>
    <v>39.1</v>
    <v>40.5</v>
    <v>38.64</v>
    <v>39.24</v>
    <v>38.03</v>
    <v>39.770000000000003</v>
    <v>39.799999999999997</v>
    <v>39.89</v>
    <v>39.22</v>
    <v>37.96</v>
    <v>40.61</v>
    <v>41.36</v>
    <v>40.82</v>
    <v>41.05</v>
    <v>41.6</v>
    <v>42.61</v>
    <v>42</v>
    <v>41.68</v>
    <v>40.619999999999997</v>
    <v>41.33</v>
    <v>40.049999999999997</v>
    <v>40.049999999999997</v>
    <v>39.29</v>
    <v>40.409999999999997</v>
    <v>40.57</v>
    <v>39.29</v>
    <v>40.119999999999997</v>
    <v>40.94</v>
    <v>40.65</v>
    <v>44.87</v>
    <v>46.67</v>
    <v>46.44</v>
    <v>45.89</v>
    <v>47.12</v>
    <v>47.87</v>
    <v>50.07</v>
    <v>49.99</v>
    <v>48.12</v>
    <v>47.28</v>
    <v>46.91</v>
    <v>46.99</v>
    <v>46.86</v>
    <v>47.07</v>
    <v>52.02</v>
    <v>53.48</v>
    <v>49.61</v>
    <v>50.24</v>
    <v>49.48</v>
    <v>57.81</v>
    <v>53.02</v>
    <v>52.91</v>
    <v>49.62</v>
    <v>50.43</v>
    <v>52.92</v>
    <v>52.68</v>
    <v>52.07</v>
    <v>51.44</v>
    <v>52.23</v>
    <v>55.29</v>
    <v>59.51</v>
    <v>58.82</v>
    <v>57.23</v>
    <v>56.44</v>
    <v>56.61</v>
    <v>55.06</v>
    <v>53.29</v>
    <v>57.15</v>
    <v>57.36</v>
    <v>56.14</v>
    <v>57.54</v>
    <v>56.36</v>
    <v>56.58</v>
    <v>56.77</v>
    <v>57.22</v>
    <v>57.95</v>
    <v>59.16</v>
    <v>59.6</v>
    <v>59.13</v>
    <v>58.55</v>
    <v>59.95</v>
    <v>57.32</v>
    <v>58.89</v>
    <v>58.46</v>
    <v>57.15</v>
    <v>57.06</v>
    <v>55.36</v>
    <v>56</v>
    <v>56</v>
    <v>57.22</v>
    <v>57.03</v>
    <v>58.93</v>
    <v>59.5</v>
    <v>58.13</v>
    <v>61.68</v>
    <v>62.64</v>
    <v>64.3</v>
    <v>64.319999999999993</v>
    <v>63.8</v>
    <v>64.36</v>
    <v>62.63</v>
    <v>56.3</v>
    <v>61.36</v>
    <v>69.900000000000006</v>
    <v>65.989999999999995</v>
    <v>66.209999999999994</v>
    <v>66.52</v>
    <v>67.48</v>
    <v>66.900000000000006</v>
    <v>66.11</v>
    <v>68.06</v>
    <v>70.849999999999994</v>
    <v>71.19</v>
    <v>67.41</v>
    <v>67.599999999999994</v>
    <v>67.290000000000006</v>
    <v>66.099999999999994</v>
    <v>65.650000000000006</v>
    <v>64.010000000000005</v>
    <v>65.63</v>
    <v>65.09</v>
    <v>65.599999999999994</v>
    <v>64.64</v>
    <v>65.17</v>
    <v>65.98</v>
    <v>64.819999999999993</v>
    <v>64.42</v>
    <v>62.63</v>
    <v>62.73</v>
    <v>62.18</v>
    <v>59.83</v>
    <v>63.61</v>
    <v>65.12</v>
    <v>66.86</v>
    <v>66.39</v>
    <v>66.36</v>
    <v>64.849999999999994</v>
    <v>66.209999999999994</v>
    <v>66.69</v>
    <v>65.72</v>
    <v>67.45</v>
    <v>66.67</v>
    <v>67</v>
    <v>69.45</v>
    <v>69.73</v>
    <v>68.03</v>
    <v>68.14</v>
    <v>68.540000000000006</v>
    <v>69.33</v>
    <v>69.739999999999995</v>
    <v>69.569999999999993</v>
    <v>68.650000000000006</v>
    <v>67.12</v>
    <v>66.28</v>
    <v>66.25</v>
    <v>65.17</v>
    <v>64.459999999999994</v>
    <v>63.25</v>
    <v>66.48</v>
    <v>67.040000000000006</v>
    <v>69.959999999999994</v>
    <v>69.22</v>
    <v>73.599999999999994</v>
    <v>71.900000000000006</v>
    <v>70.599999999999994</v>
    <v>70.83</v>
    <v>70.569999999999993</v>
    <v>70.790000000000006</v>
    <v>69.95</v>
    <v>68.13</v>
    <v>69.94</v>
    <v>70.92</v>
    <v>69.09</v>
    <v>69.11</v>
    <v>66.180000000000007</v>
    <v>64.94</v>
    <v>64.680000000000007</v>
    <v>63.84</v>
    <v>64.349999999999994</v>
    <v>67.2</v>
    <v>69.89</v>
    <v>67.23</v>
    <v>69.33</v>
    <v>69</v>
    <v>67.7</v>
    <v>66.75</v>
    <v>66.09</v>
    <v>65.819999999999993</v>
    <v>65.989999999999995</v>
    <v>66.349999999999994</v>
    <v>65.349999999999994</v>
    <v>66.33</v>
    <v>62.22</v>
    <v>63.98</v>
    <v>62.23</v>
    <v>63.85</v>
    <v>60.74</v>
    <v>59</v>
    <v>57.43</v>
    <v>56.04</v>
    <v>54.54</v>
    <v>54.34</v>
    <v>52.73</v>
    <v>52.75</v>
    <v>53.49</v>
    <v>51.33</v>
    <v>50.43</v>
    <v>52</v>
    <v>53.45</v>
    <v>51.7</v>
    <v>52.43</v>
    <v>52.37</v>
    <v>55.83</v>
    <v>56.67</v>
    <v>56.81</v>
    <v>56.83</v>
    <v>54.13</v>
    <v>53.41</v>
    <v>54.5</v>
    <v>54.7</v>
    <v>54.04</v>
    <v>54</v>
    <v>53.74</v>
    <v>55.38</v>
    <v>56.46</v>
    <v>55.19</v>
    <v>55.22</v>
    <v>57.49</v>
    <v>47.88</v>
    <v>53.02</v>
    <v>57.91</v>
    <v>60.68</v>
  </a>
  <a r="1" c="251">
    <v>21.23</v>
    <v>21.39</v>
    <v>21.66</v>
    <v>21.88</v>
    <v>22.04</v>
    <v>21.86</v>
    <v>21.91</v>
    <v>21.69</v>
    <v>21.71</v>
    <v>21.68</v>
    <v>21.54</v>
    <v>22.06</v>
    <v>22.29</v>
    <v>22.37</v>
    <v>22.01</v>
    <v>22.12</v>
    <v>22.42</v>
    <v>22.63</v>
    <v>22.75</v>
    <v>22.57</v>
    <v>22.42</v>
    <v>22.37</v>
    <v>22.46</v>
    <v>22.52</v>
    <v>22.7</v>
    <v>22.86</v>
    <v>22.81</v>
    <v>22.97</v>
    <v>22.66</v>
    <v>23.09</v>
    <v>23.36</v>
    <v>23.33</v>
    <v>23.4</v>
    <v>23.42</v>
    <v>23.35</v>
    <v>23.59</v>
    <v>23.93</v>
    <v>24.52</v>
    <v>24.74</v>
    <v>24.4</v>
    <v>24.27</v>
    <v>23.94</v>
    <v>24.02</v>
    <v>24.08</v>
    <v>23.84</v>
    <v>23.88</v>
    <v>23.69</v>
    <v>24.19</v>
    <v>24.27</v>
    <v>23.9</v>
    <v>23.75</v>
    <v>23.68</v>
    <v>23.78</v>
    <v>23.62</v>
    <v>23.74</v>
    <v>23.65</v>
    <v>23.85</v>
    <v>24.08</v>
    <v>24.46</v>
    <v>24.54</v>
    <v>24.6</v>
    <v>24.62</v>
    <v>24.82</v>
    <v>24.43</v>
    <v>24.26</v>
    <v>24.55</v>
    <v>24.66</v>
    <v>24.73</v>
    <v>24.8</v>
    <v>25.04</v>
    <v>24.8</v>
    <v>24.98</v>
    <v>25.14</v>
    <v>25.04</v>
    <v>25.14</v>
    <v>25.37</v>
    <v>25.33</v>
    <v>25.46</v>
    <v>25.52</v>
    <v>25.6</v>
    <v>25.77</v>
    <v>25.76</v>
    <v>25.59</v>
    <v>25.68</v>
    <v>25.9</v>
    <v>25.74</v>
    <v>26.17</v>
    <v>26.08</v>
    <v>25.75</v>
    <v>25.86</v>
    <v>25.81</v>
    <v>26.03</v>
    <v>26</v>
    <v>26.12</v>
    <v>26</v>
    <v>26.31</v>
    <v>25.64</v>
    <v>25.98</v>
    <v>25.92</v>
    <v>25.92</v>
    <v>26.23</v>
    <v>26.19</v>
    <v>26.4</v>
    <v>26.58</v>
    <v>26.53</v>
    <v>26.52</v>
    <v>26.6</v>
    <v>26.86</v>
    <v>27.14</v>
    <v>27.11</v>
    <v>27</v>
    <v>26.53</v>
    <v>25.87</v>
    <v>25.89</v>
    <v>25.69</v>
    <v>26.09</v>
    <v>25.94</v>
    <v>25.11</v>
    <v>25.28</v>
    <v>24.82</v>
    <v>24.19</v>
    <v>24.12</v>
    <v>24.14</v>
    <v>24</v>
    <v>23.65</v>
    <v>23.46</v>
    <v>23.62</v>
    <v>24.05</v>
    <v>24.11</v>
    <v>24.05</v>
    <v>24.07</v>
    <v>24.46</v>
    <v>23.78</v>
    <v>23.71</v>
    <v>23.91</v>
    <v>23.75</v>
    <v>22.66</v>
    <v>22.95</v>
    <v>23.08</v>
    <v>23.22</v>
    <v>23.39</v>
    <v>23.72</v>
    <v>23.8</v>
    <v>23.38</v>
    <v>23.85</v>
    <v>23.65</v>
    <v>24.21</v>
    <v>24.93</v>
    <v>25.33</v>
    <v>25.02</v>
    <v>25</v>
    <v>24.85</v>
    <v>24.9</v>
    <v>25</v>
    <v>25.41</v>
    <v>25.48</v>
    <v>26.09</v>
    <v>26.55</v>
    <v>25.83</v>
    <v>25.88</v>
    <v>25.93</v>
    <v>25.83</v>
    <v>25.5</v>
    <v>25.9</v>
    <v>26.01</v>
    <v>25.8</v>
    <v>25.21</v>
    <v>25.39</v>
    <v>24.91</v>
    <v>25.31</v>
    <v>25.42</v>
    <v>25.73</v>
    <v>25.86</v>
    <v>25.7</v>
    <v>25.22</v>
    <v>25.12</v>
    <v>25.6</v>
    <v>25.13</v>
    <v>24.66</v>
    <v>24.19</v>
    <v>24.61</v>
    <v>25.01</v>
    <v>25.12</v>
    <v>25.67</v>
    <v>25.84</v>
    <v>25.88</v>
    <v>25.88</v>
    <v>25.63</v>
    <v>25.68</v>
    <v>25.67</v>
    <v>25.74</v>
    <v>26.2</v>
    <v>26.35</v>
    <v>26.62</v>
    <v>26.65</v>
    <v>26.93</v>
    <v>26.81</v>
    <v>27.05</v>
    <v>27.28</v>
    <v>27.46</v>
    <v>27.33</v>
    <v>27.6</v>
    <v>27.51</v>
    <v>27.37</v>
    <v>27.4</v>
    <v>27.75</v>
    <v>28.1</v>
    <v>28.46</v>
    <v>27.91</v>
    <v>28.72</v>
    <v>28.99</v>
    <v>29.4</v>
    <v>29.4</v>
    <v>29.28</v>
    <v>28.95</v>
    <v>29.31</v>
    <v>29.75</v>
    <v>29.64</v>
    <v>29.51</v>
    <v>29.87</v>
    <v>29.6</v>
    <v>29.62</v>
    <v>29.08</v>
    <v>29.67</v>
    <v>29.31</v>
    <v>29.77</v>
    <v>29.82</v>
    <v>29.67</v>
    <v>29.64</v>
    <v>29.68</v>
    <v>29.9</v>
    <v>29.91</v>
    <v>29.86</v>
    <v>30.03</v>
    <v>30.24</v>
    <v>30.02</v>
    <v>29.76</v>
    <v>29.68</v>
    <v>29.29</v>
    <v>29.98</v>
    <v>29.36</v>
    <v>29.96</v>
    <v>29.52</v>
    <v>29.13</v>
    <v>28.59</v>
    <v>28.08</v>
    <v>27.62</v>
    <v>27.36</v>
    <v>27.48</v>
    <v>27.34</v>
    <v>27.24</v>
  </a>
  <a r="1" c="251">
    <v>29.81</v>
    <v>30.4</v>
    <v>30.72</v>
    <v>30.96</v>
    <v>31.31</v>
    <v>32.020000000000003</v>
    <v>32.090000000000003</v>
    <v>31.69</v>
    <v>32.159999999999997</v>
    <v>31.55</v>
    <v>30.82</v>
    <v>30.74</v>
    <v>31</v>
    <v>31.66</v>
    <v>32.409999999999997</v>
    <v>32.78</v>
    <v>33.42</v>
    <v>33.1</v>
    <v>33.64</v>
    <v>34.19</v>
    <v>33.729999999999997</v>
    <v>33.29</v>
    <v>31.7</v>
    <v>32.33</v>
    <v>32.75</v>
    <v>33</v>
    <v>33.18</v>
    <v>33.15</v>
    <v>32.61</v>
    <v>32.47</v>
    <v>33.770000000000003</v>
    <v>32.64</v>
    <v>32.56</v>
    <v>32.86</v>
    <v>35.31</v>
    <v>35.89</v>
    <v>35.450000000000003</v>
    <v>35.44</v>
    <v>35.58</v>
    <v>35.880000000000003</v>
    <v>35.32</v>
    <v>34.85</v>
    <v>34.83</v>
    <v>34.29</v>
    <v>34.57</v>
    <v>35.090000000000003</v>
    <v>34.880000000000003</v>
    <v>34.96</v>
    <v>35.11</v>
    <v>34.72</v>
    <v>35.299999999999997</v>
    <v>35.92</v>
    <v>36.04</v>
    <v>36.229999999999997</v>
    <v>35.450000000000003</v>
    <v>35.56</v>
    <v>34.909999999999997</v>
    <v>34.75</v>
    <v>35.07</v>
    <v>37.270000000000003</v>
    <v>36.56</v>
    <v>36.89</v>
    <v>37.32</v>
    <v>37.340000000000003</v>
    <v>37.200000000000003</v>
    <v>37.49</v>
    <v>37.369999999999997</v>
    <v>37.47</v>
    <v>37.729999999999997</v>
    <v>37.07</v>
    <v>37.409999999999997</v>
    <v>38.19</v>
    <v>35.65</v>
    <v>35.79</v>
    <v>35.35</v>
    <v>34.89</v>
    <v>34.24</v>
    <v>34.01</v>
    <v>34.049999999999997</v>
    <v>34.19</v>
    <v>33.56</v>
    <v>33.96</v>
    <v>34.35</v>
    <v>34.54</v>
    <v>34.26</v>
    <v>34.44</v>
    <v>35.159999999999997</v>
    <v>34.85</v>
    <v>35.130000000000003</v>
    <v>35.020000000000003</v>
    <v>35.67</v>
    <v>34.840000000000003</v>
    <v>34.49</v>
    <v>33.950000000000003</v>
    <v>34.47</v>
    <v>34.42</v>
    <v>34.58</v>
    <v>34.880000000000003</v>
    <v>34.83</v>
    <v>34.619999999999997</v>
    <v>35.03</v>
    <v>35.520000000000003</v>
    <v>35.24</v>
    <v>34.909999999999997</v>
    <v>35.32</v>
    <v>34.36</v>
    <v>35.119999999999997</v>
    <v>34.94</v>
    <v>35.49</v>
    <v>35.61</v>
    <v>36.119999999999997</v>
    <v>36.51</v>
    <v>35.869999999999997</v>
    <v>37.21</v>
    <v>37.020000000000003</v>
    <v>37.049999999999997</v>
    <v>38.200000000000003</v>
    <v>38.869999999999997</v>
    <v>38.979999999999997</v>
    <v>38.229999999999997</v>
    <v>36.97</v>
    <v>37.700000000000003</v>
    <v>39.369999999999997</v>
    <v>40.36</v>
    <v>39.99</v>
    <v>40.72</v>
    <v>39.880000000000003</v>
    <v>39.590000000000003</v>
    <v>40.020000000000003</v>
    <v>41.05</v>
    <v>41.88</v>
    <v>43.82</v>
    <v>42.81</v>
    <v>42.22</v>
    <v>42.75</v>
    <v>44.29</v>
    <v>44.05</v>
    <v>42.75</v>
    <v>43.75</v>
    <v>43.57</v>
    <v>43.64</v>
    <v>41.18</v>
    <v>40.97</v>
    <v>40.69</v>
    <v>40.53</v>
    <v>40.65</v>
    <v>39.950000000000003</v>
    <v>40.18</v>
    <v>40.22</v>
    <v>40.130000000000003</v>
    <v>40.130000000000003</v>
    <v>39.85</v>
    <v>39.659999999999997</v>
    <v>40.24</v>
    <v>39.92</v>
    <v>39.340000000000003</v>
    <v>39.03</v>
    <v>38.840000000000003</v>
    <v>39.65</v>
    <v>39.22</v>
    <v>39.229999999999997</v>
    <v>39.090000000000003</v>
    <v>39.15</v>
    <v>38.71</v>
    <v>38.44</v>
    <v>38.17</v>
    <v>38.270000000000003</v>
    <v>36.799999999999997</v>
    <v>36.78</v>
    <v>37.020000000000003</v>
    <v>37.53</v>
    <v>37.33</v>
    <v>37.549999999999997</v>
    <v>37.33</v>
    <v>36.81</v>
    <v>37.090000000000003</v>
    <v>38.39</v>
    <v>38.47</v>
    <v>38.76</v>
    <v>38.14</v>
    <v>37.24</v>
    <v>37.44</v>
    <v>38.119999999999997</v>
    <v>39.69</v>
    <v>38.99</v>
    <v>38.979999999999997</v>
    <v>39.270000000000003</v>
    <v>38.78</v>
    <v>38.26</v>
    <v>38.76</v>
    <v>38.799999999999997</v>
    <v>38.85</v>
    <v>38.799999999999997</v>
    <v>39.159999999999997</v>
    <v>39.35</v>
    <v>38.31</v>
    <v>40.619999999999997</v>
    <v>40.799999999999997</v>
    <v>41.4</v>
    <v>40.869999999999997</v>
    <v>40.46</v>
    <v>41.6</v>
    <v>41.96</v>
    <v>41.89</v>
    <v>42.53</v>
    <v>42.31</v>
    <v>43.29</v>
    <v>43.65</v>
    <v>42.9</v>
    <v>43.13</v>
    <v>43.61</v>
    <v>43.71</v>
    <v>43.97</v>
    <v>43.91</v>
    <v>44.29</v>
    <v>43.37</v>
    <v>43.25</v>
    <v>42.19</v>
    <v>41.55</v>
    <v>41.43</v>
    <v>41.17</v>
    <v>40.81</v>
    <v>41.76</v>
    <v>42.19</v>
    <v>42.07</v>
    <v>41.47</v>
    <v>41.95</v>
    <v>42.72</v>
    <v>43.48</v>
    <v>43.81</v>
    <v>42.49</v>
    <v>41.97</v>
    <v>43.1</v>
    <v>43.78</v>
    <v>43.5</v>
    <v>44.11</v>
    <v>44.13</v>
    <v>45.38</v>
    <v>46.07</v>
    <v>46.6</v>
    <v>46.47</v>
    <v>45.6</v>
    <v>47.28</v>
    <v>47</v>
    <v>47.91</v>
    <v>47.46</v>
    <v>47.91</v>
    <v>48.57</v>
    <v>47.55</v>
    <v>47.49</v>
    <v>47.36</v>
  </a>
  <a r="1" c="251">
    <v>7.35</v>
    <v>7.46</v>
    <v>7.27</v>
    <v>7.33</v>
    <v>7.31</v>
    <v>7.39</v>
    <v>7.44</v>
    <v>7.43</v>
    <v>7.31</v>
    <v>7.45</v>
    <v>7.44</v>
    <v>7.55</v>
    <v>7.55</v>
    <v>7.61</v>
    <v>8.35</v>
    <v>8.02</v>
    <v>7.81</v>
    <v>7.62</v>
    <v>7.66</v>
    <v>7.81</v>
    <v>7.81</v>
    <v>7.61</v>
    <v>7.63</v>
    <v>7.63</v>
    <v>7.65</v>
    <v>7.75</v>
    <v>7.5</v>
    <v>7.55</v>
    <v>7.52</v>
    <v>7.36</v>
    <v>8.5399999999999991</v>
    <v>8.1199999999999992</v>
    <v>7.99</v>
    <v>8.02</v>
    <v>7.93</v>
    <v>7.97</v>
    <v>8.0399999999999991</v>
    <v>8.0299999999999994</v>
    <v>7.94</v>
    <v>7.94</v>
    <v>7.87</v>
    <v>7.87</v>
    <v>7.86</v>
    <v>7.84</v>
    <v>7.9</v>
    <v>7.87</v>
    <v>7.77</v>
    <v>7.79</v>
    <v>7.83</v>
    <v>7.79</v>
    <v>7.73</v>
    <v>7.91</v>
    <v>7.91</v>
    <v>7.81</v>
    <v>7.86</v>
    <v>7.91</v>
    <v>7.97</v>
    <v>7.97</v>
    <v>8.01</v>
    <v>8</v>
    <v>8.0299999999999994</v>
    <v>8.07</v>
    <v>8.1199999999999992</v>
    <v>8.2799999999999994</v>
    <v>8.3000000000000007</v>
    <v>8.2799999999999994</v>
    <v>8.23</v>
    <v>8.2200000000000006</v>
    <v>8.1199999999999992</v>
    <v>8.18</v>
    <v>8.25</v>
    <v>8.17</v>
    <v>8.14</v>
    <v>8.16</v>
    <v>8.11</v>
    <v>8.11</v>
    <v>7.81</v>
    <v>7.84</v>
    <v>7.92</v>
    <v>8</v>
    <v>8.11</v>
    <v>8.06</v>
    <v>8.02</v>
    <v>8.0299999999999994</v>
    <v>8.06</v>
    <v>8.0399999999999991</v>
    <v>8.0399999999999991</v>
    <v>8.02</v>
    <v>7.97</v>
    <v>8.01</v>
    <v>7.99</v>
    <v>7.96</v>
    <v>7.8</v>
    <v>7.77</v>
    <v>7.78</v>
    <v>7.84</v>
    <v>7.76</v>
    <v>7.77</v>
    <v>7.74</v>
    <v>7.72</v>
    <v>7.74</v>
    <v>7.7</v>
    <v>7.59</v>
    <v>7.59</v>
    <v>7.55</v>
    <v>7.53</v>
    <v>7.51</v>
    <v>7.52</v>
    <v>7.53</v>
    <v>7.49</v>
    <v>7.5</v>
    <v>7.45</v>
    <v>7.48</v>
    <v>7.98</v>
    <v>8</v>
    <v>8.08</v>
    <v>8.08</v>
    <v>8.09</v>
    <v>8.2100000000000009</v>
    <v>8.14</v>
    <v>8.11</v>
    <v>8.23</v>
    <v>8.3699999999999992</v>
    <v>8.35</v>
    <v>8.3699999999999992</v>
    <v>8.51</v>
    <v>8.35</v>
    <v>8.26</v>
    <v>8.11</v>
    <v>8.06</v>
    <v>8</v>
    <v>8.02</v>
    <v>7.87</v>
    <v>7.81</v>
    <v>7.83</v>
    <v>7.82</v>
    <v>7.79</v>
    <v>7.88</v>
    <v>8.09</v>
    <v>8.7200000000000006</v>
    <v>8.85</v>
    <v>8.6999999999999993</v>
    <v>8.6300000000000008</v>
    <v>8.65</v>
    <v>8.52</v>
    <v>8.43</v>
    <v>8.44</v>
    <v>8.39</v>
    <v>8.36</v>
    <v>8.39</v>
    <v>8.4</v>
    <v>8.57</v>
    <v>8.6199999999999992</v>
    <v>8.58</v>
    <v>8.5500000000000007</v>
    <v>8.49</v>
    <v>8.3699999999999992</v>
    <v>8.26</v>
    <v>8.16</v>
    <v>8.1199999999999992</v>
    <v>8</v>
    <v>8</v>
    <v>8.01</v>
    <v>8.08</v>
    <v>8.1</v>
    <v>8.2100000000000009</v>
    <v>8.48</v>
    <v>8.4</v>
    <v>8.64</v>
    <v>8.5299999999999994</v>
    <v>8.51</v>
    <v>8.5399999999999991</v>
    <v>8.5</v>
    <v>8.58</v>
    <v>8.49</v>
    <v>8.44</v>
    <v>8.42</v>
    <v>8.42</v>
    <v>8.58</v>
    <v>8.89</v>
    <v>8.64</v>
    <v>8.89</v>
    <v>8.83</v>
    <v>8.81</v>
    <v>8.8800000000000008</v>
    <v>8.9499999999999993</v>
    <v>9</v>
    <v>9.06</v>
    <v>9.0500000000000007</v>
    <v>8.8699999999999992</v>
    <v>8.82</v>
    <v>8.74</v>
    <v>8.83</v>
    <v>9.02</v>
    <v>8.93</v>
    <v>8.7200000000000006</v>
    <v>8.94</v>
    <v>8.91</v>
    <v>8.94</v>
    <v>8.9600000000000009</v>
    <v>8.9499999999999993</v>
    <v>8.9</v>
    <v>8.81</v>
    <v>8.98</v>
    <v>8.99</v>
    <v>9.07</v>
    <v>9.2799999999999994</v>
    <v>9.23</v>
    <v>9.2200000000000006</v>
    <v>9.1999999999999993</v>
    <v>9.15</v>
    <v>9.24</v>
    <v>9.31</v>
    <v>9.33</v>
    <v>9.44</v>
    <v>9.5399999999999991</v>
    <v>9.51</v>
    <v>9.5</v>
    <v>9.52</v>
    <v>9.44</v>
    <v>8.35</v>
    <v>8.4</v>
    <v>8.39</v>
    <v>8.5299999999999994</v>
    <v>8.58</v>
    <v>8.6999999999999993</v>
    <v>8.8000000000000007</v>
    <v>8.99</v>
    <v>8.86</v>
    <v>8.8699999999999992</v>
    <v>8.57</v>
    <v>8.6</v>
    <v>8.68</v>
    <v>8.66</v>
    <v>8.6</v>
    <v>8.57</v>
    <v>8.59</v>
    <v>8.52</v>
    <v>8.66</v>
    <v>8.65</v>
    <v>8.6300000000000008</v>
    <v>8.5399999999999991</v>
    <v>8.67</v>
    <v>8.74</v>
    <v>8.85</v>
    <v>8.6999999999999993</v>
    <v>8.6999999999999993</v>
    <v>8.73</v>
    <v>8.7899999999999991</v>
    <v>8.75</v>
    <v>8.6199999999999992</v>
  </a>
  <a r="1" c="251">
    <v>49.72</v>
    <v>50.51</v>
    <v>50.73</v>
    <v>50.9</v>
    <v>50.8</v>
    <v>50.66</v>
    <v>50.99</v>
    <v>52.18</v>
    <v>51.58</v>
    <v>51.35</v>
    <v>51.68</v>
    <v>51.54</v>
    <v>50.68</v>
    <v>51.35</v>
    <v>50.6</v>
    <v>50.4</v>
    <v>50.49</v>
    <v>49.18</v>
    <v>49.9</v>
    <v>49.99</v>
    <v>50.86</v>
    <v>51.47</v>
    <v>50.95</v>
    <v>50.89</v>
    <v>50.6</v>
    <v>50.83</v>
    <v>51.67</v>
    <v>51.73</v>
    <v>53.11</v>
    <v>52.02</v>
    <v>51.73</v>
    <v>52.15</v>
    <v>51.74</v>
    <v>52.1</v>
    <v>52.29</v>
    <v>51.11</v>
    <v>51.39</v>
    <v>52.07</v>
    <v>52.29</v>
    <v>53.44</v>
    <v>52.39</v>
    <v>52.55</v>
    <v>52.7</v>
    <v>52.93</v>
    <v>53.79</v>
    <v>53.89</v>
    <v>53.98</v>
    <v>53.53</v>
    <v>54.04</v>
    <v>53.19</v>
    <v>52.28</v>
    <v>52.45</v>
    <v>52.8</v>
    <v>53.19</v>
    <v>52.13</v>
    <v>52.58</v>
    <v>53.11</v>
    <v>53.41</v>
    <v>53.42</v>
    <v>53.49</v>
    <v>53.5</v>
    <v>53.44</v>
    <v>54.3</v>
    <v>54.17</v>
    <v>54.53</v>
    <v>54.76</v>
    <v>55.32</v>
    <v>55.54</v>
    <v>55.35</v>
    <v>55.42</v>
    <v>55.7</v>
    <v>55.84</v>
    <v>55.96</v>
    <v>56.2</v>
    <v>56.82</v>
    <v>57.23</v>
    <v>57.6</v>
    <v>56.66</v>
    <v>57.06</v>
    <v>56.59</v>
    <v>57.28</v>
    <v>57.42</v>
    <v>57.67</v>
    <v>57.74</v>
    <v>57.54</v>
    <v>58.02</v>
    <v>57.76</v>
    <v>58.07</v>
    <v>57.96</v>
    <v>57.71</v>
    <v>58.19</v>
    <v>58.13</v>
    <v>57.69</v>
    <v>58.23</v>
    <v>58.26</v>
    <v>57.96</v>
    <v>57.8</v>
    <v>58.3</v>
    <v>58.68</v>
    <v>59.3</v>
    <v>59.15</v>
    <v>58.72</v>
    <v>57.36</v>
    <v>57.59</v>
    <v>57.88</v>
    <v>58.74</v>
    <v>57.56</v>
    <v>58.56</v>
    <v>57.95</v>
    <v>58.08</v>
    <v>58.49</v>
    <v>59.17</v>
    <v>60.22</v>
    <v>59.79</v>
    <v>60.07</v>
    <v>60.14</v>
    <v>60.72</v>
    <v>61.17</v>
    <v>61.75</v>
    <v>62.45</v>
    <v>62.29</v>
    <v>62.5</v>
    <v>61.48</v>
    <v>61.62</v>
    <v>60.66</v>
    <v>61.38</v>
    <v>61.79</v>
    <v>62.26</v>
    <v>63.04</v>
    <v>63.71</v>
    <v>63.84</v>
    <v>64.41</v>
    <v>64.38</v>
    <v>65.39</v>
    <v>65.7</v>
    <v>66.3</v>
    <v>66.349999999999994</v>
    <v>66.08</v>
    <v>66.72</v>
    <v>67.14</v>
    <v>67.989999999999995</v>
    <v>68.739999999999995</v>
    <v>69.88</v>
    <v>70.5</v>
    <v>69.680000000000007</v>
    <v>69.599999999999994</v>
    <v>68.31</v>
    <v>68.17</v>
    <v>68.709999999999994</v>
    <v>70.27</v>
    <v>70.75</v>
    <v>72.03</v>
    <v>72.150000000000006</v>
    <v>71.91</v>
    <v>71.150000000000006</v>
    <v>71.2</v>
    <v>70.430000000000007</v>
    <v>70.150000000000006</v>
    <v>70.22</v>
    <v>70.510000000000005</v>
    <v>70.7</v>
    <v>71.400000000000006</v>
    <v>72.319999999999993</v>
    <v>72.89</v>
    <v>73.12</v>
    <v>74.010000000000005</v>
    <v>72.88</v>
    <v>72.11</v>
    <v>72.900000000000006</v>
    <v>72.42</v>
    <v>73.58</v>
    <v>73.06</v>
    <v>73.459999999999994</v>
    <v>73.38</v>
    <v>73.36</v>
    <v>72.95</v>
    <v>71.930000000000007</v>
    <v>73.53</v>
    <v>74.05</v>
    <v>73.84</v>
    <v>72.42</v>
    <v>72.41</v>
    <v>73.489999999999995</v>
    <v>71.459999999999994</v>
    <v>72.709999999999994</v>
    <v>72.510000000000005</v>
    <v>72.19</v>
    <v>71.510000000000005</v>
    <v>71.44</v>
    <v>71.510000000000005</v>
    <v>70.75</v>
    <v>69.97</v>
    <v>69.87</v>
    <v>69.63</v>
    <v>69.209999999999994</v>
    <v>68.72</v>
    <v>68.67</v>
    <v>69.180000000000007</v>
    <v>68.040000000000006</v>
    <v>65</v>
    <v>66.3</v>
    <v>64.5</v>
    <v>65.23</v>
    <v>65.03</v>
    <v>63.44</v>
    <v>63.93</v>
    <v>64.66</v>
    <v>65.260000000000005</v>
    <v>65.680000000000007</v>
    <v>65.92</v>
    <v>65.989999999999995</v>
    <v>66.89</v>
    <v>67.16</v>
    <v>67.84</v>
    <v>68.760000000000005</v>
    <v>68.52</v>
    <v>68.28</v>
    <v>67.319999999999993</v>
    <v>67.75</v>
    <v>67.3</v>
    <v>65.95</v>
    <v>65.25</v>
    <v>65.7</v>
    <v>64.989999999999995</v>
    <v>64.64</v>
    <v>66.25</v>
    <v>67.02</v>
    <v>66.760000000000005</v>
    <v>66.489999999999995</v>
    <v>63.83</v>
    <v>64.88</v>
    <v>66.03</v>
    <v>65.97</v>
    <v>67.739999999999995</v>
    <v>66.819999999999993</v>
    <v>66.19</v>
    <v>66.290000000000006</v>
    <v>66.97</v>
    <v>68.22</v>
    <v>68.400000000000006</v>
    <v>68.5</v>
    <v>67.989999999999995</v>
    <v>67.84</v>
    <v>69.64</v>
    <v>70.069999999999993</v>
    <v>72.209999999999994</v>
    <v>73.400000000000006</v>
    <v>74.069999999999993</v>
    <v>72.150000000000006</v>
    <v>73.36</v>
    <v>72.25</v>
  </a>
  <a r="1" c="251">
    <v>165.75</v>
    <v>167.88</v>
    <v>165.73</v>
    <v>159.53</v>
    <v>161.02000000000001</v>
    <v>161.85</v>
    <v>162.26</v>
    <v>162.57</v>
    <v>159.97999999999999</v>
    <v>160.52000000000001</v>
    <v>158.83000000000001</v>
    <v>159.25</v>
    <v>159.29</v>
    <v>158.65</v>
    <v>157.66</v>
    <v>160.9</v>
    <v>158.72999999999999</v>
    <v>158.02000000000001</v>
    <v>162.41</v>
    <v>163.28</v>
    <v>164.77</v>
    <v>165.64</v>
    <v>165.43</v>
    <v>165.03</v>
    <v>165.86</v>
    <v>167.76</v>
    <v>167.36</v>
    <v>168.56</v>
    <v>169.89</v>
    <v>167.78</v>
    <v>166.85</v>
    <v>165.95</v>
    <v>162.80000000000001</v>
    <v>164.02</v>
    <v>162.56</v>
    <v>162.84</v>
    <v>162.11000000000001</v>
    <v>163.18</v>
    <v>160.28</v>
    <v>160.88</v>
    <v>158.52000000000001</v>
    <v>158.02000000000001</v>
    <v>159.08000000000001</v>
    <v>161.03</v>
    <v>160.36000000000001</v>
    <v>158.97</v>
    <v>158.63</v>
    <v>159.86000000000001</v>
    <v>159.32</v>
    <v>161.22</v>
    <v>161.19999999999999</v>
    <v>160.83000000000001</v>
    <v>160.5</v>
    <v>157.88999999999999</v>
    <v>157.52000000000001</v>
    <v>158.49</v>
    <v>157.05000000000001</v>
    <v>153.76</v>
    <v>152.68</v>
    <v>153.72999999999999</v>
    <v>155.62</v>
    <v>155.1</v>
    <v>155.03</v>
    <v>158.32</v>
    <v>158.28</v>
    <v>158.81</v>
    <v>158.30000000000001</v>
    <v>157.11000000000001</v>
    <v>156.61000000000001</v>
    <v>152.88</v>
    <v>150.47</v>
    <v>150.65</v>
    <v>150.76</v>
    <v>150.51</v>
    <v>152.86000000000001</v>
    <v>153.49</v>
    <v>153.51</v>
    <v>154.97999999999999</v>
    <v>155.09</v>
    <v>155.41</v>
    <v>153.74</v>
    <v>154.36000000000001</v>
    <v>155.72</v>
    <v>158.4</v>
    <v>159.51</v>
    <v>158.72999999999999</v>
    <v>158.66999999999999</v>
    <v>156.15</v>
    <v>155.97</v>
    <v>156.96</v>
    <v>155.65</v>
    <v>157.04</v>
    <v>157.99</v>
    <v>158.16999999999999</v>
    <v>159.19</v>
    <v>160.02000000000001</v>
    <v>159.01</v>
    <v>159.46</v>
    <v>157.35</v>
    <v>158.63</v>
    <v>157.9</v>
    <v>156.83000000000001</v>
    <v>158.05000000000001</v>
    <v>160.33000000000001</v>
    <v>157.32</v>
    <v>156.04</v>
    <v>153.07</v>
    <v>152.5</v>
    <v>152.41999999999999</v>
    <v>152.15</v>
    <v>152.5</v>
    <v>153.53</v>
    <v>153.65</v>
    <v>153.18</v>
    <v>152.05000000000001</v>
    <v>152.27000000000001</v>
    <v>150.41</v>
    <v>152.54</v>
    <v>150.69</v>
    <v>150.58000000000001</v>
    <v>149.69</v>
    <v>147.49</v>
    <v>149.16</v>
    <v>147.41999999999999</v>
    <v>149.6</v>
    <v>151.4</v>
    <v>151.96</v>
    <v>151.62</v>
    <v>152.19999999999999</v>
    <v>152.21</v>
    <v>152.49</v>
    <v>151.74</v>
    <v>151.37</v>
    <v>148.77000000000001</v>
    <v>149.58000000000001</v>
    <v>150.37</v>
    <v>148.02000000000001</v>
    <v>147.16999999999999</v>
    <v>145.79</v>
    <v>146.13</v>
    <v>146.97999999999999</v>
    <v>145.5</v>
    <v>148.54</v>
    <v>148.01</v>
    <v>147.96</v>
    <v>147.66999999999999</v>
    <v>145.82</v>
    <v>146.99</v>
    <v>146.99</v>
    <v>148.19</v>
    <v>150.91999999999999</v>
    <v>146.97999999999999</v>
    <v>148.49</v>
    <v>148.25</v>
    <v>148.16</v>
    <v>147.44</v>
    <v>145.86000000000001</v>
    <v>146.71</v>
    <v>145.36000000000001</v>
    <v>143.44999999999999</v>
    <v>138.34</v>
    <v>139.63</v>
    <v>139.82</v>
    <v>140.76</v>
    <v>142.84</v>
    <v>145.13</v>
    <v>145.21</v>
    <v>147.81</v>
    <v>145.52000000000001</v>
    <v>144.46</v>
    <v>142.69</v>
    <v>143.18</v>
    <v>144.49</v>
    <v>144.74</v>
    <v>144.57</v>
    <v>144.05000000000001</v>
    <v>143.31</v>
    <v>141.79</v>
    <v>140.37</v>
    <v>139.91</v>
    <v>138.04</v>
    <v>141.53</v>
    <v>141.87</v>
    <v>143.46</v>
    <v>144.24</v>
    <v>146.35</v>
    <v>144.63</v>
    <v>144.53</v>
    <v>147</v>
    <v>146.06</v>
    <v>149.93</v>
    <v>150.15</v>
    <v>149.49</v>
    <v>148.34</v>
    <v>147.34</v>
    <v>149.9</v>
    <v>151.77000000000001</v>
    <v>153.19</v>
    <v>155.32</v>
    <v>156.87</v>
    <v>158.61000000000001</v>
    <v>159.16999999999999</v>
    <v>157.33000000000001</v>
    <v>159.08000000000001</v>
    <v>160</v>
    <v>161.21</v>
    <v>160.07</v>
    <v>159.55000000000001</v>
    <v>156.86000000000001</v>
    <v>158.56</v>
    <v>160.78</v>
    <v>165.17</v>
    <v>165.28</v>
    <v>163.38999999999999</v>
    <v>163.75</v>
    <v>167.2</v>
    <v>163.51</v>
    <v>159.72</v>
    <v>158.30000000000001</v>
    <v>153.99</v>
    <v>153.63</v>
    <v>155.22</v>
    <v>156.01</v>
    <v>153.32</v>
    <v>150.5</v>
    <v>150.65</v>
    <v>152.12</v>
    <v>151.47999999999999</v>
    <v>146.71</v>
    <v>144.84</v>
    <v>144.28</v>
    <v>143.99</v>
    <v>143.16</v>
    <v>143.91999999999999</v>
    <v>142.41999999999999</v>
    <v>142.71</v>
    <v>144.72</v>
    <v>144.44</v>
    <v>144.09</v>
    <v>143.12</v>
    <v>142.77000000000001</v>
    <v>141.30000000000001</v>
    <v>144.9</v>
    <v>146.66</v>
    <v>145.16</v>
    <v>143.58000000000001</v>
    <v>144.38</v>
    <v>143.38</v>
    <v>143.11000000000001</v>
    <v>146.93</v>
    <v>144.49</v>
  </a>
  <a r="1" c="251">
    <v>72.73</v>
    <v>73.91</v>
    <v>73.709999999999994</v>
    <v>74.42</v>
    <v>74.94</v>
    <v>76.8</v>
    <v>78.62</v>
    <v>78.7</v>
    <v>78.599999999999994</v>
    <v>78.510000000000005</v>
    <v>77.64</v>
    <v>77.78</v>
    <v>78.400000000000006</v>
    <v>76.19</v>
    <v>77.48</v>
    <v>78.59</v>
    <v>80.87</v>
    <v>79.64</v>
    <v>80.209999999999994</v>
    <v>80.930000000000007</v>
    <v>81.66</v>
    <v>82.69</v>
    <v>81.66</v>
    <v>81.88</v>
    <v>81.45</v>
    <v>82.61</v>
    <v>82.4</v>
    <v>81.17</v>
    <v>81.08</v>
    <v>82.48</v>
    <v>82.01</v>
    <v>82.52</v>
    <v>82.39</v>
    <v>81.84</v>
    <v>82.79</v>
    <v>81.86</v>
    <v>82.29</v>
    <v>82.29</v>
    <v>85.42</v>
    <v>85.29</v>
    <v>84.55</v>
    <v>85.4</v>
    <v>84.39</v>
    <v>83.81</v>
    <v>82.87</v>
    <v>81.569999999999993</v>
    <v>80.5</v>
    <v>79.2</v>
    <v>79.66</v>
    <v>79.349999999999994</v>
    <v>81.5</v>
    <v>82.07</v>
    <v>82.51</v>
    <v>83.02</v>
    <v>83.99</v>
    <v>85.04</v>
    <v>83.13</v>
    <v>83.44</v>
    <v>83.49</v>
    <v>82.22</v>
    <v>80.03</v>
    <v>80.17</v>
    <v>82.34</v>
    <v>81.06</v>
    <v>81.709999999999994</v>
    <v>82.48</v>
    <v>82.29</v>
    <v>82.36</v>
    <v>81.86</v>
    <v>83.25</v>
    <v>82.17</v>
    <v>82.21</v>
    <v>80.77</v>
    <v>81.42</v>
    <v>79.73</v>
    <v>76.56</v>
    <v>76.63</v>
    <v>77.599999999999994</v>
    <v>77.25</v>
    <v>78.3</v>
    <v>78.63</v>
    <v>78.94</v>
    <v>78.28</v>
    <v>78.760000000000005</v>
    <v>79.09</v>
    <v>80.099999999999994</v>
    <v>80.05</v>
    <v>80.78</v>
    <v>81.06</v>
    <v>80.239999999999995</v>
    <v>80.86</v>
    <v>79.150000000000006</v>
    <v>79.45</v>
    <v>78.39</v>
    <v>78.790000000000006</v>
    <v>78.16</v>
    <v>79.19</v>
    <v>78.260000000000005</v>
    <v>79.67</v>
    <v>79.05</v>
    <v>78.88</v>
    <v>78.650000000000006</v>
    <v>78.03</v>
    <v>77.8</v>
    <v>77.59</v>
    <v>78.14</v>
    <v>78.8</v>
    <v>78.05</v>
    <v>82.09</v>
    <v>81.099999999999994</v>
    <v>81.97</v>
    <v>80.39</v>
    <v>81.73</v>
    <v>78.95</v>
    <v>83.39</v>
    <v>82.79</v>
    <v>84.17</v>
    <v>84.62</v>
    <v>84.33</v>
    <v>85.76</v>
    <v>83.84</v>
    <v>81.44</v>
    <v>81.66</v>
    <v>79.27</v>
    <v>80.47</v>
    <v>80.81</v>
    <v>78.56</v>
    <v>79.430000000000007</v>
    <v>80.87</v>
    <v>81.42</v>
    <v>80.510000000000005</v>
    <v>79.45</v>
    <v>78.709999999999994</v>
    <v>76.010000000000005</v>
    <v>76.39</v>
    <v>76.680000000000007</v>
    <v>75.58</v>
    <v>76.25</v>
    <v>78.52</v>
    <v>79.83</v>
    <v>82.63</v>
    <v>83.16</v>
    <v>84.23</v>
    <v>82.61</v>
    <v>83.31</v>
    <v>80.09</v>
    <v>80.14</v>
    <v>78.680000000000007</v>
    <v>77.62</v>
    <v>79.11</v>
    <v>79.349999999999994</v>
    <v>80.11</v>
    <v>80.56</v>
    <v>80.680000000000007</v>
    <v>81.3</v>
    <v>84.25</v>
    <v>82.87</v>
    <v>83.78</v>
    <v>83.75</v>
    <v>83.4</v>
    <v>81.93</v>
    <v>81.22</v>
    <v>81.38</v>
    <v>83.98</v>
    <v>86.46</v>
    <v>85.16</v>
    <v>85</v>
    <v>87.24</v>
    <v>84.94</v>
    <v>85.83</v>
    <v>86.2</v>
    <v>87.13</v>
    <v>86.84</v>
    <v>85.9</v>
    <v>85.6</v>
    <v>84.72</v>
    <v>86.79</v>
    <v>85.49</v>
    <v>83.75</v>
    <v>81.75</v>
    <v>82.93</v>
    <v>83.28</v>
    <v>82.37</v>
    <v>85.11</v>
    <v>91.91</v>
    <v>94.27</v>
    <v>92.38</v>
    <v>92.29</v>
    <v>92.99</v>
    <v>95.02</v>
    <v>93.92</v>
    <v>97.11</v>
    <v>96.26</v>
    <v>95.51</v>
    <v>97.03</v>
    <v>95.92</v>
    <v>93.75</v>
    <v>93.86</v>
    <v>95.98</v>
    <v>97.62</v>
    <v>93.15</v>
    <v>93.69</v>
    <v>95.04</v>
    <v>96.36</v>
    <v>99.15</v>
    <v>95.8</v>
    <v>96.47</v>
    <v>95.36</v>
    <v>96.33</v>
    <v>98.29</v>
    <v>97.43</v>
    <v>98.48</v>
    <v>99.67</v>
    <v>99.15</v>
    <v>99.99</v>
    <v>102.59</v>
    <v>103.55</v>
    <v>101.68</v>
    <v>100.44</v>
    <v>101.69</v>
    <v>103.54</v>
    <v>103.02</v>
    <v>103.4</v>
    <v>107.7</v>
    <v>114.41</v>
    <v>113.79</v>
    <v>106.43</v>
    <v>109.02</v>
    <v>106.97</v>
    <v>104.5</v>
    <v>102.69</v>
    <v>100</v>
    <v>105.72</v>
    <v>105.91</v>
    <v>102.03</v>
    <v>105.04</v>
    <v>106.59</v>
    <v>105.01</v>
    <v>103.6</v>
    <v>105.12</v>
    <v>105.44</v>
    <v>107.01</v>
    <v>103.7</v>
    <v>100.68</v>
    <v>102.13</v>
    <v>102.59</v>
    <v>101.47</v>
    <v>100.8</v>
    <v>102.15</v>
    <v>96.75</v>
    <v>97.15</v>
  </a>
  <a r="1" c="251">
    <v>7.94</v>
    <v>7.95</v>
    <v>8.33</v>
    <v>8.5</v>
    <v>8.59</v>
    <v>8.6999999999999993</v>
    <v>8.77</v>
    <v>8.67</v>
    <v>8.43</v>
    <v>8.5399999999999991</v>
    <v>8.3699999999999992</v>
    <v>8.43</v>
    <v>8.56</v>
    <v>9.01</v>
    <v>9.07</v>
    <v>9.23</v>
    <v>9.18</v>
    <v>9.2100000000000009</v>
    <v>9.14</v>
    <v>9.16</v>
    <v>9.0500000000000007</v>
    <v>9.23</v>
    <v>8.9499999999999993</v>
    <v>9.02</v>
    <v>9</v>
    <v>9.5500000000000007</v>
    <v>10.02</v>
    <v>10.039999999999999</v>
    <v>9.9700000000000006</v>
    <v>10</v>
    <v>9.94</v>
    <v>9.7899999999999991</v>
    <v>9.65</v>
    <v>9.82</v>
    <v>9.5299999999999994</v>
    <v>10.01</v>
    <v>10.51</v>
    <v>10.16</v>
    <v>10.029999999999999</v>
    <v>10.76</v>
    <v>10.58</v>
    <v>10.57</v>
    <v>10.52</v>
    <v>10.68</v>
    <v>10.9</v>
    <v>10.87</v>
    <v>11.15</v>
    <v>11.3</v>
    <v>11.46</v>
    <v>10.94</v>
    <v>11.12</v>
    <v>11.22</v>
    <v>11.02</v>
    <v>11.41</v>
    <v>11.49</v>
    <v>11.65</v>
    <v>11.73</v>
    <v>12.01</v>
    <v>12.03</v>
    <v>12.58</v>
    <v>12.84</v>
    <v>12.75</v>
    <v>12.8</v>
    <v>12.85</v>
    <v>13.31</v>
    <v>13.5</v>
    <v>13.49</v>
    <v>13.7</v>
    <v>13.12</v>
    <v>13.26</v>
    <v>13.17</v>
    <v>12.87</v>
    <v>12.8</v>
    <v>12.72</v>
    <v>12.79</v>
    <v>11.86</v>
    <v>10.91</v>
    <v>10.78</v>
    <v>11.22</v>
    <v>12.05</v>
    <v>11.78</v>
    <v>11.85</v>
    <v>11.82</v>
    <v>11.56</v>
    <v>11.54</v>
    <v>11.585000000000001</v>
    <v>12.05</v>
    <v>12.04</v>
    <v>11.8</v>
    <v>12.15</v>
    <v>12.055</v>
    <v>11.64</v>
    <v>11.62</v>
    <v>11.92</v>
    <v>11.77</v>
    <v>12.11</v>
    <v>12.35</v>
    <v>12.26</v>
    <v>12.54</v>
    <v>16.170000000000002</v>
    <v>18.87</v>
    <v>19.46</v>
    <v>18.25</v>
    <v>17.989999999999998</v>
    <v>18.7</v>
    <v>19.329999999999998</v>
    <v>19.61</v>
    <v>19.559999999999999</v>
    <v>19.82</v>
    <v>19.78</v>
    <v>19.510000000000002</v>
    <v>18.864999999999998</v>
    <v>19.53</v>
    <v>19.350000000000001</v>
    <v>19.239999999999998</v>
    <v>18.989999999999998</v>
    <v>19.079999999999998</v>
    <v>18.600000000000001</v>
    <v>17.89</v>
    <v>17.670000000000002</v>
    <v>17.100000000000001</v>
    <v>17.78</v>
    <v>17.98</v>
    <v>18.45</v>
    <v>18.29</v>
    <v>18.190000000000001</v>
    <v>18.32</v>
    <v>20.329999999999998</v>
    <v>20.53</v>
    <v>21.25</v>
    <v>21.15</v>
    <v>21.04</v>
    <v>20.99</v>
    <v>21.34</v>
    <v>21.62</v>
    <v>22.45</v>
    <v>22.29</v>
    <v>22.6</v>
    <v>22.76</v>
    <v>22.42</v>
    <v>22.67</v>
    <v>22.98</v>
    <v>23.05</v>
    <v>22.19</v>
    <v>22.14</v>
    <v>23.03</v>
    <v>22.74</v>
    <v>23.69</v>
    <v>23.09</v>
    <v>22.88</v>
    <v>23.17</v>
    <v>22.86</v>
    <v>22.96</v>
    <v>23.88</v>
    <v>24</v>
    <v>23.87</v>
    <v>24.53</v>
    <v>24.57</v>
    <v>24.54</v>
    <v>26.08</v>
    <v>27.23</v>
    <v>28.26</v>
    <v>29.53</v>
    <v>29.49</v>
    <v>29.98</v>
    <v>29.71</v>
    <v>28.9</v>
    <v>28.21</v>
    <v>27.61</v>
    <v>27.77</v>
    <v>28.75</v>
    <v>29.15</v>
    <v>29.23</v>
    <v>28.8</v>
    <v>28.79</v>
    <v>28.94</v>
    <v>28.82</v>
    <v>28.51</v>
    <v>28.53</v>
    <v>28.47</v>
    <v>28.59</v>
    <v>28.32</v>
    <v>28.885000000000002</v>
    <v>28.4</v>
    <v>28.86</v>
    <v>28.63</v>
    <v>28.49</v>
    <v>28.58</v>
    <v>28.24</v>
    <v>28.53</v>
    <v>28.36</v>
    <v>28.58</v>
    <v>28.24</v>
    <v>28.07</v>
    <v>27.98</v>
    <v>27.6</v>
    <v>27.54</v>
    <v>27.52</v>
    <v>27.19</v>
    <v>27.03</v>
    <v>26.76</v>
    <v>27.36</v>
    <v>27.21</v>
    <v>27.8</v>
    <v>27.99</v>
    <v>28.11</v>
    <v>27.99</v>
    <v>28.75</v>
    <v>28.79</v>
    <v>28.53</v>
    <v>28.75</v>
    <v>28.92</v>
    <v>29.15</v>
    <v>28.9</v>
    <v>28.8</v>
    <v>28.17</v>
    <v>28.5</v>
    <v>28.2</v>
    <v>27.95</v>
    <v>28</v>
    <v>27.95</v>
    <v>27.75</v>
    <v>27.76</v>
    <v>27.81</v>
    <v>27.43</v>
    <v>27.14</v>
    <v>27.51</v>
    <v>27.64</v>
    <v>27.35</v>
    <v>27.63</v>
    <v>27.42</v>
    <v>27.4</v>
    <v>27.28</v>
    <v>27.22</v>
    <v>27.07</v>
    <v>27.07</v>
    <v>27.09</v>
    <v>27.46</v>
    <v>27.49</v>
    <v>27.32</v>
    <v>27.41</v>
    <v>27.37</v>
    <v>27.55</v>
    <v>27.53</v>
    <v>27.44</v>
    <v>27.39</v>
    <v>27.37</v>
    <v>27.2</v>
    <v>27.39</v>
    <v>27.47</v>
    <v>27.42</v>
  </a>
  <a r="1" c="251">
    <v>35.369999999999997</v>
    <v>35.119999999999997</v>
    <v>34.840000000000003</v>
    <v>34.979999999999997</v>
    <v>34.89</v>
    <v>35.229999999999997</v>
    <v>35.53</v>
    <v>35.94</v>
    <v>35.18</v>
    <v>35.22</v>
    <v>35.1</v>
    <v>35.020000000000003</v>
    <v>35.26</v>
    <v>35.409999999999997</v>
    <v>35.57</v>
    <v>36.049999999999997</v>
    <v>35.409999999999997</v>
    <v>34.89</v>
    <v>35.4</v>
    <v>35.71</v>
    <v>36.01</v>
    <v>35.880000000000003</v>
    <v>36.090000000000003</v>
    <v>35.81</v>
    <v>36.28</v>
    <v>36.74</v>
    <v>36.369999999999997</v>
    <v>36.69</v>
    <v>36.840000000000003</v>
    <v>36.770000000000003</v>
    <v>36.71</v>
    <v>36.729999999999997</v>
    <v>36.5</v>
    <v>36.42</v>
    <v>36.46</v>
    <v>37.25</v>
    <v>36.99</v>
    <v>37.630000000000003</v>
    <v>37.56</v>
    <v>37.909999999999997</v>
    <v>37.409999999999997</v>
    <v>37.81</v>
    <v>38.090000000000003</v>
    <v>38.15</v>
    <v>38.69</v>
    <v>40.01</v>
    <v>39.94</v>
    <v>40.01</v>
    <v>39.869999999999997</v>
    <v>40.39</v>
    <v>43.29</v>
    <v>43.88</v>
    <v>44.04</v>
    <v>43.54</v>
    <v>44.15</v>
    <v>44</v>
    <v>44.92</v>
    <v>45.82</v>
    <v>45.53</v>
    <v>45.88</v>
    <v>46.05</v>
    <v>45.51</v>
    <v>45.21</v>
    <v>45.63</v>
    <v>46.44</v>
    <v>46.99</v>
    <v>47.06</v>
    <v>47.04</v>
    <v>46.62</v>
    <v>46.4</v>
    <v>46.16</v>
    <v>46.28</v>
    <v>46.5</v>
    <v>46.38</v>
    <v>45.39</v>
    <v>46.29</v>
    <v>46.74</v>
    <v>46.7</v>
    <v>47.05</v>
    <v>47.92</v>
    <v>48.44</v>
    <v>48.78</v>
    <v>48.57</v>
    <v>48.83</v>
    <v>49.04</v>
    <v>49.52</v>
    <v>49.3</v>
    <v>49.21</v>
    <v>48.77</v>
    <v>49.34</v>
    <v>49.13</v>
    <v>49.21</v>
    <v>49</v>
    <v>49.27</v>
    <v>49.25</v>
    <v>49.7</v>
    <v>49.36</v>
    <v>49.23</v>
    <v>49.14</v>
    <v>49.74</v>
    <v>49.53</v>
    <v>49.26</v>
    <v>49.25</v>
    <v>49.22</v>
    <v>48.52</v>
    <v>48.82</v>
    <v>48.49</v>
    <v>48.87</v>
    <v>48.19</v>
    <v>48.97</v>
    <v>49.7</v>
    <v>49.63</v>
    <v>47.91</v>
    <v>48.56</v>
    <v>49.11</v>
    <v>48.47</v>
    <v>48.82</v>
    <v>50</v>
    <v>49.6</v>
    <v>50.76</v>
    <v>51.5</v>
    <v>51.62</v>
    <v>51.76</v>
    <v>52.27</v>
    <v>52.2</v>
    <v>51.39</v>
    <v>51.91</v>
    <v>52.24</v>
    <v>54</v>
    <v>55.05</v>
    <v>55.59</v>
    <v>55.75</v>
    <v>55.46</v>
    <v>55.13</v>
    <v>54.89</v>
    <v>54.05</v>
    <v>53.67</v>
    <v>52.51</v>
    <v>51.93</v>
    <v>52.49</v>
    <v>52.88</v>
    <v>53.45</v>
    <v>53.79</v>
    <v>53.84</v>
    <v>53.86</v>
    <v>54.14</v>
    <v>53.84</v>
    <v>53.93</v>
    <v>53.25</v>
    <v>54.01</v>
    <v>53.88</v>
    <v>54.24</v>
    <v>54.95</v>
    <v>54.5</v>
    <v>54.63</v>
    <v>54.54</v>
    <v>54.08</v>
    <v>52.77</v>
    <v>52.4</v>
    <v>51.87</v>
    <v>50.63</v>
    <v>50.69</v>
    <v>49.51</v>
    <v>49.83</v>
    <v>49.87</v>
    <v>50.51</v>
    <v>50.64</v>
    <v>51.3</v>
    <v>50.51</v>
    <v>50.51</v>
    <v>50.55</v>
    <v>50.7</v>
    <v>50.85</v>
    <v>51.33</v>
    <v>51.82</v>
    <v>51.81</v>
    <v>52.11</v>
    <v>51.99</v>
    <v>51.24</v>
    <v>50.7</v>
    <v>50.63</v>
    <v>50.56</v>
    <v>50.4</v>
    <v>49.52</v>
    <v>50.09</v>
    <v>49.44</v>
    <v>49.75</v>
    <v>49.98</v>
    <v>50.55</v>
    <v>50.78</v>
    <v>51.1</v>
    <v>50.52</v>
    <v>50.01</v>
    <v>49.78</v>
    <v>49.2</v>
    <v>52</v>
    <v>51.4</v>
    <v>50.4</v>
    <v>50.9</v>
    <v>50.89</v>
    <v>50.32</v>
    <v>49.29</v>
    <v>50.28</v>
    <v>50.95</v>
    <v>51.42</v>
    <v>52.57</v>
    <v>52.87</v>
    <v>52.45</v>
    <v>52.49</v>
    <v>52.32</v>
    <v>52.54</v>
    <v>52.85</v>
    <v>53.39</v>
    <v>54.31</v>
    <v>53.94</v>
    <v>54.44</v>
    <v>56.05</v>
    <v>55.14</v>
    <v>55.28</v>
    <v>55.54</v>
    <v>54.7</v>
    <v>55.19</v>
    <v>54.05</v>
    <v>53.66</v>
    <v>52.77</v>
    <v>53.21</v>
    <v>53.15</v>
    <v>54</v>
    <v>53.57</v>
    <v>53.12</v>
    <v>52.42</v>
    <v>53.55</v>
    <v>53.34</v>
    <v>53.98</v>
    <v>53.89</v>
    <v>53.46</v>
    <v>52.91</v>
    <v>53.5</v>
    <v>52.97</v>
    <v>48.76</v>
    <v>47.84</v>
    <v>46.19</v>
    <v>45.92</v>
    <v>45.28</v>
    <v>44.86</v>
    <v>45.09</v>
    <v>45.82</v>
    <v>45.73</v>
    <v>45.69</v>
    <v>45.57</v>
    <v>45.52</v>
  </a>
  <a r="1" c="251">
    <v>293.66000000000003</v>
    <v>296.2</v>
    <v>298.72000000000003</v>
    <v>298.79000000000002</v>
    <v>296.91000000000003</v>
    <v>298.27999999999997</v>
    <v>303.3</v>
    <v>306.17</v>
    <v>304.25</v>
    <v>305.47000000000003</v>
    <v>306.82</v>
    <v>309.25</v>
    <v>308.94</v>
    <v>301.89999999999998</v>
    <v>298.04000000000002</v>
    <v>290.39</v>
    <v>287.72000000000003</v>
    <v>290.26</v>
    <v>296.99</v>
    <v>299.22000000000003</v>
    <v>304.89999999999998</v>
    <v>303.5</v>
    <v>303.48</v>
    <v>302.8</v>
    <v>304.14999999999998</v>
    <v>305.47000000000003</v>
    <v>311.14999999999998</v>
    <v>311.97000000000003</v>
    <v>311.35000000000002</v>
    <v>312.7</v>
    <v>309.93</v>
    <v>310.2</v>
    <v>314.77</v>
    <v>311.94</v>
    <v>307.92</v>
    <v>307.10000000000002</v>
    <v>303.94</v>
    <v>310.42</v>
    <v>309.5</v>
    <v>309.17</v>
    <v>307.19</v>
    <v>305.99</v>
    <v>305</v>
    <v>305.33999999999997</v>
    <v>310.58999999999997</v>
    <v>313.31</v>
    <v>310.67</v>
    <v>310.69</v>
    <v>312.33999999999997</v>
    <v>316.64999999999998</v>
    <v>308.66000000000003</v>
    <v>310.63</v>
    <v>311.91000000000003</v>
    <v>313.75</v>
    <v>310.82</v>
    <v>308.81</v>
    <v>309</v>
    <v>309.37</v>
    <v>307.79000000000002</v>
    <v>303.68</v>
    <v>303.3</v>
    <v>299.41000000000003</v>
    <v>304.04000000000002</v>
    <v>301.73</v>
    <v>303.11</v>
    <v>303</v>
    <v>302.72000000000003</v>
    <v>305.14999999999998</v>
    <v>302.12</v>
    <v>305.20999999999998</v>
    <v>285.45</v>
    <v>286.39999999999998</v>
    <v>283.07</v>
    <v>288.5</v>
    <v>287.52999999999997</v>
    <v>283.73</v>
    <v>279</v>
    <v>278.83</v>
    <v>278.01</v>
    <v>278</v>
    <v>278</v>
    <v>279.17</v>
    <v>279.60000000000002</v>
    <v>278.51</v>
    <v>279.75</v>
    <v>281.8</v>
    <v>279.49</v>
    <v>275.37</v>
    <v>272.32</v>
    <v>275.81</v>
    <v>275.94</v>
    <v>275.02999999999997</v>
    <v>276.16000000000003</v>
    <v>276.25</v>
    <v>275.72000000000003</v>
    <v>278.33</v>
    <v>277.61</v>
    <v>277.88</v>
    <v>277.2</v>
    <v>280.47000000000003</v>
    <v>277.97000000000003</v>
    <v>273.43</v>
    <v>266.22000000000003</v>
    <v>266.5</v>
    <v>267.24</v>
    <v>271.58</v>
    <v>266.85000000000002</v>
    <v>264.63</v>
    <v>265.48</v>
    <v>262.29000000000002</v>
    <v>263.60000000000002</v>
    <v>264.70999999999998</v>
    <v>270.77</v>
    <v>266.91000000000003</v>
    <v>268.25</v>
    <v>269.11</v>
    <v>267.37</v>
    <v>265.7</v>
    <v>267.17</v>
    <v>266.04000000000002</v>
    <v>269.60000000000002</v>
    <v>269.64999999999998</v>
    <v>266</v>
    <v>259.83</v>
    <v>258.62</v>
    <v>254.83</v>
    <v>259.68</v>
    <v>261.97000000000003</v>
    <v>265.10000000000002</v>
    <v>262.7</v>
    <v>263.70999999999998</v>
    <v>262.89999999999998</v>
    <v>258.61</v>
    <v>259.41000000000003</v>
    <v>261.63</v>
    <v>263.39999999999998</v>
    <v>265.18</v>
    <v>269.73</v>
    <v>268.13</v>
    <v>280.17</v>
    <v>281.88</v>
    <v>276.42</v>
    <v>284.23</v>
    <v>281.27999999999997</v>
    <v>282.18</v>
    <v>285.72000000000003</v>
    <v>283.66000000000003</v>
    <v>282.38</v>
    <v>281</v>
    <v>284.19</v>
    <v>283.93</v>
    <v>287.25</v>
    <v>286.98</v>
    <v>284.47000000000003</v>
    <v>285.39999999999998</v>
    <v>280.33999999999997</v>
    <v>276.89</v>
    <v>273.32</v>
    <v>277.04000000000002</v>
    <v>274</v>
    <v>274.76</v>
    <v>276.36</v>
    <v>280.72000000000003</v>
    <v>281.29000000000002</v>
    <v>282.54000000000002</v>
    <v>281.20999999999998</v>
    <v>280.43</v>
    <v>281.49</v>
    <v>284.05</v>
    <v>283.72000000000003</v>
    <v>284.47000000000003</v>
    <v>285.52</v>
    <v>283.83</v>
    <v>285.10000000000002</v>
    <v>285.19</v>
    <v>285.73</v>
    <v>285.18</v>
    <v>282.66000000000003</v>
    <v>279.99</v>
    <v>277.23</v>
    <v>279.20999999999998</v>
    <v>278.77999999999997</v>
    <v>276.95</v>
    <v>270.25</v>
    <v>271.58</v>
    <v>270.37</v>
    <v>266.3</v>
    <v>262.10000000000002</v>
    <v>266.52999999999997</v>
    <v>263.17</v>
    <v>262.27999999999997</v>
    <v>259.79000000000002</v>
    <v>258.45</v>
    <v>251.74</v>
    <v>247.37</v>
    <v>247.16</v>
    <v>247.91</v>
    <v>253.5</v>
    <v>255.62</v>
    <v>263.29000000000002</v>
    <v>265.02</v>
    <v>260.82</v>
    <v>264</v>
    <v>263.55</v>
    <v>253.55</v>
    <v>260.39999999999998</v>
    <v>263.18</v>
    <v>262.06</v>
    <v>266.37</v>
    <v>263.3</v>
    <v>261.95999999999998</v>
    <v>258.83</v>
    <v>260.88</v>
    <v>261.75</v>
    <v>264.02999999999997</v>
    <v>263.35000000000002</v>
    <v>261.95999999999998</v>
    <v>260.10000000000002</v>
    <v>256.62</v>
    <v>255.59</v>
    <v>250.45</v>
    <v>250.78</v>
    <v>254.35</v>
    <v>250</v>
    <v>256.02</v>
    <v>258.02</v>
    <v>259.07</v>
    <v>257.61</v>
    <v>255.11</v>
    <v>247.89</v>
    <v>250.22</v>
    <v>254.01</v>
    <v>252.75</v>
    <v>251.14</v>
    <v>249.33</v>
    <v>246.6</v>
    <v>249.47</v>
    <v>252.08</v>
    <v>244.28</v>
    <v>247.18</v>
    <v>246.87</v>
    <v>247.98</v>
    <v>251.07</v>
    <v>252.8</v>
    <v>251.7</v>
    <v>253.83</v>
    <v>256.27</v>
    <v>258.97000000000003</v>
    <v>257.27999999999997</v>
    <v>262.16000000000003</v>
    <v>261.38</v>
  </a>
  <a r="1" c="251">
    <v>54.31</v>
    <v>54.89</v>
    <v>53.7</v>
    <v>55</v>
    <v>54.87</v>
    <v>55.04</v>
    <v>54.55</v>
    <v>55.3</v>
    <v>55.58</v>
    <v>55.5</v>
    <v>55.91</v>
    <v>55.97</v>
    <v>56.87</v>
    <v>56.31</v>
    <v>55.43</v>
    <v>54.71</v>
    <v>54.76</v>
    <v>54.15</v>
    <v>55.07</v>
    <v>55.39</v>
    <v>56.88</v>
    <v>56.47</v>
    <v>56.58</v>
    <v>56.72</v>
    <v>56.97</v>
    <v>56.04</v>
    <v>57.05</v>
    <v>56.71</v>
    <v>57.26</v>
    <v>57.85</v>
    <v>56.47</v>
    <v>56.04</v>
    <v>55.15</v>
    <v>55.37</v>
    <v>54.36</v>
    <v>54.29</v>
    <v>52</v>
    <v>50.28</v>
    <v>49.95</v>
    <v>49.5</v>
    <v>49.84</v>
    <v>49.44</v>
    <v>49.36</v>
    <v>48.62</v>
    <v>48.66</v>
    <v>49.09</v>
    <v>49.1</v>
    <v>48.34</v>
    <v>48.1</v>
    <v>48.27</v>
    <v>47.61</v>
    <v>48.07</v>
    <v>47.99</v>
    <v>47.66</v>
    <v>48.81</v>
    <v>47.53</v>
    <v>47.86</v>
    <v>47.63</v>
    <v>48.03</v>
    <v>47.97</v>
    <v>47.54</v>
    <v>47.67</v>
    <v>47.65</v>
    <v>47.3</v>
    <v>47.45</v>
    <v>46.67</v>
    <v>46.24</v>
    <v>46.42</v>
    <v>48.12</v>
    <v>48.37</v>
    <v>48.05</v>
    <v>47.56</v>
    <v>47.19</v>
    <v>48.43</v>
    <v>47.83</v>
    <v>48.59</v>
    <v>47.99</v>
    <v>48.31</v>
    <v>48.95</v>
    <v>48.8</v>
    <v>48.71</v>
    <v>50.51</v>
    <v>51.67</v>
    <v>52.08</v>
    <v>51.71</v>
    <v>51.46</v>
    <v>50.69</v>
    <v>50.34</v>
    <v>50.19</v>
    <v>50.44</v>
    <v>50.29</v>
    <v>50.46</v>
    <v>49.83</v>
    <v>50.42</v>
    <v>50.9</v>
    <v>51.22</v>
    <v>51.2</v>
    <v>48.82</v>
    <v>47.45</v>
    <v>48.29</v>
    <v>47.76</v>
    <v>47.69</v>
    <v>48.57</v>
    <v>48.15</v>
    <v>48.75</v>
    <v>48.96</v>
    <v>47.94</v>
    <v>48.29</v>
    <v>48.76</v>
    <v>48.44</v>
    <v>48.15</v>
    <v>48.21</v>
    <v>47.82</v>
    <v>47.37</v>
    <v>47.24</v>
    <v>47.21</v>
    <v>46.43</v>
    <v>46.01</v>
    <v>46.19</v>
    <v>45.66</v>
    <v>45.56</v>
    <v>46.06</v>
    <v>46.04</v>
    <v>46.33</v>
    <v>46.55</v>
    <v>46.29</v>
    <v>46.32</v>
    <v>46.94</v>
    <v>46.59</v>
    <v>46.17</v>
    <v>46.08</v>
    <v>45.86</v>
    <v>44.87</v>
    <v>45.05</v>
    <v>45.5</v>
    <v>45.57</v>
    <v>45.77</v>
    <v>46.61</v>
    <v>46.37</v>
    <v>46.73</v>
    <v>47.19</v>
    <v>47.21</v>
    <v>48.07</v>
    <v>47.97</v>
    <v>47.87</v>
    <v>48.02</v>
    <v>47.94</v>
    <v>48.07</v>
    <v>48.11</v>
    <v>48.31</v>
    <v>48.32</v>
    <v>49</v>
    <v>49.56</v>
    <v>49.97</v>
    <v>49.21</v>
    <v>49.01</v>
    <v>50.31</v>
    <v>49.94</v>
    <v>48.56</v>
    <v>48.34</v>
    <v>48.82</v>
    <v>49.58</v>
    <v>47.37</v>
    <v>48.06</v>
    <v>48.1</v>
    <v>49.01</v>
    <v>49.03</v>
    <v>49.3</v>
    <v>49.6</v>
    <v>49.19</v>
    <v>49.12</v>
    <v>49.29</v>
    <v>49</v>
    <v>48.78</v>
    <v>49</v>
    <v>48.91</v>
    <v>49.06</v>
    <v>48.88</v>
    <v>49.05</v>
    <v>48.72</v>
    <v>49.01</v>
    <v>49.48</v>
    <v>49.96</v>
    <v>49.01</v>
    <v>49.44</v>
    <v>49.36</v>
    <v>49.32</v>
    <v>49.48</v>
    <v>48.98</v>
    <v>49.45</v>
    <v>50.4</v>
    <v>50.65</v>
    <v>49.77</v>
    <v>49.54</v>
    <v>49.23</v>
    <v>48.7</v>
    <v>48.61</v>
    <v>49.73</v>
    <v>50.94</v>
    <v>52.57</v>
    <v>52.25</v>
    <v>52.59</v>
    <v>52.93</v>
    <v>52.7</v>
    <v>52.91</v>
    <v>54.69</v>
    <v>54.73</v>
    <v>55.49</v>
    <v>55.25</v>
    <v>55.84</v>
    <v>55.3</v>
    <v>56.56</v>
    <v>55.96</v>
    <v>56.45</v>
    <v>56.4</v>
    <v>55.98</v>
    <v>55.96</v>
    <v>55.33</v>
    <v>55.25</v>
    <v>55.79</v>
    <v>54.91</v>
    <v>55.26</v>
    <v>54.78</v>
    <v>54.18</v>
    <v>54.23</v>
    <v>54.53</v>
    <v>55.1</v>
    <v>54.8</v>
    <v>54.24</v>
    <v>53.17</v>
    <v>53.11</v>
    <v>54.27</v>
    <v>54.18</v>
    <v>54.11</v>
    <v>54.04</v>
    <v>54.5</v>
    <v>54.3</v>
    <v>54.53</v>
    <v>54.1</v>
    <v>54.09</v>
    <v>54.07</v>
    <v>52.22</v>
    <v>55.6</v>
    <v>54.96</v>
    <v>55.14</v>
    <v>54.07</v>
    <v>53.58</v>
    <v>52.82</v>
    <v>52.72</v>
    <v>51.23</v>
    <v>51.98</v>
  </a>
  <a r="1" c="251">
    <v>41.38</v>
    <v>42.03</v>
    <v>42.76</v>
    <v>42.96</v>
    <v>42.93</v>
    <v>42.94</v>
    <v>43.15</v>
    <v>43.81</v>
    <v>43.46</v>
    <v>43.89</v>
    <v>43.73</v>
    <v>43.81</v>
    <v>43.67</v>
    <v>44.32</v>
    <v>43.72</v>
    <v>43.95</v>
    <v>44.07</v>
    <v>43.6</v>
    <v>44.24</v>
    <v>44.02</v>
    <v>44.38</v>
    <v>44.23</v>
    <v>44.19</v>
    <v>44.19</v>
    <v>44.55</v>
    <v>44.77</v>
    <v>44.81</v>
    <v>44.71</v>
    <v>43.81</v>
    <v>44.58</v>
    <v>44.38</v>
    <v>44.42</v>
    <v>44.06</v>
    <v>43.89</v>
    <v>44</v>
    <v>43.65</v>
    <v>43.25</v>
    <v>43.79</v>
    <v>43.07</v>
    <v>43.57</v>
    <v>43.27</v>
    <v>43.11</v>
    <v>43.2</v>
    <v>43.07</v>
    <v>43.17</v>
    <v>43.35</v>
    <v>43.32</v>
    <v>43.38</v>
    <v>43.19</v>
    <v>43.02</v>
    <v>42.98</v>
    <v>43.21</v>
    <v>43.22</v>
    <v>42.49</v>
    <v>42.39</v>
    <v>42.5</v>
    <v>42.58</v>
    <v>42.36</v>
    <v>42.77</v>
    <v>42.94</v>
    <v>43.3</v>
    <v>43.56</v>
    <v>43.8</v>
    <v>44.13</v>
    <v>44.54</v>
    <v>45.5</v>
    <v>46.4</v>
    <v>46.55</v>
    <v>46.64</v>
    <v>46.23</v>
    <v>46.1</v>
    <v>45.88</v>
    <v>44.93</v>
    <v>46.47</v>
    <v>46.36</v>
    <v>47.06</v>
    <v>47.34</v>
    <v>47.61</v>
    <v>48.21</v>
    <v>48.15</v>
    <v>48.47</v>
    <v>48.32</v>
    <v>48.59</v>
    <v>48.48</v>
    <v>48.58</v>
    <v>48.5</v>
    <v>48.75</v>
    <v>48.35</v>
    <v>49.33</v>
    <v>49.05</v>
    <v>49.58</v>
    <v>49.24</v>
    <v>49.09</v>
    <v>49.36</v>
    <v>50.23</v>
    <v>49.97</v>
    <v>49.79</v>
    <v>49.78</v>
    <v>49.87</v>
    <v>50.83</v>
    <v>51.06</v>
    <v>50.96</v>
    <v>50.78</v>
    <v>50.55</v>
    <v>51.22</v>
    <v>51.07</v>
    <v>51.31</v>
    <v>51.31</v>
    <v>51.37</v>
    <v>50.93</v>
    <v>50.16</v>
    <v>50.5</v>
    <v>50.66</v>
    <v>50.58</v>
    <v>50.9</v>
    <v>51.45</v>
    <v>51.31</v>
    <v>51.25</v>
    <v>51.91</v>
    <v>51.59</v>
    <v>51.35</v>
    <v>53.15</v>
    <v>54.26</v>
    <v>53.15</v>
    <v>52.96</v>
    <v>53.85</v>
    <v>54.29</v>
    <v>53.51</v>
    <v>53.19</v>
    <v>54.29</v>
    <v>54.42</v>
    <v>54.53</v>
    <v>53.5</v>
    <v>53.5</v>
    <v>53.95</v>
    <v>54.71</v>
    <v>54.3</v>
    <v>54.82</v>
    <v>53.5</v>
    <v>53.71</v>
    <v>56.11</v>
    <v>56.26</v>
    <v>57.32</v>
    <v>56.41</v>
    <v>55.61</v>
    <v>55.56</v>
    <v>55.5</v>
    <v>55.94</v>
    <v>55.51</v>
    <v>56.07</v>
    <v>56.61</v>
    <v>57.28</v>
    <v>57.46</v>
    <v>57.43</v>
    <v>57.05</v>
    <v>57.17</v>
    <v>56.88</v>
    <v>57.14</v>
    <v>57.94</v>
    <v>57.96</v>
    <v>58.31</v>
    <v>59</v>
    <v>59.57</v>
    <v>60.45</v>
    <v>60.7</v>
    <v>61.78</v>
    <v>62.39</v>
    <v>62.04</v>
    <v>62.6</v>
    <v>61.75</v>
    <v>62.99</v>
    <v>62.63</v>
    <v>62.31</v>
    <v>62.59</v>
    <v>61.77</v>
    <v>61.81</v>
    <v>61.92</v>
    <v>63.52</v>
    <v>63.71</v>
    <v>63.68</v>
    <v>63.71</v>
    <v>63.44</v>
    <v>64.3</v>
    <v>63.98</v>
    <v>64.540000000000006</v>
    <v>66.349999999999994</v>
    <v>67.05</v>
    <v>67.599999999999994</v>
    <v>66</v>
    <v>67.75</v>
    <v>67.180000000000007</v>
    <v>65.680000000000007</v>
    <v>66.42</v>
    <v>67.010000000000005</v>
    <v>67.400000000000006</v>
    <v>66.489999999999995</v>
    <v>65.86</v>
    <v>67.349999999999994</v>
    <v>65.92</v>
    <v>67.03</v>
    <v>66.47</v>
    <v>67.08</v>
    <v>67.23</v>
    <v>66.63</v>
    <v>62.01</v>
    <v>60.95</v>
    <v>66.08</v>
    <v>66.94</v>
    <v>67.11</v>
    <v>65.8</v>
    <v>67.069999999999993</v>
    <v>67.319999999999993</v>
    <v>68.8</v>
    <v>68.239999999999995</v>
    <v>69.31</v>
    <v>67.86</v>
    <v>67.62</v>
    <v>67.069999999999993</v>
    <v>68.569999999999993</v>
    <v>68.23</v>
    <v>65.84</v>
    <v>64.510000000000005</v>
    <v>64.88</v>
    <v>64.790000000000006</v>
    <v>63.94</v>
    <v>63.68</v>
    <v>64.03</v>
    <v>64.760000000000005</v>
    <v>64.150000000000006</v>
    <v>62.45</v>
    <v>61.86</v>
    <v>63.43</v>
    <v>63.95</v>
    <v>65.12</v>
    <v>65.099999999999994</v>
    <v>63.71</v>
    <v>63.72</v>
    <v>66.28</v>
    <v>67.239999999999995</v>
    <v>67.06</v>
    <v>67.22</v>
    <v>67.11</v>
    <v>68.260000000000005</v>
    <v>69.06</v>
    <v>69.27</v>
    <v>70.69</v>
    <v>72.53</v>
    <v>72.95</v>
    <v>72.989999999999995</v>
    <v>74.19</v>
    <v>74.569999999999993</v>
  </a>
  <a r="1" c="251">
    <v>47.81</v>
    <v>48.96</v>
    <v>48.71</v>
    <v>49.32</v>
    <v>49.34</v>
    <v>49.35</v>
    <v>49.44</v>
    <v>48.69</v>
    <v>49.42</v>
    <v>49.74</v>
    <v>48.2</v>
    <v>48.36</v>
    <v>46.99</v>
    <v>47.69</v>
    <v>48.72</v>
    <v>50.17</v>
    <v>50.76</v>
    <v>50.8</v>
    <v>50.24</v>
    <v>49.86</v>
    <v>49.03</v>
    <v>48.74</v>
    <v>49.05</v>
    <v>49.05</v>
    <v>49.28</v>
    <v>49.37</v>
    <v>48.88</v>
    <v>49.38</v>
    <v>48.79</v>
    <v>50.21</v>
    <v>50.65</v>
    <v>49.71</v>
    <v>50.06</v>
    <v>50.36</v>
    <v>50.62</v>
    <v>51.45</v>
    <v>53.09</v>
    <v>53.17</v>
    <v>55.67</v>
    <v>55.21</v>
    <v>55.99</v>
    <v>54.86</v>
    <v>55.14</v>
    <v>55.2</v>
    <v>53.52</v>
    <v>52.56</v>
    <v>52.09</v>
    <v>51.76</v>
    <v>51.46</v>
    <v>51.01</v>
    <v>52</v>
    <v>52.17</v>
    <v>51.77</v>
    <v>51.68</v>
    <v>53.12</v>
    <v>53.71</v>
    <v>53.84</v>
    <v>54.87</v>
    <v>54.57</v>
    <v>54.1</v>
    <v>53.56</v>
    <v>53.71</v>
    <v>53.31</v>
    <v>52.98</v>
    <v>53.2</v>
    <v>53.96</v>
    <v>54.16</v>
    <v>53.86</v>
    <v>54.91</v>
    <v>55.2</v>
    <v>54.94</v>
    <v>54.65</v>
    <v>53.86</v>
    <v>54.05</v>
    <v>53.91</v>
    <v>53.62</v>
    <v>53.94</v>
    <v>53.45</v>
    <v>53.5</v>
    <v>53.57</v>
    <v>53.86</v>
    <v>53.71</v>
    <v>53.27</v>
    <v>53.21</v>
    <v>53.54</v>
    <v>54.29</v>
    <v>55.28</v>
    <v>55.96</v>
    <v>55.5</v>
    <v>56.56</v>
    <v>57.22</v>
    <v>56.77</v>
    <v>56.94</v>
    <v>56.12</v>
    <v>55.59</v>
    <v>55.4</v>
    <v>55.58</v>
    <v>56.78</v>
    <v>58.55</v>
    <v>58.1</v>
    <v>57.75</v>
    <v>58.13</v>
    <v>59.15</v>
    <v>59.02</v>
    <v>58.92</v>
    <v>57.28</v>
    <v>57.74</v>
    <v>58.55</v>
    <v>58.99</v>
    <v>59.57</v>
    <v>59.39</v>
    <v>58.47</v>
    <v>58.24</v>
    <v>57.56</v>
    <v>57.41</v>
    <v>57.7</v>
    <v>57.95</v>
    <v>57.73</v>
    <v>57</v>
    <v>56.65</v>
    <v>55.28</v>
    <v>55.31</v>
    <v>54.95</v>
    <v>54.2</v>
    <v>54.04</v>
    <v>53.74</v>
    <v>53.51</v>
    <v>54.67</v>
    <v>55.42</v>
    <v>55.73</v>
    <v>56.07</v>
    <v>55.25</v>
    <v>55.79</v>
    <v>55.56</v>
    <v>55.85</v>
    <v>55.68</v>
    <v>55.65</v>
    <v>58.17</v>
    <v>59.27</v>
    <v>59.76</v>
    <v>60.39</v>
    <v>61.72</v>
    <v>61.92</v>
    <v>61.18</v>
    <v>62.17</v>
    <v>62.45</v>
    <v>63.2</v>
    <v>63.25</v>
    <v>62.99</v>
    <v>62.43</v>
    <v>62.45</v>
    <v>62.52</v>
    <v>62.42</v>
    <v>62.5</v>
    <v>62.84</v>
    <v>62.75</v>
    <v>61.44</v>
    <v>62.36</v>
    <v>62.47</v>
    <v>61.19</v>
    <v>61.03</v>
    <v>60.64</v>
    <v>60.95</v>
    <v>60.98</v>
    <v>61.01</v>
    <v>60.07</v>
    <v>58.06</v>
    <v>58.98</v>
    <v>58.46</v>
    <v>58.98</v>
    <v>59.06</v>
    <v>59.09</v>
    <v>59.1</v>
    <v>59.91</v>
    <v>60.97</v>
    <v>60.92</v>
    <v>62.61</v>
    <v>61.58</v>
    <v>62.48</v>
    <v>62.7</v>
    <v>63.33</v>
    <v>65</v>
    <v>64.63</v>
    <v>66.69</v>
    <v>68.91</v>
    <v>68.05</v>
    <v>69.11</v>
    <v>69.44</v>
    <v>68.31</v>
    <v>69.83</v>
    <v>68.72</v>
    <v>69.61</v>
    <v>70.13</v>
    <v>70.58</v>
    <v>71.8</v>
    <v>72.290000000000006</v>
    <v>71.97</v>
    <v>71.98</v>
    <v>72.849999999999994</v>
    <v>72</v>
    <v>72.72</v>
    <v>73.459999999999994</v>
    <v>74.12</v>
    <v>74</v>
    <v>75.89</v>
    <v>74.900000000000006</v>
    <v>76.25</v>
    <v>75.2</v>
    <v>76.48</v>
    <v>77.77</v>
    <v>76.23</v>
    <v>77.069999999999993</v>
    <v>76.7</v>
    <v>76.209999999999994</v>
    <v>75.91</v>
    <v>77.05</v>
    <v>79.05</v>
    <v>78.11</v>
    <v>78.209999999999994</v>
    <v>78.739999999999995</v>
    <v>77.2</v>
    <v>78.06</v>
    <v>77.760000000000005</v>
    <v>79.099999999999994</v>
    <v>81.459999999999994</v>
    <v>81.83</v>
    <v>82.93</v>
    <v>84.11</v>
    <v>85.13</v>
    <v>87.01</v>
    <v>87.49</v>
    <v>86.7</v>
    <v>88.23</v>
    <v>89.42</v>
    <v>90.06</v>
    <v>92.5</v>
    <v>91.94</v>
    <v>92.01</v>
    <v>90.29</v>
    <v>91.72</v>
    <v>91.86</v>
    <v>92.79</v>
    <v>89.24</v>
    <v>87.65</v>
    <v>89.29</v>
    <v>89.41</v>
    <v>87.56</v>
    <v>86.31</v>
    <v>87.37</v>
    <v>83.69</v>
    <v>84.11</v>
  </a>
  <a r="1" c="251">
    <v>9.49</v>
    <v>9.66</v>
    <v>9.65</v>
    <v>9.65</v>
    <v>9.8000000000000007</v>
    <v>9.7799999999999994</v>
    <v>9.7899999999999991</v>
    <v>9.81</v>
    <v>9.93</v>
    <v>9.9700000000000006</v>
    <v>9.8000000000000007</v>
    <v>9.77</v>
    <v>9.83</v>
    <v>9.81</v>
    <v>9.93</v>
    <v>9.9700000000000006</v>
    <v>10.23</v>
    <v>10.130000000000001</v>
    <v>10.11</v>
    <v>10.14</v>
    <v>9.92</v>
    <v>9.83</v>
    <v>9.85</v>
    <v>9.84</v>
    <v>9.9700000000000006</v>
    <v>10.199999999999999</v>
    <v>10.15</v>
    <v>10.52</v>
    <v>10.43</v>
    <v>10.46</v>
    <v>10.65</v>
    <v>10.58</v>
    <v>10.58</v>
    <v>10.71</v>
    <v>10.77</v>
    <v>10.72</v>
    <v>10.68</v>
    <v>10.82</v>
    <v>10.8</v>
    <v>10.83</v>
    <v>10.82</v>
    <v>10.83</v>
    <v>10.8</v>
    <v>10.91</v>
    <v>10.91</v>
    <v>10.79</v>
    <v>10.8</v>
    <v>10.76</v>
    <v>10.68</v>
    <v>10.68</v>
    <v>10.65</v>
    <v>10.63</v>
    <v>12.46</v>
    <v>12.06</v>
    <v>11.99</v>
    <v>12.49</v>
    <v>12.26</v>
    <v>12.18</v>
    <v>12.2</v>
    <v>12.09</v>
    <v>11.86</v>
    <v>11.92</v>
    <v>11.89</v>
    <v>11.85</v>
    <v>11.83</v>
    <v>11.84</v>
    <v>11.73</v>
    <v>11.78</v>
    <v>11.76</v>
    <v>11.84</v>
    <v>11.77</v>
    <v>11.59</v>
    <v>11.54</v>
    <v>11.59</v>
    <v>11.52</v>
    <v>11.55</v>
    <v>11.6</v>
    <v>11.61</v>
    <v>11.69</v>
    <v>11.8</v>
    <v>11.93</v>
    <v>11.86</v>
    <v>11.82</v>
    <v>11.88</v>
    <v>11.91</v>
    <v>11.97</v>
    <v>12.11</v>
    <v>12.02</v>
    <v>11.97</v>
    <v>12.1</v>
    <v>12.19</v>
    <v>12.16</v>
    <v>11.91</v>
    <v>11.91</v>
    <v>11.95</v>
    <v>12.1</v>
    <v>11.96</v>
    <v>11.91</v>
    <v>12.03</v>
    <v>12.12</v>
    <v>12.12</v>
    <v>12.15</v>
    <v>12.16</v>
    <v>12.05</v>
    <v>12.01</v>
    <v>12.06</v>
    <v>11.97</v>
    <v>11.92</v>
    <v>11.85</v>
    <v>11.71</v>
    <v>11.93</v>
    <v>11.94</v>
    <v>11.25</v>
    <v>11.52</v>
    <v>11.46</v>
    <v>11.62</v>
    <v>11.49</v>
    <v>11.45</v>
    <v>11.42</v>
    <v>11.37</v>
    <v>11.3</v>
    <v>11.32</v>
    <v>11.41</v>
    <v>11.46</v>
    <v>11.56</v>
    <v>11.69</v>
    <v>11.72</v>
    <v>11.68</v>
    <v>11.75</v>
    <v>11.72</v>
    <v>11.63</v>
    <v>11.5</v>
    <v>11.34</v>
    <v>11.15</v>
    <v>11.19</v>
    <v>11.19</v>
    <v>11.09</v>
    <v>11.31</v>
    <v>11.24</v>
    <v>11.23</v>
    <v>11.16</v>
    <v>11.19</v>
    <v>11.17</v>
    <v>11.07</v>
    <v>9.99</v>
    <v>9.89</v>
    <v>9.9600000000000009</v>
    <v>9.92</v>
    <v>9.94</v>
    <v>10.08</v>
    <v>10.119999999999999</v>
    <v>10.37</v>
    <v>10.39</v>
    <v>10.4</v>
    <v>10.32</v>
    <v>10.31</v>
    <v>10.27</v>
    <v>10.17</v>
    <v>10.1</v>
    <v>10.01</v>
    <v>9.93</v>
    <v>9.8699999999999992</v>
    <v>9.99</v>
    <v>9.93</v>
    <v>10.08</v>
    <v>10.19</v>
    <v>10.28</v>
    <v>10.41</v>
    <v>10.45</v>
    <v>10.49</v>
    <v>10.41</v>
    <v>10.220000000000001</v>
    <v>10.220000000000001</v>
    <v>10.27</v>
    <v>10.29</v>
    <v>10.23</v>
    <v>10.3</v>
    <v>10.56</v>
    <v>10.56</v>
    <v>10.81</v>
    <v>10.94</v>
    <v>11</v>
    <v>11.02</v>
    <v>10.94</v>
    <v>10.86</v>
    <v>10.82</v>
    <v>10.93</v>
    <v>10.77</v>
    <v>10.61</v>
    <v>10.59</v>
    <v>10.68</v>
    <v>10.74</v>
    <v>10.7</v>
    <v>10.67</v>
    <v>10.58</v>
    <v>10.75</v>
    <v>10.75</v>
    <v>10.85</v>
    <v>10.71</v>
    <v>10.87</v>
    <v>10.76</v>
    <v>10.84</v>
    <v>10.81</v>
    <v>10.84</v>
    <v>10.82</v>
    <v>10.5</v>
    <v>10.45</v>
    <v>10.55</v>
    <v>10.51</v>
    <v>10.5</v>
    <v>10.56</v>
    <v>10.62</v>
    <v>10.49</v>
    <v>10.56</v>
    <v>10.63</v>
    <v>10.43</v>
    <v>10.39</v>
    <v>10.44</v>
    <v>10.48</v>
    <v>10.48</v>
    <v>10.41</v>
    <v>10.29</v>
    <v>10.24</v>
    <v>10.15</v>
    <v>10.06</v>
    <v>10.07</v>
    <v>10.220000000000001</v>
    <v>10.35</v>
    <v>10.24</v>
    <v>10.119999999999999</v>
    <v>9.86</v>
    <v>9.9499999999999993</v>
    <v>9.93</v>
    <v>9.9700000000000006</v>
    <v>9.85</v>
    <v>9.7799999999999994</v>
    <v>9.7899999999999991</v>
    <v>9.77</v>
    <v>9.9</v>
    <v>9.91</v>
    <v>9.93</v>
    <v>10.06</v>
    <v>10.23</v>
    <v>10.130000000000001</v>
    <v>10.31</v>
    <v>10.41</v>
    <v>10.55</v>
    <v>10.51</v>
    <v>10.51</v>
    <v>10.51</v>
    <v>10.31</v>
  </a>
  <a r="1" c="251">
    <v>10.47</v>
    <v>10.91</v>
    <v>11.11</v>
    <v>11.54</v>
    <v>11.39</v>
    <v>11.57</v>
    <v>11.7</v>
    <v>11.88</v>
    <v>12.16</v>
    <v>12.79</v>
    <v>12.57</v>
    <v>12.21</v>
    <v>12.72</v>
    <v>13.44</v>
    <v>13.28</v>
    <v>14.44</v>
    <v>14.95</v>
    <v>14.74</v>
    <v>14.85</v>
    <v>14.78</v>
    <v>14.32</v>
    <v>14.43</v>
    <v>12.15</v>
    <v>12.16</v>
    <v>12</v>
    <v>13.55</v>
    <v>13.18</v>
    <v>12.85</v>
    <v>12.46</v>
    <v>12.23</v>
    <v>12.48</v>
    <v>12.55</v>
    <v>12.59</v>
    <v>12.71</v>
    <v>13.02</v>
    <v>12.98</v>
    <v>12.8</v>
    <v>12.63</v>
    <v>11.59</v>
    <v>12.41</v>
    <v>11.86</v>
    <v>11.76</v>
    <v>11.71</v>
    <v>11.48</v>
    <v>11.69</v>
    <v>11.45</v>
    <v>11.61</v>
    <v>11.84</v>
    <v>11.75</v>
    <v>12.24</v>
    <v>12.48</v>
    <v>12.58</v>
    <v>12.49</v>
    <v>12.44</v>
    <v>12.46</v>
    <v>12.93</v>
    <v>12.33</v>
    <v>12.25</v>
    <v>11.73</v>
    <v>11.82</v>
    <v>12.29</v>
    <v>12.26</v>
    <v>12.45</v>
    <v>13.02</v>
    <v>13.43</v>
    <v>12.68</v>
    <v>12.67</v>
    <v>12.52</v>
    <v>12.4</v>
    <v>12.72</v>
    <v>11.72</v>
    <v>11.66</v>
    <v>12.58</v>
    <v>12.05</v>
    <v>12.26</v>
    <v>12.05</v>
    <v>11.83</v>
    <v>11.79</v>
    <v>12.21</v>
    <v>13.08</v>
    <v>12.96</v>
    <v>13.08</v>
    <v>13.13</v>
    <v>13.11</v>
    <v>12.85</v>
    <v>13.03</v>
    <v>13.7</v>
    <v>13.67</v>
    <v>14.52</v>
    <v>14.94</v>
    <v>14.9</v>
    <v>15.13</v>
    <v>14.84</v>
    <v>14.82</v>
    <v>14.97</v>
    <v>15</v>
    <v>15.56</v>
    <v>15.24</v>
    <v>14.97</v>
    <v>15.48</v>
    <v>14.86</v>
    <v>14.71</v>
    <v>14.69</v>
    <v>14.76</v>
    <v>15.11</v>
    <v>14.44</v>
    <v>14.33</v>
    <v>14.83</v>
    <v>14.82</v>
    <v>14.39</v>
    <v>14.73</v>
    <v>14.45</v>
    <v>14.43</v>
    <v>15.34</v>
    <v>15.39</v>
    <v>15.19</v>
    <v>14.5</v>
    <v>14.52</v>
    <v>14.01</v>
    <v>13.9</v>
    <v>13.29</v>
    <v>14.05</v>
    <v>14.48</v>
    <v>14.32</v>
    <v>14.17</v>
    <v>14.28</v>
    <v>14.43</v>
    <v>15.28</v>
    <v>15.29</v>
    <v>15.89</v>
    <v>16.309999999999999</v>
    <v>16.61</v>
    <v>14.58</v>
    <v>14.55</v>
    <v>14.06</v>
    <v>14.04</v>
    <v>14.17</v>
    <v>13.76</v>
    <v>14.78</v>
    <v>14.26</v>
    <v>14.64</v>
    <v>14.63</v>
    <v>14.82</v>
    <v>15.44</v>
    <v>15.28</v>
    <v>14.97</v>
    <v>14.25</v>
    <v>14.56</v>
    <v>14.67</v>
    <v>14.63</v>
    <v>16.21</v>
    <v>16.37</v>
    <v>17.239999999999998</v>
    <v>17.27</v>
    <v>17.5</v>
    <v>18.14</v>
    <v>17.72</v>
    <v>18.670000000000002</v>
    <v>18.57</v>
    <v>19.05</v>
    <v>18.03</v>
    <v>18.170000000000002</v>
    <v>19.170000000000002</v>
    <v>19.79</v>
    <v>19.66</v>
    <v>19.27</v>
    <v>19.02</v>
    <v>18.54</v>
    <v>18.36</v>
    <v>18.62</v>
    <v>18.649999999999999</v>
    <v>18.43</v>
    <v>18.34</v>
    <v>18.5</v>
    <v>18.170000000000002</v>
    <v>18.260000000000002</v>
    <v>18.079999999999998</v>
    <v>18.16</v>
    <v>18.84</v>
    <v>19.47</v>
    <v>19.2</v>
    <v>20.190000000000001</v>
    <v>19.86</v>
    <v>19.71</v>
    <v>19.649999999999999</v>
    <v>19.27</v>
    <v>19.18</v>
    <v>18.82</v>
    <v>18.649999999999999</v>
    <v>19.52</v>
    <v>19.940000000000001</v>
    <v>19.739999999999998</v>
    <v>20.010000000000002</v>
    <v>20.28</v>
    <v>19.11</v>
    <v>20.11</v>
    <v>19.59</v>
    <v>20.51</v>
    <v>20.9</v>
    <v>21.18</v>
    <v>20.100000000000001</v>
    <v>20.34</v>
    <v>21.1</v>
    <v>20.91</v>
    <v>20.81</v>
    <v>20.18</v>
    <v>20.3</v>
    <v>20.09</v>
    <v>20.68</v>
    <v>20.81</v>
    <v>21.23</v>
    <v>19.68</v>
    <v>19.77</v>
    <v>19.54</v>
    <v>19.68</v>
    <v>19.420000000000002</v>
    <v>18.93</v>
    <v>18.79</v>
    <v>18.71</v>
    <v>18.260000000000002</v>
    <v>17.32</v>
    <v>17.27</v>
    <v>16.97</v>
    <v>16.36</v>
    <v>15.72</v>
    <v>15.96</v>
    <v>16.03</v>
    <v>16.59</v>
    <v>16.38</v>
    <v>16.489999999999998</v>
    <v>16.28</v>
    <v>16.940000000000001</v>
    <v>17.3</v>
    <v>17.21</v>
    <v>16.53</v>
    <v>16.399999999999999</v>
    <v>16.149999999999999</v>
    <v>16.989999999999998</v>
    <v>16.920000000000002</v>
    <v>16.87</v>
    <v>17.059999999999999</v>
    <v>16.95</v>
    <v>17.88</v>
    <v>18.37</v>
    <v>18.23</v>
    <v>18.440000000000001</v>
    <v>18.8</v>
    <v>19.64</v>
    <v>20.12</v>
    <v>21</v>
    <v>21.5</v>
  </a>
  <a r="1" c="251">
    <v>178.35</v>
    <v>189.18</v>
    <v>193.68</v>
    <v>197.41</v>
    <v>198.43</v>
    <v>200.86</v>
    <v>200.5</v>
    <v>201.54</v>
    <v>203.61</v>
    <v>207.7</v>
    <v>208.94</v>
    <v>208.6</v>
    <v>209.92</v>
    <v>214.49</v>
    <v>214.96</v>
    <v>218.95</v>
    <v>221.58</v>
    <v>223.24</v>
    <v>229.38</v>
    <v>231.78</v>
    <v>235.29</v>
    <v>235.26</v>
    <v>233.54</v>
    <v>230.27</v>
    <v>232.79</v>
    <v>241.78</v>
    <v>243.67</v>
    <v>244.16</v>
    <v>245.91</v>
    <v>247.48</v>
    <v>248.87</v>
    <v>250.88</v>
    <v>251.92</v>
    <v>255.63</v>
    <v>251.41</v>
    <v>242</v>
    <v>245.52</v>
    <v>239.99</v>
    <v>236.6</v>
    <v>236.54</v>
    <v>235.75</v>
    <v>235.89</v>
    <v>239.37</v>
    <v>247.81</v>
    <v>248.75</v>
    <v>249.9</v>
    <v>251</v>
    <v>254.51</v>
    <v>257.39</v>
    <v>249.02</v>
    <v>244.75</v>
    <v>246.88</v>
    <v>248.65</v>
    <v>247.05</v>
    <v>250.33</v>
    <v>252.57</v>
    <v>255.42</v>
    <v>262.33999999999997</v>
    <v>264.67</v>
    <v>266.18</v>
    <v>260.27999999999997</v>
    <v>263.27</v>
    <v>262.86</v>
    <v>259</v>
    <v>263.18</v>
    <v>268.01</v>
    <v>271.58999999999997</v>
    <v>270.61</v>
    <v>270.31</v>
    <v>273.55</v>
    <v>271.08</v>
    <v>269.38</v>
    <v>276.23</v>
    <v>272.12</v>
    <v>272.27999999999997</v>
    <v>272.02</v>
    <v>275.01</v>
    <v>275.2</v>
    <v>279.63</v>
    <v>268.86</v>
    <v>269.7</v>
    <v>267.85000000000002</v>
    <v>268.45</v>
    <v>265.93</v>
    <v>266.44</v>
    <v>268.70999999999998</v>
    <v>266.52999999999997</v>
    <v>266.61</v>
    <v>273.94</v>
    <v>273.35000000000002</v>
    <v>276</v>
    <v>275.2</v>
    <v>275.39</v>
    <v>275.93</v>
    <v>282.27</v>
    <v>279.23</v>
    <v>276.05</v>
    <v>276.24</v>
    <v>283.41000000000003</v>
    <v>281.56</v>
    <v>281.69</v>
    <v>286.77999999999997</v>
    <v>292.97000000000003</v>
    <v>289.5</v>
    <v>297.08999999999997</v>
    <v>301.14</v>
    <v>301.02</v>
    <v>305.63</v>
    <v>300.3</v>
    <v>297.18</v>
    <v>294.98</v>
    <v>293.63</v>
    <v>300.82</v>
    <v>300.88</v>
    <v>299.45</v>
    <v>297</v>
    <v>298.22000000000003</v>
    <v>301.74</v>
    <v>302.56</v>
    <v>299.35000000000002</v>
    <v>291.49</v>
    <v>297.52999999999997</v>
    <v>300.08</v>
    <v>300.12</v>
    <v>299.83999999999997</v>
    <v>300.14</v>
    <v>302.68</v>
    <v>306.63</v>
    <v>297.89</v>
    <v>306.39</v>
    <v>303.87</v>
    <v>312.83999999999997</v>
    <v>309.79000000000002</v>
    <v>314.27999999999997</v>
    <v>310.75</v>
    <v>308.95</v>
    <v>308.62</v>
    <v>304.2</v>
    <v>305.11</v>
    <v>305.27</v>
    <v>307.27</v>
    <v>311.94</v>
    <v>310.72000000000003</v>
    <v>309.02</v>
    <v>304.17</v>
    <v>304.82</v>
    <v>300.13</v>
    <v>296.01</v>
    <v>300.82</v>
    <v>290.62</v>
    <v>287.44</v>
    <v>294.05</v>
    <v>293.44</v>
    <v>296.62</v>
    <v>298.45</v>
    <v>288.45</v>
    <v>289.32</v>
    <v>288.49</v>
    <v>291.86</v>
    <v>283.94</v>
    <v>287.19</v>
    <v>285.31</v>
    <v>283.60000000000002</v>
    <v>288.42</v>
    <v>299.81</v>
    <v>300.98</v>
    <v>298.73</v>
    <v>292.18</v>
    <v>301.69</v>
    <v>307.20999999999998</v>
    <v>314.73</v>
    <v>315.52999999999997</v>
    <v>316.75</v>
    <v>315.14</v>
    <v>311.58</v>
    <v>311.79000000000002</v>
    <v>308.02999999999997</v>
    <v>320.75</v>
    <v>324.32</v>
    <v>327.54000000000002</v>
    <v>323.64</v>
    <v>314.44</v>
    <v>321.58999999999997</v>
    <v>324.17</v>
    <v>327.23</v>
    <v>318.88</v>
    <v>319.94</v>
    <v>325.12</v>
    <v>312.33999999999997</v>
    <v>318.5</v>
    <v>295</v>
    <v>293.87</v>
    <v>295.06</v>
    <v>297.47000000000003</v>
    <v>292.48</v>
    <v>298.86</v>
    <v>306.79000000000002</v>
    <v>308.70999999999998</v>
    <v>309.93</v>
    <v>308.33999999999997</v>
    <v>306.37</v>
    <v>321</v>
    <v>316.74</v>
    <v>316.33</v>
    <v>313.73</v>
    <v>312.89</v>
    <v>315.41000000000003</v>
    <v>327.08</v>
    <v>329.58</v>
    <v>334.74</v>
    <v>343.22</v>
    <v>338.99</v>
    <v>345.64</v>
    <v>342.89</v>
    <v>340.84</v>
    <v>342.26</v>
    <v>345.74</v>
    <v>334.14</v>
    <v>339.81</v>
    <v>326.99</v>
    <v>323.11</v>
    <v>321.93</v>
    <v>326.52</v>
    <v>325.14999999999998</v>
    <v>306.7</v>
    <v>299.69</v>
    <v>304</v>
    <v>302.08999999999997</v>
    <v>300.95999999999998</v>
    <v>291.61</v>
    <v>286.79000000000002</v>
    <v>291.54000000000002</v>
    <v>290.63</v>
    <v>296.56</v>
    <v>285.24</v>
    <v>282.81</v>
    <v>273.25</v>
    <v>283.77</v>
    <v>292.68</v>
    <v>281.16000000000003</v>
    <v>288.69</v>
    <v>288.60000000000002</v>
    <v>308.06</v>
    <v>313.02</v>
    <v>308.35000000000002</v>
    <v>311.89999999999998</v>
    <v>318</v>
    <v>313.93</v>
    <v>298.29000000000002</v>
    <v>304.13</v>
    <v>303.60000000000002</v>
  </a>
  <a r="1" c="252">
    <v t="i">0</v>
    <v t="i">1</v>
    <v t="i">2</v>
    <v t="i">3</v>
    <v t="i">4</v>
    <v t="i">7</v>
    <v t="i">8</v>
    <v t="i">9</v>
    <v t="i">10</v>
    <v t="i">11</v>
    <v t="i">14</v>
    <v t="i">15</v>
    <v t="i">16</v>
    <v t="i">17</v>
    <v t="i">18</v>
    <v t="i">21</v>
    <v t="i">22</v>
    <v t="i">23</v>
    <v t="i">24</v>
    <v t="i">25</v>
    <v t="i">29</v>
    <v t="i">30</v>
    <v t="i">31</v>
    <v t="i">32</v>
    <v t="i">35</v>
    <v t="i">36</v>
    <v t="i">37</v>
    <v t="i">38</v>
    <v t="i">39</v>
    <v t="i">42</v>
    <v t="i">43</v>
    <v t="i">44</v>
    <v t="i">45</v>
    <v t="i">46</v>
    <v t="i">49</v>
    <v t="i">50</v>
    <v t="i">51</v>
    <v t="i">52</v>
    <v t="i">53</v>
    <v t="i">56</v>
    <v t="i">57</v>
    <v t="i">58</v>
    <v t="i">59</v>
    <v t="i">60</v>
    <v t="i">63</v>
    <v t="i">64</v>
    <v t="i">65</v>
    <v t="i">66</v>
    <v t="i">67</v>
    <v t="i">70</v>
    <v t="i">72</v>
    <v t="i">73</v>
    <v t="i">74</v>
    <v t="i">77</v>
    <v t="i">78</v>
    <v t="i">79</v>
    <v t="i">80</v>
    <v t="i">81</v>
    <v t="i">84</v>
    <v t="i">85</v>
    <v t="i">86</v>
    <v t="i">87</v>
    <v t="i">88</v>
    <v t="i">91</v>
    <v t="i">92</v>
    <v t="i">93</v>
    <v t="i">94</v>
    <v t="i">95</v>
    <v t="i">98</v>
    <v t="i">99</v>
    <v t="i">100</v>
    <v t="i">101</v>
    <v t="i">102</v>
    <v t="i">106</v>
    <v t="i">107</v>
    <v t="i">108</v>
    <v t="i">109</v>
    <v t="i">112</v>
    <v t="i">113</v>
    <v t="i">114</v>
    <v t="i">115</v>
    <v t="i">116</v>
    <v t="i">119</v>
    <v t="i">120</v>
    <v t="i">121</v>
    <v t="i">122</v>
    <v t="i">123</v>
    <v t="i">126</v>
    <v t="i">127</v>
    <v t="i">128</v>
    <v t="i">129</v>
    <v t="i">130</v>
    <v t="i">134</v>
    <v t="i">135</v>
    <v t="i">136</v>
    <v t="i">137</v>
    <v t="i">140</v>
    <v t="i">141</v>
    <v t="i">142</v>
    <v t="i">143</v>
    <v t="i">144</v>
    <v t="i">147</v>
    <v t="i">148</v>
    <v t="i">149</v>
    <v t="i">150</v>
    <v t="i">151</v>
    <v t="i">154</v>
    <v t="i">155</v>
    <v t="i">156</v>
    <v t="i">157</v>
    <v t="i">158</v>
    <v t="i">161</v>
    <v t="i">162</v>
    <v t="i">163</v>
    <v t="i">164</v>
    <v t="i">165</v>
    <v t="i">168</v>
    <v t="i">169</v>
    <v t="i">170</v>
    <v t="i">171</v>
    <v t="i">172</v>
    <v t="i">176</v>
    <v t="i">177</v>
    <v t="i">178</v>
    <v t="i">179</v>
    <v t="i">182</v>
    <v t="i">183</v>
    <v t="i">184</v>
    <v t="i">185</v>
    <v t="i">186</v>
    <v t="i">189</v>
    <v t="i">190</v>
    <v t="i">191</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245</v>
    <v t="i">246</v>
    <v t="i">247</v>
    <v t="i">252</v>
    <v t="i">253</v>
    <v t="i">254</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359</v>
    <v t="i">360</v>
    <v t="i">361</v>
    <v t="i">364</v>
  </a>
  <a r="1" c="252">
    <v>24008.86</v>
    <v>24305.98</v>
    <v>24472.68</v>
    <v>24727.53</v>
    <v>24710.51</v>
    <v>24798.59</v>
    <v>24874.48</v>
    <v>24841.68</v>
    <v>24795.55</v>
    <v>25031.51</v>
    <v>24953.52</v>
    <v>24974.720000000001</v>
    <v>25161.18</v>
    <v>25254.06</v>
    <v>25357.74</v>
    <v>25532.18</v>
    <v>25616.86</v>
    <v>25692.45</v>
    <v>25897.48</v>
    <v>25971.93</v>
    <v>26055.63</v>
    <v>25839.17</v>
    <v>25854.01</v>
    <v>25879.95</v>
    <v>26073.13</v>
    <v>26269</v>
    <v>26283.45</v>
    <v>26210.560000000001</v>
    <v>26175.05</v>
    <v>26388.959999999999</v>
    <v>26426.639999999999</v>
    <v>26329</v>
    <v>26342.29</v>
    <v>26429.13</v>
    <v>26375.8</v>
    <v>26426.31</v>
    <v>26524.16</v>
    <v>26615.75</v>
    <v>26504.35</v>
    <v>26568.61</v>
    <v>26541.39</v>
    <v>26559.85</v>
    <v>26506</v>
    <v>26497.57</v>
    <v>26609.360000000001</v>
    <v>26718.62</v>
    <v>26566.32</v>
    <v>26751.95</v>
    <v>26692.32</v>
    <v>26857.11</v>
    <v>26869.66</v>
    <v>27034.26</v>
    <v>27036.16</v>
    <v>27020.28</v>
    <v>26903.57</v>
    <v>26972.32</v>
    <v>27082.3</v>
    <v>27023.25</v>
    <v>27198.85</v>
    <v>27054.14</v>
    <v>27152.97</v>
    <v>27386.93</v>
    <v>27314.01</v>
    <v>27317</v>
    <v>27364.43</v>
    <v>27416.41</v>
    <v>27372.26</v>
    <v>27494.35</v>
    <v>27405.42</v>
    <v>27539.88</v>
    <v>27369.96</v>
    <v>27259.78</v>
    <v>27020.43</v>
    <v>27570.080000000002</v>
    <v>27920.87</v>
    <v>27761.27</v>
    <v>27758.68</v>
    <v>27775.23</v>
    <v>27921.26</v>
    <v>27993.43</v>
    <v>27915.99</v>
    <v>27905.49</v>
    <v>27922.85</v>
    <v>27823.88</v>
    <v>27878.76</v>
    <v>28055.43</v>
    <v>28333.13</v>
    <v>28169.94</v>
    <v>28339.88</v>
    <v>28433</v>
    <v>28434.799999999999</v>
    <v>28564.45</v>
    <v>28615.62</v>
    <v>28751.360000000001</v>
    <v>28915.89</v>
    <v>29050.63</v>
    <v>29027.73</v>
    <v>29063.01</v>
    <v>29179.39</v>
    <v>29407.89</v>
    <v>29283.82</v>
    <v>29431.02</v>
    <v>29315.23</v>
    <v>29321.66</v>
    <v>29453.53</v>
    <v>29768.36</v>
    <v>29958.98</v>
    <v>29815.63</v>
    <v>29756.95</v>
    <v>29731.98</v>
    <v>29761.279999999999</v>
    <v>29971.91</v>
    <v>30022.81</v>
    <v>30107.67</v>
    <v>30160.59</v>
    <v>30471.68</v>
    <v>30531.88</v>
    <v>30351.72</v>
    <v>30501.99</v>
    <v>30269.98</v>
    <v>29850.89</v>
    <v>30353.61</v>
    <v>30637.119999999999</v>
    <v>30458.799999999999</v>
    <v>30108.48</v>
    <v>30416.44</v>
    <v>29888.82</v>
    <v>29982.98</v>
    <v>30186.28</v>
    <v>30353.07</v>
    <v>30275.759999999998</v>
    <v>30419.68</v>
    <v>30144.78</v>
    <v>30178.98</v>
    <v>30260.74</v>
    <v>30275.06</v>
    <v>29777.82</v>
    <v>30103.48</v>
    <v>29868.59</v>
    <v>29912.19</v>
    <v>30316.63</v>
    <v>30409.25</v>
    <v>30827.58</v>
    <v>30253.64</v>
    <v>30326.46</v>
    <v>30076.21</v>
    <v>30036.46</v>
    <v>30278.41</v>
    <v>29906.55</v>
    <v>30160.65</v>
    <v>30604.35</v>
    <v>30900.65</v>
    <v>31180.25</v>
    <v>31196.71</v>
    <v>31382.78</v>
    <v>31101.78</v>
    <v>31049.279999999999</v>
    <v>31160.54</v>
    <v>31477.57</v>
    <v>31311.41</v>
    <v>31169.97</v>
    <v>31244.37</v>
    <v>31490.85</v>
    <v>31660.73</v>
    <v>31527.39</v>
    <v>31483.439999999999</v>
    <v>31263.93</v>
    <v>31250.02</v>
    <v>31440.85</v>
    <v>31755.77</v>
    <v>32000.1</v>
    <v>32058.73</v>
    <v>31999.759999999998</v>
    <v>31896.59</v>
    <v>31866.26</v>
    <v>31712.76</v>
    <v>31883.37</v>
    <v>32219.95</v>
    <v>32407.02</v>
    <v>32135.49</v>
    <v>32378.639999999999</v>
    <v>32612.93</v>
    <v>32874.699999999997</v>
    <v>32870.36</v>
    <v>32916.47</v>
    <v>33028.92</v>
    <v>33040.550000000003</v>
    <v>33090.959999999999</v>
    <v>32750.28</v>
    <v>32851.53</v>
    <v>33002.699999999997</v>
    <v>33144.980000000003</v>
    <v>33093.32</v>
    <v>33096.400000000001</v>
    <v>33176.07</v>
    <v>33016.129999999997</v>
    <v>31923.52</v>
    <v>32183.88</v>
    <v>32388.6</v>
    <v>32571.55</v>
    <v>31994.6</v>
    <v>32470.98</v>
    <v>33023.32</v>
    <v>33256.83</v>
    <v>33254.19</v>
    <v>32465.279999999999</v>
    <v>33073.71</v>
    <v>32896.550000000003</v>
    <v>33389.730000000003</v>
    <v>33594.980000000003</v>
    <v>33817.51</v>
    <v>33776.5</v>
    <v>33970.379999999997</v>
    <v>34127.33</v>
    <v>34501.96</v>
    <v>34339.99</v>
    <v>34541.269999999997</v>
    <v>33784.94</v>
    <v>33942.86</v>
    <v>33609.97</v>
    <v>33083.72</v>
    <v>33189.32</v>
    <v>33270.65</v>
    <v>33119.83</v>
    <v>32840.6</v>
    <v>32541.93</v>
    <v>32876.65</v>
    <v>32929.089999999997</v>
    <v>32312.67</v>
    <v>31854.98</v>
    <v>31317.41</v>
    <v>31883.81</v>
    <v>31941.59</v>
    <v>32382.6</v>
    <v>31887.52</v>
    <v>31960.65</v>
    <v>31934.94</v>
    <v>32768.04</v>
    <v>32957.949999999997</v>
    <v>33108.22</v>
    <v>-99999902</v>
    <v>33181.97</v>
    <v>33237.519999999997</v>
    <v>33620.57</v>
    <v>33477.71</v>
    <v>33695.760000000002</v>
    <v>33879.24</v>
    <v>34102.36</v>
    <v>34155.99</v>
    <v>34052.230000000003</v>
    <v>34346.29</v>
    <v>34360.03</v>
  </a>
  <a r="1" c="251">
    <v>126.6</v>
    <v>129.63</v>
    <v>132.49</v>
    <v>134.79</v>
    <v>135.88</v>
    <v>135.46</v>
    <v>136.4</v>
    <v>136.13</v>
    <v>137.5</v>
    <v>139.30000000000001</v>
    <v>138.4</v>
    <v>136.93</v>
    <v>138.21</v>
    <v>139.84</v>
    <v>139.88999999999999</v>
    <v>145.08000000000001</v>
    <v>145.5</v>
    <v>146.11000000000001</v>
    <v>146.47999999999999</v>
    <v>147.85</v>
    <v>146.79</v>
    <v>143.87</v>
    <v>143.79</v>
    <v>141.41</v>
    <v>143.58000000000001</v>
    <v>145.28</v>
    <v>144.75</v>
    <v>144.97999999999999</v>
    <v>143.94999999999999</v>
    <v>144.5</v>
    <v>145.54</v>
    <v>145.13999999999999</v>
    <v>144.07</v>
    <v>146.02000000000001</v>
    <v>146</v>
    <v>146.74</v>
    <v>146.32499999999999</v>
    <v>146.12</v>
    <v>144.26</v>
    <v>145.6</v>
    <v>145.13999999999999</v>
    <v>145.65</v>
    <v>145.11000000000001</v>
    <v>145.74</v>
    <v>147.1</v>
    <v>148.68</v>
    <v>148.65</v>
    <v>148.91999999999999</v>
    <v>150.30000000000001</v>
    <v>149.87</v>
    <v>150</v>
    <v>151.15</v>
    <v>150.77000000000001</v>
    <v>150.97999999999999</v>
    <v>151.07</v>
    <v>151.97</v>
    <v>152.19</v>
    <v>151.905</v>
    <v>152.33000000000001</v>
    <v>151.96</v>
    <v>152</v>
    <v>153.53</v>
    <v>153.30000000000001</v>
    <v>153.06</v>
    <v>152.24</v>
    <v>153.37</v>
    <v>154.02000000000001</v>
    <v>155.37</v>
    <v>155.68</v>
    <v>155.74</v>
    <v>156.21</v>
    <v>155.91</v>
    <v>152.72999999999999</v>
    <v>153.93</v>
    <v>154.69</v>
    <v>154.62</v>
    <v>155.93</v>
    <v>155.93</v>
    <v>157.61000000000001</v>
    <v>157.93</v>
    <v>158.58000000000001</v>
    <v>158.16</v>
    <v>158.07</v>
    <v>157.85</v>
    <v>157.52000000000001</v>
    <v>157.28</v>
    <v>158.75</v>
    <v>158.5</v>
    <v>158.86000000000001</v>
    <v>158.69999999999999</v>
    <v>158.83000000000001</v>
    <v>157.46</v>
    <v>157.09</v>
    <v>158.01</v>
    <v>159.66999999999999</v>
    <v>159.51</v>
    <v>159.4</v>
    <v>160.38999999999999</v>
    <v>160.96</v>
    <v>161.93</v>
    <v>162.02000000000001</v>
    <v>161.93</v>
    <v>161.46</v>
    <v>161.49</v>
    <v>162.62</v>
    <v>163.28</v>
    <v>164.5</v>
    <v>163.78</v>
    <v>164.02</v>
    <v>163.69999999999999</v>
    <v>164.56</v>
    <v>164.34</v>
    <v>164.99</v>
    <v>165.91</v>
    <v>166.28</v>
    <v>166.11</v>
    <v>166.75</v>
    <v>166.09</v>
    <v>167.16</v>
    <v>167.43</v>
    <v>162.83000000000001</v>
    <v>165.52</v>
    <v>166.25</v>
    <v>165.2</v>
    <v>165.67</v>
    <v>167.65</v>
    <v>167.46</v>
    <v>166.27</v>
    <v>167.19</v>
    <v>168.68</v>
    <v>170.7</v>
    <v>170.44</v>
    <v>170.61</v>
    <v>169.34</v>
    <v>170.28</v>
    <v>170.8</v>
    <v>169.33</v>
    <v>170.13</v>
    <v>168.31</v>
    <v>167.57</v>
    <v>169.95</v>
    <v>170.24</v>
    <v>170.22499999999999</v>
    <v>167.81</v>
    <v>167.56</v>
    <v>166.48</v>
    <v>164.29</v>
    <v>165.84</v>
    <v>163.76</v>
    <v>165.23</v>
    <v>167.9</v>
    <v>169.47</v>
    <v>169.94</v>
    <v>170.28</v>
    <v>170.08</v>
    <v>169.36</v>
    <v>169.56</v>
    <v>169.78</v>
    <v>170.01</v>
    <v>168.76</v>
    <v>168.53</v>
    <v>168.34</v>
    <v>168.85</v>
    <v>168.9</v>
    <v>167.2</v>
    <v>166.99</v>
    <v>166.23</v>
    <v>164.75</v>
    <v>165.93</v>
    <v>167.56</v>
    <v>168.04</v>
    <v>168.09</v>
    <v>168.4</v>
    <v>168.05</v>
    <v>167.53</v>
    <v>166.62</v>
    <v>167.08</v>
    <v>168.42</v>
    <v>170.1</v>
    <v>170.11</v>
    <v>170.17</v>
    <v>171.9</v>
    <v>171.75</v>
    <v>171.45</v>
    <v>170.65</v>
    <v>171.2</v>
    <v>171.34</v>
    <v>169.30500000000001</v>
    <v>166.78</v>
    <v>168.7</v>
    <v>169.05</v>
    <v>168.07</v>
    <v>169.08</v>
    <v>168.18</v>
    <v>167.8</v>
    <v>166.7</v>
    <v>167.64</v>
    <v>169.27</v>
    <v>167.45</v>
    <v>166.89</v>
    <v>165.38</v>
    <v>168.09</v>
    <v>167.58</v>
    <v>166.99</v>
    <v>167.22</v>
    <v>165.1</v>
    <v>165.25</v>
    <v>165.7</v>
    <v>167.24</v>
    <v>166.88</v>
    <v>167.92</v>
    <v>166.38</v>
    <v>167.64</v>
    <v>168.78</v>
    <v>167.84</v>
    <v>166.62</v>
    <v>167.14</v>
    <v>165.66</v>
    <v>166.5</v>
    <v>165.83</v>
    <v>162.82</v>
    <v>164</v>
    <v>164</v>
    <v>163.54</v>
    <v>161.58000000000001</v>
    <v>161.80000000000001</v>
    <v>162.91</v>
    <v>163.51</v>
    <v>161.58000000000001</v>
    <v>161.4</v>
    <v>158.72999999999999</v>
    <v>160.68</v>
    <v>160.43</v>
    <v>161.85</v>
    <v>159.57</v>
    <v>156.69999999999999</v>
    <v>156.66999999999999</v>
    <v>160.99</v>
    <v>161.83000000000001</v>
    <v>162.41</v>
    <v>163.06</v>
    <v>163</v>
    <v>166.4</v>
    <v>167.14</v>
    <v>167.26</v>
    <v>168.3</v>
    <v>170.09</v>
    <v>171.06</v>
    <v>171.14</v>
    <v>172.99</v>
    <v>172.09</v>
  </a>
  <a r="1" c="137">
    <v t="i">0</v>
    <v t="i">1</v>
    <v t="i">2</v>
    <v t="i">3</v>
    <v t="i">4</v>
    <v t="i">7</v>
    <v t="i">8</v>
    <v t="i">9</v>
    <v t="i">10</v>
    <v t="i">11</v>
    <v t="i">14</v>
    <v t="i">15</v>
    <v t="i">16</v>
    <v t="i">17</v>
    <v t="i">18</v>
    <v t="i">21</v>
    <v t="i">22</v>
    <v t="i">23</v>
    <v t="i">24</v>
    <v t="i">25</v>
    <v t="i">29</v>
    <v t="i">30</v>
    <v t="i">31</v>
    <v t="i">32</v>
    <v t="i">35</v>
    <v t="i">36</v>
    <v t="i">37</v>
    <v t="i">38</v>
    <v t="i">39</v>
    <v t="i">42</v>
    <v t="i">43</v>
    <v t="i">44</v>
    <v t="i">45</v>
    <v t="i">46</v>
    <v t="i">49</v>
    <v t="i">50</v>
    <v t="i">51</v>
    <v t="i">52</v>
    <v t="i">53</v>
    <v t="i">56</v>
    <v t="i">57</v>
    <v t="i">58</v>
    <v t="i">59</v>
    <v t="i">60</v>
    <v t="i">63</v>
    <v t="i">64</v>
    <v t="i">65</v>
    <v t="i">66</v>
    <v t="i">67</v>
    <v t="i">70</v>
    <v t="i">72</v>
    <v t="i">73</v>
    <v t="i">74</v>
    <v t="i">77</v>
    <v t="i">78</v>
    <v t="i">79</v>
    <v t="i">80</v>
    <v t="i">81</v>
    <v t="i">84</v>
    <v t="i">85</v>
    <v t="i">86</v>
    <v t="i">87</v>
    <v t="i">88</v>
    <v t="i">91</v>
    <v t="i">92</v>
    <v t="i">93</v>
    <v t="i">94</v>
    <v t="i">95</v>
    <v t="i">98</v>
    <v t="i">99</v>
    <v t="i">100</v>
    <v t="i">101</v>
    <v t="i">102</v>
    <v t="i">106</v>
    <v t="i">107</v>
    <v t="i">108</v>
    <v t="i">109</v>
    <v t="i">112</v>
    <v t="i">113</v>
    <v t="i">114</v>
    <v t="i">115</v>
    <v t="i">116</v>
    <v t="i">119</v>
    <v t="i">120</v>
    <v t="i">121</v>
    <v t="i">122</v>
    <v t="i">123</v>
    <v t="i">126</v>
    <v t="i">127</v>
    <v t="i">128</v>
    <v t="i">129</v>
    <v t="i">130</v>
    <v t="i">134</v>
    <v t="i">135</v>
    <v t="i">136</v>
    <v t="i">137</v>
    <v t="i">140</v>
    <v t="i">141</v>
    <v t="i">142</v>
    <v t="i">143</v>
    <v t="i">144</v>
    <v t="i">147</v>
    <v t="i">148</v>
    <v t="i">149</v>
    <v t="i">150</v>
    <v t="i">151</v>
    <v t="i">154</v>
    <v t="i">155</v>
    <v t="i">156</v>
    <v t="i">157</v>
    <v t="i">158</v>
    <v t="i">161</v>
    <v t="i">162</v>
    <v t="i">163</v>
    <v t="i">164</v>
    <v t="i">165</v>
    <v t="i">168</v>
    <v t="i">169</v>
    <v t="i">170</v>
    <v t="i">171</v>
    <v t="i">172</v>
    <v t="i">176</v>
    <v t="i">177</v>
    <v t="i">178</v>
    <v t="i">179</v>
    <v t="i">182</v>
    <v t="i">183</v>
    <v t="i">184</v>
    <v t="i">185</v>
    <v t="i">186</v>
    <v t="i">189</v>
    <v t="i">190</v>
    <v t="i">191</v>
    <v t="i">192</v>
    <v t="i">193</v>
    <v t="i">196</v>
    <v t="i">197</v>
  </a>
  <a r="1" c="137">
    <v>32.58</v>
    <v>33.22</v>
    <v>34.51</v>
    <v>34.58</v>
    <v>34.32</v>
    <v>35.15</v>
    <v>35.35</v>
    <v>34.729999999999997</v>
    <v>35.18</v>
    <v>36.28</v>
    <v>38.28</v>
    <v>38.17</v>
    <v>38.49</v>
    <v>38.770000000000003</v>
    <v>38.770000000000003</v>
    <v>39.24</v>
    <v>39.92</v>
    <v>39.75</v>
    <v>40.119999999999997</v>
    <v>39.57</v>
    <v>39.07</v>
    <v>38.44</v>
    <v>38.24</v>
    <v>38.29</v>
    <v>37.99</v>
    <v>38.159999999999997</v>
    <v>38.71</v>
    <v>38.979999999999997</v>
    <v>38.74</v>
    <v>38.46</v>
    <v>38.81</v>
    <v>38.9</v>
    <v>38.729999999999997</v>
    <v>39.39</v>
    <v>38.54</v>
    <v>38.5</v>
    <v>38.159999999999997</v>
    <v>38.200000000000003</v>
    <v>37.76</v>
    <v>37.700000000000003</v>
    <v>37.909999999999997</v>
    <v>38.35</v>
    <v>38.49</v>
    <v>38.6</v>
    <v>38.01</v>
    <v>37.85</v>
    <v>37.67</v>
    <v>38.24</v>
    <v>38.04</v>
    <v>38.520000000000003</v>
    <v>38.840000000000003</v>
    <v>38.54</v>
    <v>38.49</v>
    <v>38.18</v>
    <v>38.22</v>
    <v>38.31</v>
    <v>38.35</v>
    <v>38.4</v>
    <v>38.5</v>
    <v>38.58</v>
    <v>38.33</v>
    <v>38.299999999999997</v>
    <v>38.64</v>
    <v>38.130000000000003</v>
    <v>38.19</v>
    <v>38.11</v>
    <v>38.24</v>
    <v>38.46</v>
    <v>38.89</v>
    <v>39.25</v>
    <v>39.19</v>
    <v>39.11</v>
    <v>38.43</v>
    <v>39.14</v>
    <v>38.36</v>
    <v>38.07</v>
    <v>38.14</v>
    <v>37.97</v>
    <v>38.340000000000003</v>
    <v>38.74</v>
    <v>38.630000000000003</v>
    <v>38.700000000000003</v>
    <v>38.61</v>
    <v>38.25</v>
    <v>38.19</v>
    <v>38.369999999999997</v>
    <v>38.6</v>
    <v>38.68</v>
    <v>38.56</v>
    <v>38.79</v>
    <v>38.869999999999997</v>
    <v>38.86</v>
    <v>38.69</v>
    <v>38.549999999999997</v>
    <v>38.67</v>
    <v>38.74</v>
    <v>38.86</v>
    <v>38.950000000000003</v>
    <v>38.880000000000003</v>
    <v>38.89</v>
    <v>38.83</v>
    <v>38.659999999999997</v>
    <v>38.56</v>
    <v>38.39</v>
    <v>38.4</v>
    <v>38.33</v>
    <v>37.79</v>
    <v>37.69</v>
    <v>37.89</v>
    <v>38.35</v>
    <v>38.5</v>
    <v>38.44</v>
    <v>38.5</v>
    <v>38.729999999999997</v>
    <v>38.299999999999997</v>
    <v>38.35</v>
    <v>38.9</v>
    <v>38.9</v>
    <v>38.909999999999997</v>
    <v>38.78</v>
    <v>38.74</v>
    <v>39.119999999999997</v>
    <v>39.68</v>
    <v>39.799999999999997</v>
    <v>39.76</v>
    <v>39.93</v>
    <v>39.69</v>
    <v>40.04</v>
    <v>40.61</v>
    <v>40.65</v>
    <v>41.03</v>
    <v>40.58</v>
    <v>40.409999999999997</v>
    <v>39.92</v>
    <v>39.96</v>
    <v>39.979999999999997</v>
    <v>39.840000000000003</v>
  </a>
  <a r="1" c="251">
    <v>115.2</v>
    <v>116.88</v>
    <v>117.56</v>
    <v>118.48</v>
    <v>118.73</v>
    <v>119.39</v>
    <v>120.23</v>
    <v>121.08</v>
    <v>121.09</v>
    <v>122</v>
    <v>122.46</v>
    <v>122.48</v>
    <v>123.7</v>
    <v>124.34</v>
    <v>124.98</v>
    <v>126.02</v>
    <v>126.21</v>
    <v>126.11</v>
    <v>127.64</v>
    <v>128.6</v>
    <v>128.32</v>
    <v>129.18</v>
    <v>128.29</v>
    <v>129.13</v>
    <v>128.87</v>
    <v>129.36000000000001</v>
    <v>134.29</v>
    <v>133.57</v>
    <v>135.07</v>
    <v>133.59</v>
    <v>134.26</v>
    <v>134.38999999999999</v>
    <v>133.5</v>
    <v>133.80000000000001</v>
    <v>134.88</v>
    <v>134.49</v>
    <v>134.5</v>
    <v>135</v>
    <v>135.41999999999999</v>
    <v>135.94</v>
    <v>135.54</v>
    <v>135.09</v>
    <v>134.97</v>
    <v>135.4</v>
    <v>136.74</v>
    <v>137.32</v>
    <v>137.58000000000001</v>
    <v>138.81</v>
    <v>139.63999999999999</v>
    <v>140.52000000000001</v>
    <v>140.88999999999999</v>
    <v>141.53</v>
    <v>141.41</v>
    <v>141.02000000000001</v>
    <v>140.18</v>
    <v>141.27000000000001</v>
    <v>141.22</v>
    <v>140.85</v>
    <v>141</v>
    <v>140.4</v>
    <v>141.53</v>
    <v>142.74</v>
    <v>143.36000000000001</v>
    <v>142.54</v>
    <v>142.80000000000001</v>
    <v>143.94</v>
    <v>144.63999999999999</v>
    <v>144.62</v>
    <v>144.44999999999999</v>
    <v>144.96</v>
    <v>144.06</v>
    <v>144.13</v>
    <v>143.4</v>
    <v>144.77000000000001</v>
    <v>145.16999999999999</v>
    <v>146</v>
    <v>146.69</v>
    <v>146.94</v>
    <v>148.09</v>
    <v>149.09</v>
    <v>149.93</v>
    <v>150.51</v>
    <v>150.63</v>
    <v>151.02000000000001</v>
    <v>150.27000000000001</v>
    <v>150.82</v>
    <v>151.55000000000001</v>
    <v>150.54</v>
    <v>150.41</v>
    <v>144.71</v>
    <v>143.41</v>
    <v>144.36000000000001</v>
    <v>144.72</v>
    <v>144.56</v>
    <v>144.41</v>
    <v>145.91</v>
    <v>145.88</v>
    <v>147.37</v>
    <v>148.31</v>
    <v>149.5</v>
    <v>149.44999999999999</v>
    <v>150.63999999999999</v>
    <v>150.37</v>
    <v>150.30000000000001</v>
    <v>150.16999999999999</v>
    <v>152</v>
    <v>151.94999999999999</v>
    <v>151.62</v>
    <v>152.53</v>
    <v>149.9</v>
    <v>150.63999999999999</v>
    <v>148.91999999999999</v>
    <v>147.83000000000001</v>
    <v>149.44</v>
    <v>149.27000000000001</v>
    <v>151.19</v>
    <v>151.13999999999999</v>
    <v>151.19999999999999</v>
    <v>149.34</v>
    <v>150.13</v>
    <v>149.77000000000001</v>
    <v>151.30000000000001</v>
    <v>151.94</v>
    <v>151.72</v>
    <v>150.99</v>
    <v>152.47999999999999</v>
    <v>152.75</v>
    <v>152.12</v>
    <v>152.83000000000001</v>
    <v>154.46</v>
    <v>155.69</v>
    <v>156.58000000000001</v>
    <v>155.01</v>
    <v>155.75</v>
    <v>156.69999999999999</v>
    <v>158.21</v>
    <v>157.57</v>
    <v>158.08000000000001</v>
    <v>156.88</v>
    <v>157.16</v>
    <v>158.49</v>
    <v>160.93</v>
    <v>163.03</v>
    <v>162.09</v>
    <v>161.80000000000001</v>
    <v>161.71</v>
    <v>161.54</v>
    <v>162.12</v>
    <v>161.72999999999999</v>
    <v>162.59</v>
    <v>163.65</v>
    <v>165.49</v>
    <v>167.74</v>
    <v>168.26</v>
    <v>168.95</v>
    <v>168.11</v>
    <v>171.12</v>
    <v>168.4</v>
    <v>172.3</v>
    <v>170.76</v>
    <v>171.86</v>
    <v>172.78</v>
    <v>173.13</v>
    <v>172.56</v>
    <v>172.62</v>
    <v>173.21</v>
    <v>174.08</v>
    <v>172.32</v>
    <v>173.57</v>
    <v>176.03</v>
    <v>175.72</v>
    <v>175.48</v>
    <v>176.1</v>
    <v>175.22</v>
    <v>173.68</v>
    <v>172.61</v>
    <v>173.25</v>
    <v>175.57</v>
    <v>174.95</v>
    <v>173.05</v>
    <v>172.08</v>
    <v>173.89</v>
    <v>172.65</v>
    <v>172.2</v>
    <v>170.15</v>
    <v>169.95</v>
    <v>169.39</v>
    <v>169.18</v>
    <v>167.11</v>
    <v>166.69</v>
    <v>165.94</v>
    <v>165.87</v>
    <v>165.27</v>
    <v>161.96</v>
    <v>162.19999999999999</v>
    <v>163.68</v>
    <v>162.25</v>
    <v>163.94</v>
    <v>164.5</v>
    <v>166.91</v>
    <v>168.12</v>
    <v>169.07</v>
    <v>172.26</v>
    <v>173.18</v>
    <v>173.41</v>
    <v>172.25</v>
    <v>174.78</v>
    <v>172.83</v>
    <v>176.5</v>
    <v>176.53</v>
    <v>178.7</v>
    <v>178.45</v>
    <v>177.46</v>
    <v>189.23</v>
    <v>192.41</v>
    <v>190.37</v>
    <v>190.8</v>
    <v>190.98</v>
    <v>192.01</v>
    <v>190.55</v>
    <v>186.26</v>
    <v>185.6</v>
    <v>183.94</v>
    <v>184.51</v>
    <v>181.33</v>
    <v>180.57</v>
    <v>182.83</v>
    <v>183.11</v>
    <v>181.81</v>
    <v>178.25</v>
    <v>175.12</v>
    <v>179.18</v>
    <v>179.48</v>
    <v>181.23</v>
    <v>179.06</v>
    <v>177.49</v>
    <v>175.28</v>
    <v>180.01</v>
    <v>184.31</v>
    <v>185.01</v>
    <v>186.56</v>
    <v>187.14</v>
    <v>190.27</v>
    <v>193.51</v>
    <v>195.72</v>
    <v>197.54</v>
    <v>199.05</v>
    <v>200.91</v>
    <v>199.08</v>
    <v>202.92</v>
    <v>203.68</v>
  </a>
  <a r="1" c="251">
    <v>141.72999999999999</v>
    <v>143.46</v>
    <v>142.26</v>
    <v>135.31</v>
    <v>133.38</v>
    <v>133.76</v>
    <v>134.31</v>
    <v>135.58000000000001</v>
    <v>133.55000000000001</v>
    <v>133.75</v>
    <v>131.99</v>
    <v>130.74</v>
    <v>131.91499999999999</v>
    <v>131.43</v>
    <v>130.44</v>
    <v>131.68</v>
    <v>130.31</v>
    <v>128.44999999999999</v>
    <v>131.5</v>
    <v>131.97999999999999</v>
    <v>131.79</v>
    <v>131.80000000000001</v>
    <v>130.15</v>
    <v>130.12</v>
    <v>129.34</v>
    <v>131.37</v>
    <v>130.66999999999999</v>
    <v>131.91999999999999</v>
    <v>131.44999999999999</v>
    <v>130.91</v>
    <v>131.85</v>
    <v>131.74</v>
    <v>131.11000000000001</v>
    <v>130.03</v>
    <v>129.96</v>
    <v>131.83000000000001</v>
    <v>129.9</v>
    <v>132.30000000000001</v>
    <v>130.85</v>
    <v>131.41</v>
    <v>129.29</v>
    <v>129.07</v>
    <v>129.07</v>
    <v>129.09</v>
    <v>131.05000000000001</v>
    <v>128.02000000000001</v>
    <v>128.22</v>
    <v>131.04</v>
    <v>132.04</v>
    <v>135.26</v>
    <v>136.47999999999999</v>
    <v>135.38</v>
    <v>134.44999999999999</v>
    <v>135.04</v>
    <v>134.47999999999999</v>
    <v>136.08000000000001</v>
    <v>135.26</v>
    <v>135.57</v>
    <v>133.81</v>
    <v>135.35</v>
    <v>145.44</v>
    <v>143.24</v>
    <v>141.69999999999999</v>
    <v>146.04</v>
    <v>145.66</v>
    <v>144.51</v>
    <v>143.44999999999999</v>
    <v>141.57</v>
    <v>143.88999999999999</v>
    <v>142.86000000000001</v>
    <v>137.91999999999999</v>
    <v>139.28</v>
    <v>139.56</v>
    <v>139.44999999999999</v>
    <v>140.80000000000001</v>
    <v>143.91999999999999</v>
    <v>145.21</v>
    <v>144.87</v>
    <v>146.87</v>
    <v>149.35</v>
    <v>148.62</v>
    <v>150.4</v>
    <v>149.55000000000001</v>
    <v>152.16</v>
    <v>150.72999999999999</v>
    <v>148.97999999999999</v>
    <v>149.63999999999999</v>
    <v>148.19999999999999</v>
    <v>147</v>
    <v>147.63999999999999</v>
    <v>146.97999999999999</v>
    <v>148.65</v>
    <v>150.28</v>
    <v>148.63999999999999</v>
    <v>146.88999999999999</v>
    <v>146.38999999999999</v>
    <v>141.71</v>
    <v>143.1</v>
    <v>142.66</v>
    <v>144.22999999999999</v>
    <v>143.53</v>
    <v>140.63999999999999</v>
    <v>140.03</v>
    <v>141.22999999999999</v>
    <v>140.72999999999999</v>
    <v>141.76</v>
    <v>141.03</v>
    <v>141.9</v>
    <v>142.16999999999999</v>
    <v>139.91999999999999</v>
    <v>140.44</v>
    <v>140.16999999999999</v>
    <v>140.44</v>
    <v>143.13999999999999</v>
    <v>142.31</v>
    <v>141.97999999999999</v>
    <v>139.69999999999999</v>
    <v>140.79</v>
    <v>138.84</v>
    <v>144.71</v>
    <v>150.08000000000001</v>
    <v>148.88999999999999</v>
    <v>151.54</v>
    <v>151.16</v>
    <v>152.66999999999999</v>
    <v>153.71</v>
    <v>153.63999999999999</v>
    <v>153.18</v>
    <v>153.03</v>
    <v>151.51</v>
    <v>151.55000000000001</v>
    <v>152.63</v>
    <v>150.12</v>
    <v>146.16</v>
    <v>147.55000000000001</v>
    <v>146.09</v>
    <v>143.6</v>
    <v>142.9</v>
    <v>142.86000000000001</v>
    <v>141.58000000000001</v>
    <v>142.94999999999999</v>
    <v>142.62</v>
    <v>145.08000000000001</v>
    <v>144.38999999999999</v>
    <v>145.02000000000001</v>
    <v>145.85</v>
    <v>147.83000000000001</v>
    <v>148.77000000000001</v>
    <v>147.11000000000001</v>
    <v>146.1</v>
    <v>146.33000000000001</v>
    <v>145.5</v>
    <v>146.11000000000001</v>
    <v>147.97999999999999</v>
    <v>148.74</v>
    <v>149.51</v>
    <v>148.61000000000001</v>
    <v>148.06</v>
    <v>146.91</v>
    <v>145.02000000000001</v>
    <v>145.63</v>
    <v>144.63999999999999</v>
    <v>149.69999999999999</v>
    <v>149.04</v>
    <v>150.65</v>
    <v>151.22</v>
    <v>150.37</v>
    <v>150.08000000000001</v>
    <v>149.37</v>
    <v>148.16</v>
    <v>147.05000000000001</v>
    <v>143.68</v>
    <v>143.74</v>
    <v>143.78</v>
    <v>144.24</v>
    <v>144.16</v>
    <v>143.52000000000001</v>
    <v>142.22999999999999</v>
    <v>139.91999999999999</v>
    <v>138.96</v>
    <v>137.01</v>
    <v>139.37</v>
    <v>139.91</v>
    <v>141.36000000000001</v>
    <v>143.47999999999999</v>
    <v>145.91999999999999</v>
    <v>146.57</v>
    <v>146.32</v>
    <v>147.66</v>
    <v>146.74</v>
    <v>144.4</v>
    <v>144.58000000000001</v>
    <v>145.87</v>
    <v>148.78</v>
    <v>148.5</v>
    <v>148.69</v>
    <v>153.63</v>
    <v>155.19999999999999</v>
    <v>162.85</v>
    <v>166.18</v>
    <v>167.53</v>
    <v>170.49</v>
    <v>166.47</v>
    <v>166.97</v>
    <v>169.15</v>
    <v>167.2</v>
    <v>165.94</v>
    <v>161.91999999999999</v>
    <v>164.39</v>
    <v>164.59</v>
    <v>164.94</v>
    <v>168.32</v>
    <v>169.54</v>
    <v>169.17</v>
    <v>167.58</v>
    <v>169.74</v>
    <v>167.28</v>
    <v>164.91</v>
    <v>163.92</v>
    <v>160.69999999999999</v>
    <v>159.43</v>
    <v>161.53</v>
    <v>160.78</v>
    <v>160.15</v>
    <v>158.86000000000001</v>
    <v>159.88</v>
    <v>157.72</v>
    <v>156.5</v>
    <v>153.54</v>
    <v>152.74</v>
    <v>150.04</v>
    <v>150.88</v>
    <v>150.59</v>
    <v>151.72999999999999</v>
    <v>150.83000000000001</v>
    <v>153.04</v>
    <v>156.82</v>
    <v>155.29</v>
    <v>154.65</v>
    <v>157.01</v>
    <v>156.72999999999999</v>
    <v>153.21</v>
    <v>154.80000000000001</v>
    <v>157.49</v>
    <v>157.06</v>
    <v>155.88</v>
    <v>155.72</v>
    <v>154.85</v>
    <v>158.38</v>
    <v>157.66999999999999</v>
    <v>156.99</v>
  </a>
  <a r="1" c="251">
    <v>67.069999999999993</v>
    <v>67.78</v>
    <v>67.91</v>
    <v>68.58</v>
    <v>68.86</v>
    <v>69.400000000000006</v>
    <v>69.5</v>
    <v>69.650000000000006</v>
    <v>69.290000000000006</v>
    <v>70.34</v>
    <v>70.3</v>
    <v>69.61</v>
    <v>70.63</v>
    <v>68.3</v>
    <v>68.84</v>
    <v>67.33</v>
    <v>67.66</v>
    <v>68.400000000000006</v>
    <v>69.680000000000007</v>
    <v>69.680000000000007</v>
    <v>69.650000000000006</v>
    <v>69.08</v>
    <v>68.709999999999994</v>
    <v>69.23</v>
    <v>69.33</v>
    <v>69.209999999999994</v>
    <v>69.05</v>
    <v>68.8</v>
    <v>69.540000000000006</v>
    <v>70.430000000000007</v>
    <v>70.36</v>
    <v>70.27</v>
    <v>70.2</v>
    <v>69.48</v>
    <v>67.66</v>
    <v>67.81</v>
    <v>67.72</v>
    <v>68.069999999999993</v>
    <v>67.349999999999994</v>
    <v>66.790000000000006</v>
    <v>65.92</v>
    <v>65.42</v>
    <v>65</v>
    <v>65.16</v>
    <v>64.83</v>
    <v>64.8</v>
    <v>64.52</v>
    <v>65.41</v>
    <v>67</v>
    <v>66.48</v>
    <v>65.19</v>
    <v>65.56</v>
    <v>65.430000000000007</v>
    <v>64.75</v>
    <v>64.66</v>
    <v>63.77</v>
    <v>64.61</v>
    <v>64.78</v>
    <v>66.31</v>
    <v>66.69</v>
    <v>66.239999999999995</v>
    <v>65.59</v>
    <v>65.52</v>
    <v>64.87</v>
    <v>65.239999999999995</v>
    <v>65.41</v>
    <v>64.900000000000006</v>
    <v>64.739999999999995</v>
    <v>64.34</v>
    <v>64.739999999999995</v>
    <v>65.02</v>
    <v>66.16</v>
    <v>66.760000000000005</v>
    <v>67.42</v>
    <v>68.42</v>
    <v>68.34</v>
    <v>67.97</v>
    <v>68.89</v>
    <v>69.05</v>
    <v>70.239999999999995</v>
    <v>70.77</v>
    <v>70.56</v>
    <v>69.67</v>
    <v>70.930000000000007</v>
    <v>71.95</v>
    <v>71.62</v>
    <v>70.8</v>
    <v>70.400000000000006</v>
    <v>70.5</v>
    <v>70.7</v>
    <v>71.03</v>
    <v>71.52</v>
    <v>71.28</v>
    <v>71.88</v>
    <v>71.069999999999993</v>
    <v>71.83</v>
    <v>71.650000000000006</v>
    <v>71.790000000000006</v>
    <v>72.02</v>
    <v>72.06</v>
    <v>72.45</v>
    <v>71.98</v>
    <v>71.64</v>
    <v>72.150000000000006</v>
    <v>72.650000000000006</v>
    <v>72.459999999999994</v>
    <v>73.13</v>
    <v>73.78</v>
    <v>74.430000000000007</v>
    <v>74.87</v>
    <v>74.430000000000007</v>
    <v>74.38</v>
    <v>75.67</v>
    <v>75.12</v>
    <v>75.75</v>
    <v>76.89</v>
    <v>75.959999999999994</v>
    <v>76.290000000000006</v>
    <v>75.67</v>
    <v>73.900000000000006</v>
    <v>73.930000000000007</v>
    <v>73.099999999999994</v>
    <v>72.680000000000007</v>
    <v>72.33</v>
    <v>72.099999999999994</v>
    <v>72.33</v>
    <v>72.010000000000005</v>
    <v>72.5</v>
    <v>71.319999999999993</v>
    <v>70.55</v>
    <v>70.680000000000007</v>
    <v>70.86</v>
    <v>70.260000000000005</v>
    <v>70.62</v>
    <v>70.38</v>
    <v>70.33</v>
    <v>70.16</v>
    <v>71.099999999999994</v>
    <v>71.27</v>
    <v>73.260000000000005</v>
    <v>74.77</v>
    <v>74.97</v>
    <v>76.72</v>
    <v>76.37</v>
    <v>77.45</v>
    <v>76.61</v>
    <v>75.709999999999994</v>
    <v>76.83</v>
    <v>76.5</v>
    <v>75.98</v>
    <v>75.89</v>
    <v>75.7</v>
    <v>75.8</v>
    <v>75.819999999999993</v>
    <v>75.5</v>
    <v>75.92</v>
    <v>75.239999999999995</v>
    <v>74.88</v>
    <v>76.48</v>
    <v>75.52</v>
    <v>75.739999999999995</v>
    <v>74.959999999999994</v>
    <v>74.17</v>
    <v>74.81</v>
    <v>75.27</v>
    <v>75.36</v>
    <v>73.83</v>
    <v>74.459999999999994</v>
    <v>74.52</v>
    <v>74.97</v>
    <v>75.48</v>
    <v>76.459999999999994</v>
    <v>76.31</v>
    <v>76.48</v>
    <v>76.94</v>
    <v>75.58</v>
    <v>76.849999999999994</v>
    <v>76.209999999999994</v>
    <v>74.7</v>
    <v>73.64</v>
    <v>74.17</v>
    <v>74.900000000000006</v>
    <v>74.709999999999994</v>
    <v>75.540000000000006</v>
    <v>75.89</v>
    <v>75.48</v>
    <v>76.41</v>
    <v>75.92</v>
    <v>75.08</v>
    <v>74.63</v>
    <v>75.83</v>
    <v>77.11</v>
    <v>77.239999999999995</v>
    <v>78.349999999999994</v>
    <v>78.78</v>
    <v>79.88</v>
    <v>79.84</v>
    <v>79.78</v>
    <v>80.97</v>
    <v>81.02</v>
    <v>81.98</v>
    <v>81.7</v>
    <v>81.680000000000007</v>
    <v>81.09</v>
    <v>82.67</v>
    <v>83.59</v>
    <v>86.52</v>
    <v>84.91</v>
    <v>84.48</v>
    <v>85.63</v>
    <v>85.34</v>
    <v>86.5</v>
    <v>86.9</v>
    <v>86.51</v>
    <v>86.23</v>
    <v>87.65</v>
    <v>89</v>
    <v>88.65</v>
    <v>87.6</v>
    <v>87.24</v>
    <v>86.59</v>
    <v>86.06</v>
    <v>86.55</v>
    <v>85.74</v>
    <v>86.09</v>
    <v>87.5</v>
    <v>87.92</v>
    <v>87.6</v>
    <v>87.6</v>
    <v>88.18</v>
    <v>86.9</v>
    <v>87.61</v>
    <v>88.24</v>
    <v>88.76</v>
    <v>88.23</v>
    <v>88.15</v>
    <v>87.76</v>
    <v>87.11</v>
    <v>86.43</v>
    <v>88.16</v>
    <v>87.17</v>
    <v>88.15</v>
    <v>88.55</v>
    <v>88.64</v>
    <v>88.39</v>
    <v>86.11</v>
    <v>84.69</v>
    <v>83.68</v>
    <v>82.77</v>
    <v>82.92</v>
    <v>83.03</v>
  </a>
  <a r="1" c="251">
    <v>62.26</v>
    <v>63.11</v>
    <v>63.3</v>
    <v>64.25</v>
    <v>64.010000000000005</v>
    <v>64.45</v>
    <v>64.52</v>
    <v>64.47</v>
    <v>64.41</v>
    <v>64.73</v>
    <v>64.34</v>
    <v>63.57</v>
    <v>64.739999999999995</v>
    <v>63.79</v>
    <v>64.3</v>
    <v>62.29</v>
    <v>62.12</v>
    <v>62.75</v>
    <v>62.71</v>
    <v>62.73</v>
    <v>63.5</v>
    <v>63.2</v>
    <v>62.66</v>
    <v>63.26</v>
    <v>63.48</v>
    <v>63.64</v>
    <v>63.07</v>
    <v>63.32</v>
    <v>63.87</v>
    <v>64.58</v>
    <v>64.61</v>
    <v>63.89</v>
    <v>64.02</v>
    <v>63.7</v>
    <v>62.7</v>
    <v>62.73</v>
    <v>62.69</v>
    <v>63.69</v>
    <v>63.37</v>
    <v>62.41</v>
    <v>62.75</v>
    <v>61.65</v>
    <v>61.48</v>
    <v>61.53</v>
    <v>61.68</v>
    <v>61.84</v>
    <v>61.04</v>
    <v>61.54</v>
    <v>61.4</v>
    <v>61.75</v>
    <v>60.85</v>
    <v>60.91</v>
    <v>60.89</v>
    <v>60.32</v>
    <v>60.55</v>
    <v>59.95</v>
    <v>60.8</v>
    <v>60.97</v>
    <v>61.92</v>
    <v>62.1</v>
    <v>61.91</v>
    <v>61.58</v>
    <v>61.88</v>
    <v>61.01</v>
    <v>61.5</v>
    <v>61.84</v>
    <v>62.03</v>
    <v>61.67</v>
    <v>61.33</v>
    <v>62.08</v>
    <v>62.25</v>
    <v>62.75</v>
    <v>63.73</v>
    <v>64.400000000000006</v>
    <v>64.62</v>
    <v>64.760000000000005</v>
    <v>64.69</v>
    <v>65.47</v>
    <v>65.23</v>
    <v>65.64</v>
    <v>66.55</v>
    <v>65.010000000000005</v>
    <v>64.44</v>
    <v>65.42</v>
    <v>66.62</v>
    <v>66.7</v>
    <v>66.33</v>
    <v>66.010000000000005</v>
    <v>65.680000000000007</v>
    <v>65.69</v>
    <v>65.78</v>
    <v>66.45</v>
    <v>66.56</v>
    <v>66.680000000000007</v>
    <v>66.58</v>
    <v>66.87</v>
    <v>66.75</v>
    <v>66.98</v>
    <v>67.349999999999994</v>
    <v>67.5</v>
    <v>67.98</v>
    <v>67.58</v>
    <v>67.25</v>
    <v>67.61</v>
    <v>67.78</v>
    <v>68.36</v>
    <v>68</v>
    <v>68.64</v>
    <v>69.48</v>
    <v>69.11</v>
    <v>69.09</v>
    <v>69.23</v>
    <v>70.209999999999994</v>
    <v>69.16</v>
    <v>69.39</v>
    <v>69.88</v>
    <v>69.430000000000007</v>
    <v>69.010000000000005</v>
    <v>68.459999999999994</v>
    <v>67.319999999999993</v>
    <v>66.77</v>
    <v>66.75</v>
    <v>66.89</v>
    <v>66.38</v>
    <v>65.98</v>
    <v>66.239999999999995</v>
    <v>66.290000000000006</v>
    <v>66.73</v>
    <v>65.98</v>
    <v>65.650000000000006</v>
    <v>66.180000000000007</v>
    <v>65.650000000000006</v>
    <v>65.12</v>
    <v>65.709999999999994</v>
    <v>65.400000000000006</v>
    <v>65.52</v>
    <v>65.400000000000006</v>
    <v>65.78</v>
    <v>66.239999999999995</v>
    <v>66.94</v>
    <v>67.150000000000006</v>
    <v>67.680000000000007</v>
    <v>68.25</v>
    <v>67.760000000000005</v>
    <v>67.16</v>
    <v>67.11</v>
    <v>67.510000000000005</v>
    <v>68.39</v>
    <v>68.13</v>
    <v>67.599999999999994</v>
    <v>66.78</v>
    <v>67.08</v>
    <v>67.47</v>
    <v>67.42</v>
    <v>67.930000000000007</v>
    <v>68.44</v>
    <v>67.290000000000006</v>
    <v>66.63</v>
    <v>67.260000000000005</v>
    <v>66.58</v>
    <v>66.81</v>
    <v>65.87</v>
    <v>65.13</v>
    <v>65.239999999999995</v>
    <v>65.459999999999994</v>
    <v>65.66</v>
    <v>64.23</v>
    <v>64.66</v>
    <v>64.430000000000007</v>
    <v>64.3</v>
    <v>64.400000000000006</v>
    <v>64.989999999999995</v>
    <v>64.88</v>
    <v>65.33</v>
    <v>65.78</v>
    <v>65.680000000000007</v>
    <v>66.06</v>
    <v>64.069999999999993</v>
    <v>63.15</v>
    <v>62.71</v>
    <v>62.84</v>
    <v>63.54</v>
    <v>63.71</v>
    <v>64.33</v>
    <v>64.66</v>
    <v>65.08</v>
    <v>66.17</v>
    <v>65.95</v>
    <v>65.180000000000007</v>
    <v>65.39</v>
    <v>65.459999999999994</v>
    <v>66.05</v>
    <v>65.64</v>
    <v>65.19</v>
    <v>65.8</v>
    <v>66.430000000000007</v>
    <v>66.47</v>
    <v>65.989999999999995</v>
    <v>67.27</v>
    <v>68.540000000000006</v>
    <v>69.14</v>
    <v>68.739999999999995</v>
    <v>68.62</v>
    <v>69.25</v>
    <v>69.95</v>
    <v>70.62</v>
    <v>73.3</v>
    <v>70.209999999999994</v>
    <v>69.709999999999994</v>
    <v>70.650000000000006</v>
    <v>70.55</v>
    <v>71.75</v>
    <v>71.8</v>
    <v>71.69</v>
    <v>71.459999999999994</v>
    <v>72.47</v>
    <v>73.72</v>
    <v>74.3</v>
    <v>73.89</v>
    <v>73.63</v>
    <v>73.47</v>
    <v>73.3</v>
    <v>72.959999999999994</v>
    <v>72.86</v>
    <v>73.12</v>
    <v>74.28</v>
    <v>74.64</v>
    <v>73.98</v>
    <v>73.08</v>
    <v>74.180000000000007</v>
    <v>73.319999999999993</v>
    <v>74.349999999999994</v>
    <v>74.91</v>
    <v>75.290000000000006</v>
    <v>75.489999999999995</v>
    <v>75.83</v>
    <v>75.67</v>
    <v>75.41</v>
    <v>74.540000000000006</v>
    <v>75.400000000000006</v>
    <v>74.78</v>
    <v>75.56</v>
    <v>75.430000000000007</v>
    <v>75.39</v>
    <v>75.17</v>
    <v>73.75</v>
    <v>73</v>
    <v>72.3</v>
    <v>71.989999999999995</v>
    <v>72.09</v>
    <v>71.319999999999993</v>
  </a>
  <a r="1" c="251">
    <v>52.17</v>
    <v>52.21</v>
    <v>52.78</v>
    <v>53.11</v>
    <v>52.87</v>
    <v>52.9</v>
    <v>53</v>
    <v>53.61</v>
    <v>52.38</v>
    <v>51.86</v>
    <v>52.36</v>
    <v>52.52</v>
    <v>51.14</v>
    <v>51.85</v>
    <v>52.21</v>
    <v>51.26</v>
    <v>50.81</v>
    <v>50.1</v>
    <v>51.13</v>
    <v>51.29</v>
    <v>51.73</v>
    <v>52.36</v>
    <v>51.53</v>
    <v>51.46</v>
    <v>51.96</v>
    <v>51.91</v>
    <v>52.15</v>
    <v>52.3</v>
    <v>52.09</v>
    <v>51.98</v>
    <v>51.32</v>
    <v>51.32</v>
    <v>50.95</v>
    <v>51.34</v>
    <v>51.54</v>
    <v>50.79</v>
    <v>50.47</v>
    <v>50.82</v>
    <v>51.19</v>
    <v>51.71</v>
    <v>50.06</v>
    <v>49.99</v>
    <v>49.95</v>
    <v>50.54</v>
    <v>50.76</v>
    <v>51.08</v>
    <v>51.52</v>
    <v>51.34</v>
    <v>51.8</v>
    <v>51.79</v>
    <v>49.99</v>
    <v>50.11</v>
    <v>50.21</v>
    <v>51.79</v>
    <v>51.19</v>
    <v>51.46</v>
    <v>52.1</v>
    <v>52.39</v>
    <v>52.19</v>
    <v>51.83</v>
    <v>51.69</v>
    <v>51.84</v>
    <v>52.01</v>
    <v>52.06</v>
    <v>52.36</v>
    <v>52.6</v>
    <v>52.8</v>
    <v>52.44</v>
    <v>52.03</v>
    <v>51.75</v>
    <v>52.02</v>
    <v>52.03</v>
    <v>52.06</v>
    <v>52.26</v>
    <v>54.18</v>
    <v>53</v>
    <v>53.28</v>
    <v>53.04</v>
    <v>53.44</v>
    <v>52.79</v>
    <v>53.6</v>
    <v>54.33</v>
    <v>54.49</v>
    <v>54.54</v>
    <v>55.02</v>
    <v>55.12</v>
    <v>55.23</v>
    <v>54.95</v>
    <v>54.63</v>
    <v>54.91</v>
    <v>55</v>
    <v>54.4</v>
    <v>54.34</v>
    <v>54.55</v>
    <v>54.69</v>
    <v>54.18</v>
    <v>54.21</v>
    <v>54.71</v>
    <v>54.63</v>
    <v>55.14</v>
    <v>54.85</v>
    <v>54.11</v>
    <v>52.71</v>
    <v>53.28</v>
    <v>53.2</v>
    <v>53.84</v>
    <v>54.58</v>
    <v>54.66</v>
    <v>54.02</v>
    <v>54.22</v>
    <v>55.11</v>
    <v>56.01</v>
    <v>56.48</v>
    <v>56.32</v>
    <v>56.5</v>
    <v>56.71</v>
    <v>57.4</v>
    <v>57.5</v>
    <v>58.27</v>
    <v>58.08</v>
    <v>58.34</v>
    <v>58.73</v>
    <v>58.2</v>
    <v>58.78</v>
    <v>57.78</v>
    <v>57.88</v>
    <v>58.19</v>
    <v>58.68</v>
    <v>58.96</v>
    <v>59.25</v>
    <v>59.22</v>
    <v>59.34</v>
    <v>58.83</v>
    <v>59.46</v>
    <v>59.46</v>
    <v>59.54</v>
    <v>59.53</v>
    <v>59.32</v>
    <v>60.88</v>
    <v>59.9</v>
    <v>60.03</v>
    <v>60.91</v>
    <v>62.28</v>
    <v>62.64</v>
    <v>62.55</v>
    <v>62.72</v>
    <v>62.88</v>
    <v>62.96</v>
    <v>63.01</v>
    <v>64.14</v>
    <v>64.53</v>
    <v>64.56</v>
    <v>64.73</v>
    <v>65.069999999999993</v>
    <v>64.790000000000006</v>
    <v>64.53</v>
    <v>63.74</v>
    <v>62.94</v>
    <v>63.13</v>
    <v>63.35</v>
    <v>63.76</v>
    <v>64.540000000000006</v>
    <v>65.260000000000005</v>
    <v>66.069999999999993</v>
    <v>66.8</v>
    <v>67.349999999999994</v>
    <v>67.5</v>
    <v>66.569999999999993</v>
    <v>67.05</v>
    <v>66.900000000000006</v>
    <v>67.33</v>
    <v>67.47</v>
    <v>67.430000000000007</v>
    <v>67.489999999999995</v>
    <v>67.86</v>
    <v>67.69</v>
    <v>67.099999999999994</v>
    <v>67.39</v>
    <v>68.09</v>
    <v>68.23</v>
    <v>67.42</v>
    <v>67.260000000000005</v>
    <v>67.209999999999994</v>
    <v>66.22</v>
    <v>66.61</v>
    <v>66.86</v>
    <v>66.75</v>
    <v>66.180000000000007</v>
    <v>64.87</v>
    <v>64.75</v>
    <v>64.58</v>
    <v>64.52</v>
    <v>64.39</v>
    <v>64.099999999999994</v>
    <v>63.72</v>
    <v>63.46</v>
    <v>63.74</v>
    <v>64.11</v>
    <v>63.15</v>
    <v>62.97</v>
    <v>62.8</v>
    <v>61.53</v>
    <v>59.81</v>
    <v>60.23</v>
    <v>60.38</v>
    <v>61.04</v>
    <v>61.78</v>
    <v>63.15</v>
    <v>63.32</v>
    <v>63.76</v>
    <v>63.84</v>
    <v>64.89</v>
    <v>63.93</v>
    <v>64.56</v>
    <v>65.989999999999995</v>
    <v>65.900000000000006</v>
    <v>65.5</v>
    <v>63.35</v>
    <v>63.02</v>
    <v>63.25</v>
    <v>62.04</v>
    <v>61.73</v>
    <v>62.55</v>
    <v>62.51</v>
    <v>62.38</v>
    <v>63.26</v>
    <v>64</v>
    <v>64.180000000000007</v>
    <v>64.56</v>
    <v>62.82</v>
    <v>62.95</v>
    <v>63.21</v>
    <v>63.78</v>
    <v>64.739999999999995</v>
    <v>64.27</v>
    <v>63.47</v>
    <v>63.84</v>
    <v>65.150000000000006</v>
    <v>65.569999999999993</v>
    <v>66</v>
    <v>66.040000000000006</v>
    <v>66.06</v>
    <v>66.790000000000006</v>
    <v>67.56</v>
    <v>67.819999999999993</v>
    <v>68.8</v>
    <v>69.27</v>
    <v>70.599999999999994</v>
    <v>69.569999999999993</v>
    <v>70.53</v>
    <v>70.56</v>
  </a>
  <a r="1" c="251">
    <v>10.19</v>
    <v>10.45</v>
    <v>10.23</v>
    <v>10.31</v>
    <v>10.18</v>
    <v>10.23</v>
    <v>10.28</v>
    <v>10.15</v>
    <v>10.33</v>
    <v>10.7</v>
    <v>10.63</v>
    <v>10.67</v>
    <v>10.76</v>
    <v>10.57</v>
    <v>10.74</v>
    <v>10.71</v>
    <v>10.45</v>
    <v>10.4</v>
    <v>10.67</v>
    <v>10.8</v>
    <v>10.88</v>
    <v>11.02</v>
    <v>11.1</v>
    <v>11.06</v>
    <v>11.14</v>
    <v>11.23</v>
    <v>11.25</v>
    <v>11.33</v>
    <v>11.35</v>
    <v>11.41</v>
    <v>11.05</v>
    <v>10.93</v>
    <v>11.12</v>
    <v>11.07</v>
    <v>10.88</v>
    <v>10.89</v>
    <v>10.91</v>
    <v>11.01</v>
    <v>10.87</v>
    <v>10.72</v>
    <v>10.5</v>
    <v>10.45</v>
    <v>10.41</v>
    <v>10.49</v>
    <v>10.49</v>
    <v>10.5</v>
    <v>10.42</v>
    <v>10.38</v>
    <v>10.37</v>
    <v>10.35</v>
    <v>10.26</v>
    <v>10.25</v>
    <v>10.15</v>
    <v>10.050000000000001</v>
    <v>10.050000000000001</v>
    <v>10.11</v>
    <v>9.9600000000000009</v>
    <v>9.9</v>
    <v>9.73</v>
    <v>9.69</v>
    <v>9.59</v>
    <v>9.6</v>
    <v>9.5299999999999994</v>
    <v>9.65</v>
    <v>9.75</v>
    <v>9.85</v>
    <v>9.8800000000000008</v>
    <v>9.6999999999999993</v>
    <v>9.81</v>
    <v>9.64</v>
    <v>9.43</v>
    <v>9.66</v>
    <v>9.51</v>
    <v>9.2899999999999991</v>
    <v>9.25</v>
    <v>9.4600000000000009</v>
    <v>9.5399999999999991</v>
    <v>9.4700000000000006</v>
    <v>9.58</v>
    <v>9.69</v>
    <v>9.6999999999999993</v>
    <v>9.65</v>
    <v>9.68</v>
    <v>9.74</v>
    <v>9.91</v>
    <v>9.81</v>
    <v>9.82</v>
    <v>9.68</v>
    <v>9.6300000000000008</v>
    <v>9.7100000000000009</v>
    <v>9.69</v>
    <v>9.8000000000000007</v>
    <v>9.76</v>
    <v>9.89</v>
    <v>9.84</v>
    <v>9.8000000000000007</v>
    <v>9.74</v>
    <v>9.75</v>
    <v>9.83</v>
    <v>9.8699999999999992</v>
    <v>9.81</v>
    <v>9.68</v>
    <v>9.2799999999999994</v>
    <v>9.4</v>
    <v>9.24</v>
    <v>9.16</v>
    <v>9</v>
    <v>8.93</v>
    <v>8.8699999999999992</v>
    <v>8.7200000000000006</v>
    <v>8.82</v>
    <v>8.84</v>
    <v>8.9700000000000006</v>
    <v>9.01</v>
    <v>8.8800000000000008</v>
    <v>8.9499999999999993</v>
    <v>8.7899999999999991</v>
    <v>8.82</v>
    <v>9.0399999999999991</v>
    <v>9.02</v>
    <v>9</v>
    <v>9.08</v>
    <v>9.17</v>
    <v>9.19</v>
    <v>9.1999999999999993</v>
    <v>9.48</v>
    <v>9.41</v>
    <v>9.33</v>
    <v>9.4499999999999993</v>
    <v>9.3699999999999992</v>
    <v>9.25</v>
    <v>9.1999999999999993</v>
    <v>9.1199999999999992</v>
    <v>9.0500000000000007</v>
    <v>9.18</v>
    <v>9.27</v>
    <v>9.3800000000000008</v>
    <v>9.32</v>
    <v>9.31</v>
    <v>9.41</v>
    <v>9.4600000000000009</v>
    <v>9.57</v>
    <v>9.85</v>
    <v>9.8800000000000008</v>
    <v>9.9</v>
    <v>9.59</v>
    <v>9.68</v>
    <v>9.61</v>
    <v>9.51</v>
    <v>9.6</v>
    <v>9.8699999999999992</v>
    <v>9.67</v>
    <v>9.82</v>
    <v>9.76</v>
    <v>9.7799999999999994</v>
    <v>9.8000000000000007</v>
    <v>9.67</v>
    <v>9.51</v>
    <v>9.5299999999999994</v>
    <v>9.52</v>
    <v>9.4</v>
    <v>9.31</v>
    <v>9.4600000000000009</v>
    <v>9.59</v>
    <v>9.52</v>
    <v>9.83</v>
    <v>9.85</v>
    <v>9.82</v>
    <v>9.84</v>
    <v>9.9</v>
    <v>9.9700000000000006</v>
    <v>10.11</v>
    <v>10.1</v>
    <v>10.130000000000001</v>
    <v>10.09</v>
    <v>10.08</v>
    <v>10.11</v>
    <v>10</v>
    <v>10.11</v>
    <v>10.27</v>
    <v>10.050000000000001</v>
    <v>10.039999999999999</v>
    <v>9.91</v>
    <v>9.7899999999999991</v>
    <v>9.82</v>
    <v>9.9499999999999993</v>
    <v>9.77</v>
    <v>9.83</v>
    <v>10.130000000000001</v>
    <v>10.24</v>
    <v>10.33</v>
    <v>10.46</v>
    <v>10.37</v>
    <v>10.42</v>
    <v>10.31</v>
    <v>10.3</v>
    <v>10.47</v>
    <v>10.56</v>
    <v>10.49</v>
    <v>10.78</v>
    <v>10.86</v>
    <v>10.98</v>
    <v>10.88</v>
    <v>11.04</v>
    <v>11.16</v>
    <v>11.16</v>
    <v>11.2</v>
    <v>11.23</v>
    <v>11.22</v>
    <v>11.11</v>
    <v>11.27</v>
    <v>11.08</v>
    <v>11.08</v>
    <v>10.44</v>
    <v>10.76</v>
    <v>11.07</v>
    <v>10.87</v>
    <v>10.61</v>
    <v>10.47</v>
    <v>10.33</v>
    <v>10.28</v>
    <v>10.26</v>
    <v>10.17</v>
    <v>10</v>
    <v>10.07</v>
    <v>10.029999999999999</v>
    <v>10.46</v>
    <v>10.6</v>
    <v>10.31</v>
    <v>10.23</v>
    <v>10.07</v>
    <v>9.93</v>
    <v>9.6999999999999993</v>
    <v>9.74</v>
    <v>9.75</v>
    <v>9.8000000000000007</v>
    <v>10</v>
    <v>10.01</v>
    <v>9.9700000000000006</v>
    <v>9.93</v>
    <v>9.92</v>
    <v>9.8800000000000008</v>
    <v>9.9700000000000006</v>
    <v>10.01</v>
    <v>9.84</v>
    <v>9.83</v>
    <v>9.6999999999999993</v>
    <v>9.66</v>
    <v>9.59</v>
    <v>9.75</v>
    <v>9.68</v>
  </a>
</arrayData>
</file>

<file path=xl/richData/rdrichvalue.xml><?xml version="1.0" encoding="utf-8"?>
<rvData xmlns="http://schemas.microsoft.com/office/spreadsheetml/2017/richdata" count="2312">
  <rv s="0">
    <v>https://www.bing.com/financeapi/forcetrigger?t=ab1b8m&amp;q=XTSE%3aSU&amp;form=skydnc</v>
    <v>Learn more on Bing</v>
  </rv>
  <rv s="1">
    <v>fr-FR</v>
    <v>ab1b8m</v>
    <v>268435456</v>
    <v>1</v>
    <v>Avec Refinitiv</v>
    <v>0</v>
    <v>1</v>
    <v>SUNCOR ENERGY INC. (XTSE:SU)</v>
    <v>3</v>
    <v>4</v>
    <v>Finance</v>
    <v>5</v>
    <v>XTSE</v>
    <v>1201267000</v>
    <v>84.13</v>
    <v>46.34</v>
    <v>0.82730000000000004</v>
    <v>101753880030</v>
    <v>Toronto Stock Exchange</v>
    <v>0</v>
    <v>0</v>
    <v>84.11</v>
    <v>SU</v>
    <v>46133.833333333336</v>
    <v>Suncor énergie Inc. est une entreprise énergétique intégrée établie au Canada. Les secteurs de la Société comprennent les sables bitumineux, l'exploration et la production (E&amp;P) et le raffinage et le marketing. Ses activités comprennent la mise en valeur, la production et la valorisation des sables bitumineux ; la production de pétrole extracôtier ; le raffinage du pétrole au Canada et aux États-Unis ; et les réseaux de distribution de détail et de gros de Petro-Canada (y compris la route électrique du Canada, un réseau de stations de véhicules électriques à recharge rapide d'un océan à l'autre). La Société développe des ressources pétrolières tout en faisant progresser la transition vers un avenir à faibles émissions grâce à des investissements dans de l'électricité à faible intensité d'émissions, des carburants renouvelables comme matières premières et des projets ciblant l'intensité des émissions. La Société exerce également des activités de négoce d'énergie axées principalement sur la commercialisation et le négoce de pétrole brut, de gaz naturel, de sous-produits, de produits raffinés et d'électricité. Elle est également propriétaire à part entière du projet Fort Hills, situé dans la région de l'Athabasca, en Alberta.</v>
    <v>CAD</v>
    <v>15010</v>
    <v>XTSE</v>
    <v>85.81</v>
    <v>94.34</v>
    <v>Oil &amp; Gas</v>
    <v>0</v>
    <v>1.9259999999999999E-2</v>
    <v>1.62</v>
    <v>SUNCOR ENERGY INC.</v>
    <v>SUNCOR ENERGY INC.</v>
    <v>84.38</v>
    <v>17.669499999999999</v>
    <v>85.73</v>
    <v>85.73</v>
    <v>P.O. Box 2844, 150 - 6Th Avenue S.W., CALGARY, AB, T2P 3E3 CA</v>
    <v>Bourse</v>
    <v>SUNCOR ENERGY INC. (XTSE:SU)</v>
    <v>4957336</v>
    <v>4308730</v>
  </rv>
  <rv s="2">
    <v>1</v>
  </rv>
  <rv s="0">
    <v>https://www.bing.com/financeapi/forcetrigger?t=ab1nyc&amp;q=XTSE%3aVCE&amp;form=skydnc</v>
    <v>Learn more on Bing</v>
  </rv>
  <rv s="3">
    <v>fr-FR</v>
    <v>ab1nyc</v>
    <v>268435456</v>
    <v>1</v>
    <v>Avec Refinitiv</v>
    <v>6</v>
    <v>7</v>
    <v>Vanguard FTSE Canada Index ETF (XTSE:VCE)</v>
    <v>8</v>
    <v>9</v>
    <v>Finance</v>
    <v>10</v>
    <v>XTSE</v>
    <v>72.430000000000007</v>
    <v>52.6</v>
    <v>0.9607</v>
    <v>3198643500.3000002</v>
    <v>Toronto Stock Exchange</v>
    <v>73.459999999999994</v>
    <v>VCE</v>
    <v>46133.831284722219</v>
    <v>CAD</v>
    <v>73.599999999999994</v>
    <v>73.599999999999994</v>
    <v>3</v>
    <v>-1.4020999999999999E-2</v>
    <v>-1.03</v>
    <v>Vanguard FTSE Canada Index ETF</v>
    <v>73.56</v>
    <v>72.430000000000007</v>
    <v>5.9999999999999995E-4</v>
    <v>Fonds coté en bourse</v>
    <v>Vanguard FTSE Canada Index ETF (XTSE:VCE)</v>
    <v>43011</v>
  </rv>
  <rv s="2">
    <v>4</v>
  </rv>
  <rv s="0">
    <v>https://www.bing.com/financeapi/forcetrigger?t=ab6drw&amp;q=TSX-Toronto+Stock+Exchange+300+Composite+Index&amp;form=skydnc</v>
    <v>Learn more on Bing</v>
  </rv>
  <rv s="4">
    <v>fr-FR</v>
    <v>ab6drw</v>
    <v>268435456</v>
    <v>1</v>
    <v>Avec Refinitiv</v>
    <v>11</v>
    <v>12</v>
    <v>S&amp;P/TSX Composite Index</v>
    <v>8</v>
    <v>13</v>
    <v>Finance</v>
    <v>14</v>
    <v>33793.019999999997</v>
    <v>23820.49</v>
    <v>34360.03</v>
    <v>TSX</v>
    <v>34401.760000000002</v>
    <v>34544.46</v>
    <v>6</v>
    <v>-1.6056999999999998E-2</v>
    <v>-551.73</v>
    <v>S&amp;P/TSX Composite Index</v>
    <v>34334.25</v>
    <v>CA</v>
    <v>33808.300000000003</v>
    <v>Indice</v>
    <v>S&amp;P/TSX Composite Index</v>
  </rv>
  <rv s="2">
    <v>7</v>
  </rv>
  <rv s="0">
    <v>https://www.bing.com/financeapi/forcetrigger?t=a33k6h&amp;q=S%26P+500+INDEX&amp;form=skydnc</v>
    <v>Learn more on Bing</v>
  </rv>
  <rv s="4">
    <v>fr-FR</v>
    <v>a33k6h</v>
    <v>268435456</v>
    <v>1</v>
    <v>Avec Refinitiv</v>
    <v>11</v>
    <v>12</v>
    <v>S&amp;P 500 INDEX</v>
    <v>8</v>
    <v>15</v>
    <v>Finance</v>
    <v>14</v>
    <v>7050.2</v>
    <v>5207.67</v>
    <v>7109.14</v>
    <v>INX</v>
    <v>7137.27</v>
    <v>7147.52</v>
    <v>9</v>
    <v>-6.3480000000000003E-3</v>
    <v>-45.13</v>
    <v>S&amp;P 500 INDEX</v>
    <v>7122.64</v>
    <v>DE</v>
    <v>7064.01</v>
    <v>Indice</v>
    <v>S&amp;P 500 INDEX</v>
  </rv>
  <rv s="2">
    <v>10</v>
  </rv>
  <rv s="5">
    <fb>24008.86</fb>
    <v>16</v>
  </rv>
  <rv s="5">
    <fb>24305.98</fb>
    <v>16</v>
  </rv>
  <rv s="5">
    <fb>24472.68</fb>
    <v>16</v>
  </rv>
  <rv s="5">
    <fb>24727.53</fb>
    <v>16</v>
  </rv>
  <rv s="5">
    <fb>24710.51</fb>
    <v>16</v>
  </rv>
  <rv s="5">
    <fb>24798.59</fb>
    <v>16</v>
  </rv>
  <rv s="5">
    <fb>24874.48</fb>
    <v>16</v>
  </rv>
  <rv s="5">
    <fb>24841.68</fb>
    <v>16</v>
  </rv>
  <rv s="5">
    <fb>24795.55</fb>
    <v>16</v>
  </rv>
  <rv s="5">
    <fb>25031.51</fb>
    <v>16</v>
  </rv>
  <rv s="5">
    <fb>24953.52</fb>
    <v>16</v>
  </rv>
  <rv s="5">
    <fb>24974.720000000001</fb>
    <v>16</v>
  </rv>
  <rv s="5">
    <fb>25161.18</fb>
    <v>16</v>
  </rv>
  <rv s="5">
    <fb>25254.06</fb>
    <v>16</v>
  </rv>
  <rv s="5">
    <fb>25357.74</fb>
    <v>16</v>
  </rv>
  <rv s="5">
    <fb>25532.18</fb>
    <v>16</v>
  </rv>
  <rv s="5">
    <fb>25616.86</fb>
    <v>16</v>
  </rv>
  <rv s="5">
    <fb>25692.45</fb>
    <v>16</v>
  </rv>
  <rv s="5">
    <fb>25897.48</fb>
    <v>16</v>
  </rv>
  <rv s="5">
    <fb>25971.93</fb>
    <v>16</v>
  </rv>
  <rv s="5">
    <fb>26055.63</fb>
    <v>16</v>
  </rv>
  <rv s="5">
    <fb>25839.17</fb>
    <v>16</v>
  </rv>
  <rv s="5">
    <fb>25854.01</fb>
    <v>16</v>
  </rv>
  <rv s="5">
    <fb>25879.95</fb>
    <v>16</v>
  </rv>
  <rv s="5">
    <fb>26073.13</fb>
    <v>16</v>
  </rv>
  <rv s="5">
    <fb>26269</fb>
    <v>16</v>
  </rv>
  <rv s="5">
    <fb>26283.45</fb>
    <v>16</v>
  </rv>
  <rv s="5">
    <fb>26210.560000000001</fb>
    <v>16</v>
  </rv>
  <rv s="5">
    <fb>26175.05</fb>
    <v>16</v>
  </rv>
  <rv s="5">
    <fb>26388.959999999999</fb>
    <v>16</v>
  </rv>
  <rv s="5">
    <fb>26426.639999999999</fb>
    <v>16</v>
  </rv>
  <rv s="5">
    <fb>26329</fb>
    <v>16</v>
  </rv>
  <rv s="5">
    <fb>26342.29</fb>
    <v>16</v>
  </rv>
  <rv s="5">
    <fb>26429.13</fb>
    <v>16</v>
  </rv>
  <rv s="5">
    <fb>26375.8</fb>
    <v>16</v>
  </rv>
  <rv s="5">
    <fb>26426.31</fb>
    <v>16</v>
  </rv>
  <rv s="5">
    <fb>26524.16</fb>
    <v>16</v>
  </rv>
  <rv s="5">
    <fb>26615.75</fb>
    <v>16</v>
  </rv>
  <rv s="5">
    <fb>26504.35</fb>
    <v>16</v>
  </rv>
  <rv s="5">
    <fb>26568.61</fb>
    <v>16</v>
  </rv>
  <rv s="5">
    <fb>26541.39</fb>
    <v>16</v>
  </rv>
  <rv s="5">
    <fb>26559.85</fb>
    <v>16</v>
  </rv>
  <rv s="5">
    <fb>26506</fb>
    <v>16</v>
  </rv>
  <rv s="5">
    <fb>26497.57</fb>
    <v>16</v>
  </rv>
  <rv s="5">
    <fb>26609.360000000001</fb>
    <v>16</v>
  </rv>
  <rv s="5">
    <fb>26718.62</fb>
    <v>16</v>
  </rv>
  <rv s="5">
    <fb>26566.32</fb>
    <v>16</v>
  </rv>
  <rv s="5">
    <fb>26751.95</fb>
    <v>16</v>
  </rv>
  <rv s="5">
    <fb>26692.32</fb>
    <v>16</v>
  </rv>
  <rv s="5">
    <fb>26857.11</fb>
    <v>16</v>
  </rv>
  <rv s="5">
    <fb>26869.66</fb>
    <v>16</v>
  </rv>
  <rv s="5">
    <fb>27034.26</fb>
    <v>16</v>
  </rv>
  <rv s="5">
    <fb>27036.16</fb>
    <v>16</v>
  </rv>
  <rv s="5">
    <fb>27020.28</fb>
    <v>16</v>
  </rv>
  <rv s="5">
    <fb>26903.57</fb>
    <v>16</v>
  </rv>
  <rv s="5">
    <fb>26972.32</fb>
    <v>16</v>
  </rv>
  <rv s="5">
    <fb>27082.3</fb>
    <v>16</v>
  </rv>
  <rv s="5">
    <fb>27023.25</fb>
    <v>16</v>
  </rv>
  <rv s="5">
    <fb>27198.85</fb>
    <v>16</v>
  </rv>
  <rv s="5">
    <fb>27054.14</fb>
    <v>16</v>
  </rv>
  <rv s="5">
    <fb>27152.97</fb>
    <v>16</v>
  </rv>
  <rv s="5">
    <fb>27386.93</fb>
    <v>16</v>
  </rv>
  <rv s="5">
    <fb>27314.01</fb>
    <v>16</v>
  </rv>
  <rv s="5">
    <fb>27317</fb>
    <v>16</v>
  </rv>
  <rv s="5">
    <fb>27364.43</fb>
    <v>16</v>
  </rv>
  <rv s="5">
    <fb>27416.41</fb>
    <v>16</v>
  </rv>
  <rv s="5">
    <fb>27372.26</fb>
    <v>16</v>
  </rv>
  <rv s="5">
    <fb>27494.35</fb>
    <v>16</v>
  </rv>
  <rv s="5">
    <fb>27405.42</fb>
    <v>16</v>
  </rv>
  <rv s="5">
    <fb>27539.88</fb>
    <v>16</v>
  </rv>
  <rv s="5">
    <fb>27369.96</fb>
    <v>16</v>
  </rv>
  <rv s="5">
    <fb>27259.78</fb>
    <v>16</v>
  </rv>
  <rv s="5">
    <fb>27020.43</fb>
    <v>16</v>
  </rv>
  <rv s="5">
    <fb>27570.080000000002</fb>
    <v>16</v>
  </rv>
  <rv s="5">
    <fb>27920.87</fb>
    <v>16</v>
  </rv>
  <rv s="5">
    <fb>27761.27</fb>
    <v>16</v>
  </rv>
  <rv s="5">
    <fb>27758.68</fb>
    <v>16</v>
  </rv>
  <rv s="5">
    <fb>27775.23</fb>
    <v>16</v>
  </rv>
  <rv s="5">
    <fb>27921.26</fb>
    <v>16</v>
  </rv>
  <rv s="5">
    <fb>27993.43</fb>
    <v>16</v>
  </rv>
  <rv s="5">
    <fb>27915.99</fb>
    <v>16</v>
  </rv>
  <rv s="5">
    <fb>27905.49</fb>
    <v>16</v>
  </rv>
  <rv s="5">
    <fb>27922.85</fb>
    <v>16</v>
  </rv>
  <rv s="5">
    <fb>27823.88</fb>
    <v>16</v>
  </rv>
  <rv s="5">
    <fb>27878.76</fb>
    <v>16</v>
  </rv>
  <rv s="5">
    <fb>28055.43</fb>
    <v>16</v>
  </rv>
  <rv s="5">
    <fb>28333.13</fb>
    <v>16</v>
  </rv>
  <rv s="5">
    <fb>28169.94</fb>
    <v>16</v>
  </rv>
  <rv s="5">
    <fb>28339.88</fb>
    <v>16</v>
  </rv>
  <rv s="5">
    <fb>28433</fb>
    <v>16</v>
  </rv>
  <rv s="5">
    <fb>28434.799999999999</fb>
    <v>16</v>
  </rv>
  <rv s="5">
    <fb>28564.45</fb>
    <v>16</v>
  </rv>
  <rv s="5">
    <fb>28615.62</fb>
    <v>16</v>
  </rv>
  <rv s="5">
    <fb>28751.360000000001</fb>
    <v>16</v>
  </rv>
  <rv s="5">
    <fb>28915.89</fb>
    <v>16</v>
  </rv>
  <rv s="5">
    <fb>29050.63</fb>
    <v>16</v>
  </rv>
  <rv s="5">
    <fb>29027.73</fb>
    <v>16</v>
  </rv>
  <rv s="5">
    <fb>29063.01</fb>
    <v>16</v>
  </rv>
  <rv s="5">
    <fb>29179.39</fb>
    <v>16</v>
  </rv>
  <rv s="5">
    <fb>29407.89</fb>
    <v>16</v>
  </rv>
  <rv s="5">
    <fb>29283.82</fb>
    <v>16</v>
  </rv>
  <rv s="5">
    <fb>29431.02</fb>
    <v>16</v>
  </rv>
  <rv s="5">
    <fb>29315.23</fb>
    <v>16</v>
  </rv>
  <rv s="5">
    <fb>29321.66</fb>
    <v>16</v>
  </rv>
  <rv s="5">
    <fb>29453.53</fb>
    <v>16</v>
  </rv>
  <rv s="5">
    <fb>29768.36</fb>
    <v>16</v>
  </rv>
  <rv s="5">
    <fb>29958.98</fb>
    <v>16</v>
  </rv>
  <rv s="5">
    <fb>29815.63</fb>
    <v>16</v>
  </rv>
  <rv s="5">
    <fb>29756.95</fb>
    <v>16</v>
  </rv>
  <rv s="5">
    <fb>29731.98</fb>
    <v>16</v>
  </rv>
  <rv s="5">
    <fb>29761.279999999999</fb>
    <v>16</v>
  </rv>
  <rv s="5">
    <fb>29971.91</fb>
    <v>16</v>
  </rv>
  <rv s="5">
    <fb>30022.81</fb>
    <v>16</v>
  </rv>
  <rv s="5">
    <fb>30107.67</fb>
    <v>16</v>
  </rv>
  <rv s="5">
    <fb>30160.59</fb>
    <v>16</v>
  </rv>
  <rv s="5">
    <fb>30471.68</fb>
    <v>16</v>
  </rv>
  <rv s="5">
    <fb>30531.88</fb>
    <v>16</v>
  </rv>
  <rv s="5">
    <fb>30351.72</fb>
    <v>16</v>
  </rv>
  <rv s="5">
    <fb>30501.99</fb>
    <v>16</v>
  </rv>
  <rv s="5">
    <fb>30269.98</fb>
    <v>16</v>
  </rv>
  <rv s="5">
    <fb>29850.89</fb>
    <v>16</v>
  </rv>
  <rv s="5">
    <fb>30353.61</fb>
    <v>16</v>
  </rv>
  <rv s="5">
    <fb>30637.119999999999</fb>
    <v>16</v>
  </rv>
  <rv s="5">
    <fb>30458.799999999999</fb>
    <v>16</v>
  </rv>
  <rv s="5">
    <fb>30108.48</fb>
    <v>16</v>
  </rv>
  <rv s="5">
    <fb>30416.44</fb>
    <v>16</v>
  </rv>
  <rv s="5">
    <fb>29888.82</fb>
    <v>16</v>
  </rv>
  <rv s="5">
    <fb>29982.98</fb>
    <v>16</v>
  </rv>
  <rv s="5">
    <fb>30186.28</fb>
    <v>16</v>
  </rv>
  <rv s="5">
    <fb>30353.07</fb>
    <v>16</v>
  </rv>
  <rv s="5">
    <fb>30275.759999999998</fb>
    <v>16</v>
  </rv>
  <rv s="5">
    <fb>30419.68</fb>
    <v>16</v>
  </rv>
  <rv s="5">
    <fb>30144.78</fb>
    <v>16</v>
  </rv>
  <rv s="5">
    <fb>30178.98</fb>
    <v>16</v>
  </rv>
  <rv s="5">
    <fb>30260.74</fb>
    <v>16</v>
  </rv>
  <rv s="5">
    <fb>30275.06</fb>
    <v>16</v>
  </rv>
  <rv s="5">
    <fb>29777.82</fb>
    <v>16</v>
  </rv>
  <rv s="5">
    <fb>30103.48</fb>
    <v>16</v>
  </rv>
  <rv s="5">
    <fb>29868.59</fb>
    <v>16</v>
  </rv>
  <rv s="5">
    <fb>29912.19</fb>
    <v>16</v>
  </rv>
  <rv s="5">
    <fb>30316.63</fb>
    <v>16</v>
  </rv>
  <rv s="5">
    <fb>30409.25</fb>
    <v>16</v>
  </rv>
  <rv s="5">
    <fb>30827.58</fb>
    <v>16</v>
  </rv>
  <rv s="5">
    <fb>30253.64</fb>
    <v>16</v>
  </rv>
  <rv s="5">
    <fb>30326.46</fb>
    <v>16</v>
  </rv>
  <rv s="5">
    <fb>30076.21</fb>
    <v>16</v>
  </rv>
  <rv s="5">
    <fb>30036.46</fb>
    <v>16</v>
  </rv>
  <rv s="5">
    <fb>30278.41</fb>
    <v>16</v>
  </rv>
  <rv s="5">
    <fb>29906.55</fb>
    <v>16</v>
  </rv>
  <rv s="5">
    <fb>30160.65</fb>
    <v>16</v>
  </rv>
  <rv s="5">
    <fb>30604.35</fb>
    <v>16</v>
  </rv>
  <rv s="5">
    <fb>30900.65</fb>
    <v>16</v>
  </rv>
  <rv s="5">
    <fb>31180.25</fb>
    <v>16</v>
  </rv>
  <rv s="5">
    <fb>31196.71</fb>
    <v>16</v>
  </rv>
  <rv s="5">
    <fb>31382.78</fb>
    <v>16</v>
  </rv>
  <rv s="5">
    <fb>31101.78</fb>
    <v>16</v>
  </rv>
  <rv s="5">
    <fb>31049.279999999999</fb>
    <v>16</v>
  </rv>
  <rv s="5">
    <fb>31160.54</fb>
    <v>16</v>
  </rv>
  <rv s="5">
    <fb>31477.57</fb>
    <v>16</v>
  </rv>
  <rv s="5">
    <fb>31311.41</fb>
    <v>16</v>
  </rv>
  <rv s="5">
    <fb>31169.97</fb>
    <v>16</v>
  </rv>
  <rv s="5">
    <fb>31244.37</fb>
    <v>16</v>
  </rv>
  <rv s="5">
    <fb>31490.85</fb>
    <v>16</v>
  </rv>
  <rv s="5">
    <fb>31660.73</fb>
    <v>16</v>
  </rv>
  <rv s="5">
    <fb>31527.39</fb>
    <v>16</v>
  </rv>
  <rv s="5">
    <fb>31483.439999999999</fb>
    <v>16</v>
  </rv>
  <rv s="5">
    <fb>31263.93</fb>
    <v>16</v>
  </rv>
  <rv s="5">
    <fb>31250.02</fb>
    <v>16</v>
  </rv>
  <rv s="5">
    <fb>31440.85</fb>
    <v>16</v>
  </rv>
  <rv s="5">
    <fb>31755.77</fb>
    <v>16</v>
  </rv>
  <rv s="5">
    <fb>32000.1</fb>
    <v>16</v>
  </rv>
  <rv s="5">
    <fb>32058.73</fb>
    <v>16</v>
  </rv>
  <rv s="5">
    <fb>31999.759999999998</fb>
    <v>16</v>
  </rv>
  <rv s="5">
    <fb>31896.59</fb>
    <v>16</v>
  </rv>
  <rv s="5">
    <fb>31866.26</fb>
    <v>16</v>
  </rv>
  <rv s="5">
    <fb>31712.76</fb>
    <v>16</v>
  </rv>
  <rv s="5">
    <fb>31883.37</fb>
    <v>16</v>
  </rv>
  <rv s="5">
    <fb>32219.95</fb>
    <v>16</v>
  </rv>
  <rv s="5">
    <fb>32407.02</fb>
    <v>16</v>
  </rv>
  <rv s="5">
    <fb>32135.49</fb>
    <v>16</v>
  </rv>
  <rv s="5">
    <fb>32378.639999999999</fb>
    <v>16</v>
  </rv>
  <rv s="5">
    <fb>32612.93</fb>
    <v>16</v>
  </rv>
  <rv s="5">
    <fb>32874.699999999997</fb>
    <v>16</v>
  </rv>
  <rv s="5">
    <fb>32870.36</fb>
    <v>16</v>
  </rv>
  <rv s="5">
    <fb>32916.47</fb>
    <v>16</v>
  </rv>
  <rv s="5">
    <fb>33028.92</fb>
    <v>16</v>
  </rv>
  <rv s="5">
    <fb>33040.550000000003</fb>
    <v>16</v>
  </rv>
  <rv s="5">
    <fb>33090.959999999999</fb>
    <v>16</v>
  </rv>
  <rv s="5">
    <fb>32750.28</fb>
    <v>16</v>
  </rv>
  <rv s="5">
    <fb>32851.53</fb>
    <v>16</v>
  </rv>
  <rv s="5">
    <fb>33002.699999999997</fb>
    <v>16</v>
  </rv>
  <rv s="5">
    <fb>33144.980000000003</fb>
    <v>16</v>
  </rv>
  <rv s="5">
    <fb>33093.32</fb>
    <v>16</v>
  </rv>
  <rv s="5">
    <fb>33096.400000000001</fb>
    <v>16</v>
  </rv>
  <rv s="5">
    <fb>33176.07</fb>
    <v>16</v>
  </rv>
  <rv s="5">
    <fb>33016.129999999997</fb>
    <v>16</v>
  </rv>
  <rv s="5">
    <fb>31923.52</fb>
    <v>16</v>
  </rv>
  <rv s="5">
    <fb>32183.88</fb>
    <v>16</v>
  </rv>
  <rv s="5">
    <fb>32388.6</fb>
    <v>16</v>
  </rv>
  <rv s="5">
    <fb>32571.55</fb>
    <v>16</v>
  </rv>
  <rv s="5">
    <fb>31994.6</fb>
    <v>16</v>
  </rv>
  <rv s="5">
    <fb>32470.98</fb>
    <v>16</v>
  </rv>
  <rv s="5">
    <fb>33023.32</fb>
    <v>16</v>
  </rv>
  <rv s="5">
    <fb>33256.83</fb>
    <v>16</v>
  </rv>
  <rv s="5">
    <fb>33254.19</fb>
    <v>16</v>
  </rv>
  <rv s="5">
    <fb>32465.279999999999</fb>
    <v>16</v>
  </rv>
  <rv s="5">
    <fb>33073.71</fb>
    <v>16</v>
  </rv>
  <rv s="5">
    <fb>32896.550000000003</fb>
    <v>16</v>
  </rv>
  <rv s="5">
    <fb>33389.730000000003</fb>
    <v>16</v>
  </rv>
  <rv s="5">
    <fb>33594.980000000003</fb>
    <v>16</v>
  </rv>
  <rv s="5">
    <fb>33817.51</fb>
    <v>16</v>
  </rv>
  <rv s="5">
    <fb>33776.5</fb>
    <v>16</v>
  </rv>
  <rv s="5">
    <fb>33970.379999999997</fb>
    <v>16</v>
  </rv>
  <rv s="5">
    <fb>34127.33</fb>
    <v>16</v>
  </rv>
  <rv s="5">
    <fb>34501.96</fb>
    <v>16</v>
  </rv>
  <rv s="5">
    <fb>34339.99</fb>
    <v>16</v>
  </rv>
  <rv s="5">
    <fb>34541.269999999997</fb>
    <v>16</v>
  </rv>
  <rv s="5">
    <fb>33784.94</fb>
    <v>16</v>
  </rv>
  <rv s="5">
    <fb>33942.86</fb>
    <v>16</v>
  </rv>
  <rv s="5">
    <fb>33609.97</fb>
    <v>16</v>
  </rv>
  <rv s="5">
    <fb>33083.72</fb>
    <v>16</v>
  </rv>
  <rv s="5">
    <fb>33189.32</fb>
    <v>16</v>
  </rv>
  <rv s="5">
    <fb>33270.65</fb>
    <v>16</v>
  </rv>
  <rv s="5">
    <fb>33119.83</fb>
    <v>16</v>
  </rv>
  <rv s="5">
    <fb>32840.6</fb>
    <v>16</v>
  </rv>
  <rv s="5">
    <fb>32541.93</fb>
    <v>16</v>
  </rv>
  <rv s="5">
    <fb>32876.65</fb>
    <v>16</v>
  </rv>
  <rv s="5">
    <fb>32929.089999999997</fb>
    <v>16</v>
  </rv>
  <rv s="5">
    <fb>32312.67</fb>
    <v>16</v>
  </rv>
  <rv s="5">
    <fb>31854.98</fb>
    <v>16</v>
  </rv>
  <rv s="5">
    <fb>31317.41</fb>
    <v>16</v>
  </rv>
  <rv s="5">
    <fb>31883.81</fb>
    <v>16</v>
  </rv>
  <rv s="5">
    <fb>31941.59</fb>
    <v>16</v>
  </rv>
  <rv s="5">
    <fb>32382.6</fb>
    <v>16</v>
  </rv>
  <rv s="5">
    <fb>31887.52</fb>
    <v>16</v>
  </rv>
  <rv s="5">
    <fb>31960.65</fb>
    <v>16</v>
  </rv>
  <rv s="5">
    <fb>31934.94</fb>
    <v>16</v>
  </rv>
  <rv s="5">
    <fb>32768.04</fb>
    <v>16</v>
  </rv>
  <rv s="5">
    <fb>32957.949999999997</fb>
    <v>16</v>
  </rv>
  <rv s="5">
    <fb>33108.22</fb>
    <v>16</v>
  </rv>
  <rv s="6">
    <fb t="e">#N/A</fb>
    <v>6</v>
    <v>4</v>
  </rv>
  <rv s="5">
    <fb>33181.97</fb>
    <v>16</v>
  </rv>
  <rv s="5">
    <fb>33237.519999999997</fb>
    <v>16</v>
  </rv>
  <rv s="5">
    <fb>33620.57</fb>
    <v>16</v>
  </rv>
  <rv s="5">
    <fb>33477.71</fb>
    <v>16</v>
  </rv>
  <rv s="5">
    <fb>33695.760000000002</fb>
    <v>16</v>
  </rv>
  <rv s="5">
    <fb>33879.24</fb>
    <v>16</v>
  </rv>
  <rv s="5">
    <fb>34102.36</fb>
    <v>16</v>
  </rv>
  <rv s="5">
    <fb>34155.99</fb>
    <v>16</v>
  </rv>
  <rv s="5">
    <fb>34052.230000000003</fb>
    <v>16</v>
  </rv>
  <rv s="5">
    <fb>34346.29</fb>
    <v>16</v>
  </rv>
  <rv s="5">
    <fb>34360.03</fb>
    <v>16</v>
  </rv>
  <rv s="5">
    <fb>5158.2</fb>
    <v>17</v>
  </rv>
  <rv s="5">
    <fb>5287.76</fb>
    <v>17</v>
  </rv>
  <rv s="5">
    <fb>5375.86</fb>
    <v>17</v>
  </rv>
  <rv s="5">
    <fb>5484.77</fb>
    <v>17</v>
  </rv>
  <rv s="5">
    <fb>5525.21</fb>
    <v>17</v>
  </rv>
  <rv s="5">
    <fb>5528.75</fb>
    <v>17</v>
  </rv>
  <rv s="5">
    <fb>5560.83</fb>
    <v>17</v>
  </rv>
  <rv s="5">
    <fb>5569.06</fb>
    <v>17</v>
  </rv>
  <rv s="5">
    <fb>5604.14</fb>
    <v>17</v>
  </rv>
  <rv s="5">
    <fb>5686.67</fb>
    <v>17</v>
  </rv>
  <rv s="5">
    <fb>5650.38</fb>
    <v>17</v>
  </rv>
  <rv s="5">
    <fb>5606.91</fb>
    <v>17</v>
  </rv>
  <rv s="5">
    <fb>5631.28</fb>
    <v>17</v>
  </rv>
  <rv s="5">
    <fb>5663.94</fb>
    <v>17</v>
  </rv>
  <rv s="5">
    <fb>5659.91</fb>
    <v>17</v>
  </rv>
  <rv s="5">
    <fb>5844.19</fb>
    <v>17</v>
  </rv>
  <rv s="5">
    <fb>5886.55</fb>
    <v>17</v>
  </rv>
  <rv s="5">
    <fb>5892.58</fb>
    <v>17</v>
  </rv>
  <rv s="5">
    <fb>5916.93</fb>
    <v>17</v>
  </rv>
  <rv s="5">
    <fb>5958.38</fb>
    <v>17</v>
  </rv>
  <rv s="5">
    <fb>5963.6</fb>
    <v>17</v>
  </rv>
  <rv s="5">
    <fb>5940.46</fb>
    <v>17</v>
  </rv>
  <rv s="5">
    <fb>5844.61</fb>
    <v>17</v>
  </rv>
  <rv s="5">
    <fb>5842.01</fb>
    <v>17</v>
  </rv>
  <rv s="5">
    <fb>5802.82</fb>
    <v>17</v>
  </rv>
  <rv s="5">
    <fb>5921.54</fb>
    <v>17</v>
  </rv>
  <rv s="5">
    <fb>5888.55</fb>
    <v>17</v>
  </rv>
  <rv s="5">
    <fb>5912.17</fb>
    <v>17</v>
  </rv>
  <rv s="5">
    <fb>5911.69</fb>
    <v>17</v>
  </rv>
  <rv s="5">
    <fb>5935.94</fb>
    <v>17</v>
  </rv>
  <rv s="5">
    <fb>5970.37</fb>
    <v>17</v>
  </rv>
  <rv s="5">
    <fb>5970.81</fb>
    <v>17</v>
  </rv>
  <rv s="5">
    <fb>5939.3</fb>
    <v>17</v>
  </rv>
  <rv s="5">
    <fb>6000.36</fb>
    <v>17</v>
  </rv>
  <rv s="5">
    <fb>6005.88</fb>
    <v>17</v>
  </rv>
  <rv s="5">
    <fb>6038.81</fb>
    <v>17</v>
  </rv>
  <rv s="5">
    <fb>6022.24</fb>
    <v>17</v>
  </rv>
  <rv s="5">
    <fb>6045.26</fb>
    <v>17</v>
  </rv>
  <rv s="5">
    <fb>5976.97</fb>
    <v>17</v>
  </rv>
  <rv s="5">
    <fb>6033.11</fb>
    <v>17</v>
  </rv>
  <rv s="5">
    <fb>5982.72</fb>
    <v>17</v>
  </rv>
  <rv s="5">
    <fb>5980.87</fb>
    <v>17</v>
  </rv>
  <rv s="5">
    <fb>5967.84</fb>
    <v>17</v>
  </rv>
  <rv s="5">
    <fb>6025.17</fb>
    <v>17</v>
  </rv>
  <rv s="5">
    <fb>6092.18</fb>
    <v>17</v>
  </rv>
  <rv s="5">
    <fb>6092.16</fb>
    <v>17</v>
  </rv>
  <rv s="5">
    <fb>6141.02</fb>
    <v>17</v>
  </rv>
  <rv s="5">
    <fb>6173.07</fb>
    <v>17</v>
  </rv>
  <rv s="5">
    <fb>6204.95</fb>
    <v>17</v>
  </rv>
  <rv s="5">
    <fb>6198.01</fb>
    <v>17</v>
  </rv>
  <rv s="5">
    <fb>6227.42</fb>
    <v>17</v>
  </rv>
  <rv s="5">
    <fb>6279.35</fb>
    <v>17</v>
  </rv>
  <rv s="5">
    <fb>6229.98</fb>
    <v>17</v>
  </rv>
  <rv s="5">
    <fb>6225.52</fb>
    <v>17</v>
  </rv>
  <rv s="5">
    <fb>6263.26</fb>
    <v>17</v>
  </rv>
  <rv s="5">
    <fb>6280.46</fb>
    <v>17</v>
  </rv>
  <rv s="5">
    <fb>6259.75</fb>
    <v>17</v>
  </rv>
  <rv s="5">
    <fb>6268.56</fb>
    <v>17</v>
  </rv>
  <rv s="5">
    <fb>6243.76</fb>
    <v>17</v>
  </rv>
  <rv s="5">
    <fb>6263.7</fb>
    <v>17</v>
  </rv>
  <rv s="5">
    <fb>6297.36</fb>
    <v>17</v>
  </rv>
  <rv s="5">
    <fb>6296.79</fb>
    <v>17</v>
  </rv>
  <rv s="5">
    <fb>6305.6</fb>
    <v>17</v>
  </rv>
  <rv s="5">
    <fb>6309.62</fb>
    <v>17</v>
  </rv>
  <rv s="5">
    <fb>6358.91</fb>
    <v>17</v>
  </rv>
  <rv s="5">
    <fb>6363.35</fb>
    <v>17</v>
  </rv>
  <rv s="5">
    <fb>6388.64</fb>
    <v>17</v>
  </rv>
  <rv s="5">
    <fb>6389.77</fb>
    <v>17</v>
  </rv>
  <rv s="5">
    <fb>6370.86</fb>
    <v>17</v>
  </rv>
  <rv s="5">
    <fb>6362.9</fb>
    <v>17</v>
  </rv>
  <rv s="5">
    <fb>6339.39</fb>
    <v>17</v>
  </rv>
  <rv s="5">
    <fb>6238.01</fb>
    <v>17</v>
  </rv>
  <rv s="5">
    <fb>6329.94</fb>
    <v>17</v>
  </rv>
  <rv s="5">
    <fb>6299.19</fb>
    <v>17</v>
  </rv>
  <rv s="5">
    <fb>6345.06</fb>
    <v>17</v>
  </rv>
  <rv s="5">
    <fb>6340</fb>
    <v>17</v>
  </rv>
  <rv s="5">
    <fb>6389.45</fb>
    <v>17</v>
  </rv>
  <rv s="5">
    <fb>6373.45</fb>
    <v>17</v>
  </rv>
  <rv s="5">
    <fb>6445.76</fb>
    <v>17</v>
  </rv>
  <rv s="5">
    <fb>6466.58</fb>
    <v>17</v>
  </rv>
  <rv s="5">
    <fb>6468.54</fb>
    <v>17</v>
  </rv>
  <rv s="5">
    <fb>6449.8</fb>
    <v>17</v>
  </rv>
  <rv s="5">
    <fb>6449.15</fb>
    <v>17</v>
  </rv>
  <rv s="5">
    <fb>6411.37</fb>
    <v>17</v>
  </rv>
  <rv s="5">
    <fb>6395.78</fb>
    <v>17</v>
  </rv>
  <rv s="5">
    <fb>6370.17</fb>
    <v>17</v>
  </rv>
  <rv s="5">
    <fb>6466.91</fb>
    <v>17</v>
  </rv>
  <rv s="5">
    <fb>6439.32</fb>
    <v>17</v>
  </rv>
  <rv s="5">
    <fb>6465.94</fb>
    <v>17</v>
  </rv>
  <rv s="5">
    <fb>6481.4</fb>
    <v>17</v>
  </rv>
  <rv s="5">
    <fb>6501.86</fb>
    <v>17</v>
  </rv>
  <rv s="5">
    <fb>6460.26</fb>
    <v>17</v>
  </rv>
  <rv s="5">
    <fb>6415.54</fb>
    <v>17</v>
  </rv>
  <rv s="5">
    <fb>6448.26</fb>
    <v>17</v>
  </rv>
  <rv s="5">
    <fb>6502.08</fb>
    <v>17</v>
  </rv>
  <rv s="5">
    <fb>6481.5</fb>
    <v>17</v>
  </rv>
  <rv s="5">
    <fb>6495.15</fb>
    <v>17</v>
  </rv>
  <rv s="5">
    <fb>6512.61</fb>
    <v>17</v>
  </rv>
  <rv s="5">
    <fb>6532.04</fb>
    <v>17</v>
  </rv>
  <rv s="5">
    <fb>6587.47</fb>
    <v>17</v>
  </rv>
  <rv s="5">
    <fb>6584.29</fb>
    <v>17</v>
  </rv>
  <rv s="5">
    <fb>6615.28</fb>
    <v>17</v>
  </rv>
  <rv s="5">
    <fb>6606.76</fb>
    <v>17</v>
  </rv>
  <rv s="5">
    <fb>6600.35</fb>
    <v>17</v>
  </rv>
  <rv s="5">
    <fb>6631.96</fb>
    <v>17</v>
  </rv>
  <rv s="5">
    <fb>6664.36</fb>
    <v>17</v>
  </rv>
  <rv s="5">
    <fb>6693.75</fb>
    <v>17</v>
  </rv>
  <rv s="5">
    <fb>6656.92</fb>
    <v>17</v>
  </rv>
  <rv s="5">
    <fb>6637.97</fb>
    <v>17</v>
  </rv>
  <rv s="5">
    <fb>6604.72</fb>
    <v>17</v>
  </rv>
  <rv s="5">
    <fb>6643.7</fb>
    <v>17</v>
  </rv>
  <rv s="5">
    <fb>6661.21</fb>
    <v>17</v>
  </rv>
  <rv s="5">
    <fb>6688.46</fb>
    <v>17</v>
  </rv>
  <rv s="5">
    <fb>6711.2</fb>
    <v>17</v>
  </rv>
  <rv s="5">
    <fb>6715.35</fb>
    <v>17</v>
  </rv>
  <rv s="5">
    <fb>6715.79</fb>
    <v>17</v>
  </rv>
  <rv s="5">
    <fb>6740.28</fb>
    <v>17</v>
  </rv>
  <rv s="5">
    <fb>6714.59</fb>
    <v>17</v>
  </rv>
  <rv s="5">
    <fb>6753.72</fb>
    <v>17</v>
  </rv>
  <rv s="5">
    <fb>6735.11</fb>
    <v>17</v>
  </rv>
  <rv s="5">
    <fb>6552.51</fb>
    <v>17</v>
  </rv>
  <rv s="5">
    <fb>6654.72</fb>
    <v>17</v>
  </rv>
  <rv s="5">
    <fb>6644.31</fb>
    <v>17</v>
  </rv>
  <rv s="5">
    <fb>6671.06</fb>
    <v>17</v>
  </rv>
  <rv s="5">
    <fb>6629.07</fb>
    <v>17</v>
  </rv>
  <rv s="5">
    <fb>6664.01</fb>
    <v>17</v>
  </rv>
  <rv s="5">
    <fb>6735.13</fb>
    <v>17</v>
  </rv>
  <rv s="5">
    <fb>6735.35</fb>
    <v>17</v>
  </rv>
  <rv s="5">
    <fb>6699.4</fb>
    <v>17</v>
  </rv>
  <rv s="5">
    <fb>6738.44</fb>
    <v>17</v>
  </rv>
  <rv s="5">
    <fb>6791.69</fb>
    <v>17</v>
  </rv>
  <rv s="5">
    <fb>6875.16</fb>
    <v>17</v>
  </rv>
  <rv s="5">
    <fb>6890.89</fb>
    <v>17</v>
  </rv>
  <rv s="5">
    <fb>6890.59</fb>
    <v>17</v>
  </rv>
  <rv s="5">
    <fb>6822.34</fb>
    <v>17</v>
  </rv>
  <rv s="5">
    <fb>6840.2</fb>
    <v>17</v>
  </rv>
  <rv s="5">
    <fb>6851.97</fb>
    <v>17</v>
  </rv>
  <rv s="5">
    <fb>6771.55</fb>
    <v>17</v>
  </rv>
  <rv s="5">
    <fb>6796.29</fb>
    <v>17</v>
  </rv>
  <rv s="5">
    <fb>6720.32</fb>
    <v>17</v>
  </rv>
  <rv s="5">
    <fb>6728.8</fb>
    <v>17</v>
  </rv>
  <rv s="5">
    <fb>6832.43</fb>
    <v>17</v>
  </rv>
  <rv s="5">
    <fb>6846.61</fb>
    <v>17</v>
  </rv>
  <rv s="5">
    <fb>6850.92</fb>
    <v>17</v>
  </rv>
  <rv s="5">
    <fb>6737.49</fb>
    <v>17</v>
  </rv>
  <rv s="5">
    <fb>6734.11</fb>
    <v>17</v>
  </rv>
  <rv s="5">
    <fb>6672.41</fb>
    <v>17</v>
  </rv>
  <rv s="5">
    <fb>6617.32</fb>
    <v>17</v>
  </rv>
  <rv s="5">
    <fb>6642.16</fb>
    <v>17</v>
  </rv>
  <rv s="5">
    <fb>6538.76</fb>
    <v>17</v>
  </rv>
  <rv s="5">
    <fb>6602.99</fb>
    <v>17</v>
  </rv>
  <rv s="5">
    <fb>6705.12</fb>
    <v>17</v>
  </rv>
  <rv s="5">
    <fb>6765.88</fb>
    <v>17</v>
  </rv>
  <rv s="5">
    <fb>6812.61</fb>
    <v>17</v>
  </rv>
  <rv s="5">
    <fb>6849.09</fb>
    <v>17</v>
  </rv>
  <rv s="5">
    <fb>6812.63</fb>
    <v>17</v>
  </rv>
  <rv s="5">
    <fb>6829.37</fb>
    <v>17</v>
  </rv>
  <rv s="5">
    <fb>6849.72</fb>
    <v>17</v>
  </rv>
  <rv s="5">
    <fb>6857.12</fb>
    <v>17</v>
  </rv>
  <rv s="5">
    <fb>6870.4</fb>
    <v>17</v>
  </rv>
  <rv s="5">
    <fb>6846.51</fb>
    <v>17</v>
  </rv>
  <rv s="5">
    <fb>6840.51</fb>
    <v>17</v>
  </rv>
  <rv s="5">
    <fb>6886.68</fb>
    <v>17</v>
  </rv>
  <rv s="5">
    <fb>6901</fb>
    <v>17</v>
  </rv>
  <rv s="5">
    <fb>6827.41</fb>
    <v>17</v>
  </rv>
  <rv s="5">
    <fb>6816.51</fb>
    <v>17</v>
  </rv>
  <rv s="5">
    <fb>6800.26</fb>
    <v>17</v>
  </rv>
  <rv s="5">
    <fb>6721.43</fb>
    <v>17</v>
  </rv>
  <rv s="5">
    <fb>6774.76</fb>
    <v>17</v>
  </rv>
  <rv s="5">
    <fb>6834.5</fb>
    <v>17</v>
  </rv>
  <rv s="5">
    <fb>6878.49</fb>
    <v>17</v>
  </rv>
  <rv s="5">
    <fb>6909.79</fb>
    <v>17</v>
  </rv>
  <rv s="5">
    <fb>6932.05</fb>
    <v>17</v>
  </rv>
  <rv s="5">
    <fb>6929.94</fb>
    <v>17</v>
  </rv>
  <rv s="5">
    <fb>6905.74</fb>
    <v>17</v>
  </rv>
  <rv s="5">
    <fb>6896.24</fb>
    <v>17</v>
  </rv>
  <rv s="5">
    <fb>6845.5</fb>
    <v>17</v>
  </rv>
  <rv s="5">
    <fb>6858.47</fb>
    <v>17</v>
  </rv>
  <rv s="5">
    <fb>6902.05</fb>
    <v>17</v>
  </rv>
  <rv s="5">
    <fb>6944.82</fb>
    <v>17</v>
  </rv>
  <rv s="5">
    <fb>6920.93</fb>
    <v>17</v>
  </rv>
  <rv s="5">
    <fb>6921.46</fb>
    <v>17</v>
  </rv>
  <rv s="5">
    <fb>6966.28</fb>
    <v>17</v>
  </rv>
  <rv s="5">
    <fb>6977.27</fb>
    <v>17</v>
  </rv>
  <rv s="5">
    <fb>6963.74</fb>
    <v>17</v>
  </rv>
  <rv s="5">
    <fb>6926.6</fb>
    <v>17</v>
  </rv>
  <rv s="5">
    <fb>6944.47</fb>
    <v>17</v>
  </rv>
  <rv s="5">
    <fb>6940.01</fb>
    <v>17</v>
  </rv>
  <rv s="5">
    <fb>6796.86</fb>
    <v>17</v>
  </rv>
  <rv s="5">
    <fb>6875.62</fb>
    <v>17</v>
  </rv>
  <rv s="5">
    <fb>6913.35</fb>
    <v>17</v>
  </rv>
  <rv s="5">
    <fb>6915.61</fb>
    <v>17</v>
  </rv>
  <rv s="5">
    <fb>6950.23</fb>
    <v>17</v>
  </rv>
  <rv s="5">
    <fb>6978.6</fb>
    <v>17</v>
  </rv>
  <rv s="5">
    <fb>6978.03</fb>
    <v>17</v>
  </rv>
  <rv s="5">
    <fb>6969.01</fb>
    <v>17</v>
  </rv>
  <rv s="5">
    <fb>6939.03</fb>
    <v>17</v>
  </rv>
  <rv s="5">
    <fb>6976.44</fb>
    <v>17</v>
  </rv>
  <rv s="5">
    <fb>6917.81</fb>
    <v>17</v>
  </rv>
  <rv s="5">
    <fb>6882.72</fb>
    <v>17</v>
  </rv>
  <rv s="5">
    <fb>6798.4</fb>
    <v>17</v>
  </rv>
  <rv s="5">
    <fb>6932.3</fb>
    <v>17</v>
  </rv>
  <rv s="5">
    <fb>6964.82</fb>
    <v>17</v>
  </rv>
  <rv s="5">
    <fb>6941.81</fb>
    <v>17</v>
  </rv>
  <rv s="5">
    <fb>6941.47</fb>
    <v>17</v>
  </rv>
  <rv s="5">
    <fb>6832.76</fb>
    <v>17</v>
  </rv>
  <rv s="5">
    <fb>6836.17</fb>
    <v>17</v>
  </rv>
  <rv s="5">
    <fb>6843.22</fb>
    <v>17</v>
  </rv>
  <rv s="5">
    <fb>6881.31</fb>
    <v>17</v>
  </rv>
  <rv s="5">
    <fb>6861.89</fb>
    <v>17</v>
  </rv>
  <rv s="5">
    <fb>6909.51</fb>
    <v>17</v>
  </rv>
  <rv s="5">
    <fb>6837.75</fb>
    <v>17</v>
  </rv>
  <rv s="5">
    <fb>6890.07</fb>
    <v>17</v>
  </rv>
  <rv s="5">
    <fb>6946.13</fb>
    <v>17</v>
  </rv>
  <rv s="5">
    <fb>6908.86</fb>
    <v>17</v>
  </rv>
  <rv s="5">
    <fb>6878.88</fb>
    <v>17</v>
  </rv>
  <rv s="5">
    <fb>6881.62</fb>
    <v>17</v>
  </rv>
  <rv s="5">
    <fb>6816.63</fb>
    <v>17</v>
  </rv>
  <rv s="5">
    <fb>6869.5</fb>
    <v>17</v>
  </rv>
  <rv s="5">
    <fb>6830.71</fb>
    <v>17</v>
  </rv>
  <rv s="5">
    <fb>6740.02</fb>
    <v>17</v>
  </rv>
  <rv s="5">
    <fb>6795.99</fb>
    <v>17</v>
  </rv>
  <rv s="5">
    <fb>6781.48</fb>
    <v>17</v>
  </rv>
  <rv s="5">
    <fb>6775.8</fb>
    <v>17</v>
  </rv>
  <rv s="5">
    <fb>6672.62</fb>
    <v>17</v>
  </rv>
  <rv s="5">
    <fb>6632.19</fb>
    <v>17</v>
  </rv>
  <rv s="5">
    <fb>6699.38</fb>
    <v>17</v>
  </rv>
  <rv s="5">
    <fb>6716.09</fb>
    <v>17</v>
  </rv>
  <rv s="5">
    <fb>6624.7</fb>
    <v>17</v>
  </rv>
  <rv s="5">
    <fb>6606.49</fb>
    <v>17</v>
  </rv>
  <rv s="5">
    <fb>6506.48</fb>
    <v>17</v>
  </rv>
  <rv s="5">
    <fb>6581</fb>
    <v>17</v>
  </rv>
  <rv s="5">
    <fb>6556.37</fb>
    <v>17</v>
  </rv>
  <rv s="5">
    <fb>6591.9</fb>
    <v>17</v>
  </rv>
  <rv s="5">
    <fb>6477.16</fb>
    <v>17</v>
  </rv>
  <rv s="5">
    <fb>6368.85</fb>
    <v>17</v>
  </rv>
  <rv s="5">
    <fb>6343.72</fb>
    <v>17</v>
  </rv>
  <rv s="5">
    <fb>6528.52</fb>
    <v>17</v>
  </rv>
  <rv s="5">
    <fb>6575.32</fb>
    <v>17</v>
  </rv>
  <rv s="5">
    <fb>6582.69</fb>
    <v>17</v>
  </rv>
  <rv s="5">
    <fb>6611.83</fb>
    <v>17</v>
  </rv>
  <rv s="5">
    <fb>6616.85</fb>
    <v>17</v>
  </rv>
  <rv s="5">
    <fb>6782.81</fb>
    <v>17</v>
  </rv>
  <rv s="5">
    <fb>6824.66</fb>
    <v>17</v>
  </rv>
  <rv s="5">
    <fb>6816.89</fb>
    <v>17</v>
  </rv>
  <rv s="5">
    <fb>6886.24</fb>
    <v>17</v>
  </rv>
  <rv s="5">
    <fb>6967.38</fb>
    <v>17</v>
  </rv>
  <rv s="5">
    <fb>7022.95</fb>
    <v>17</v>
  </rv>
  <rv s="5">
    <fb>7041.28</fb>
    <v>17</v>
  </rv>
  <rv s="5">
    <fb>7126.06</fb>
    <v>17</v>
  </rv>
  <rv s="5">
    <fb>7109.14</fb>
    <v>17</v>
  </rv>
  <rv s="0">
    <v>https://www.bing.com/financeapi/forcetrigger?t=a1xroc&amp;q=XNYS%3aMMM&amp;form=skydnc</v>
    <v>Learn more on Bing</v>
  </rv>
  <rv s="7">
    <v>fr-FR</v>
    <v>a1xroc</v>
    <v>268435456</v>
    <v>1</v>
    <v>Avec Refinitiv</v>
    <v>18</v>
    <v>19</v>
    <v>3M COMPANY (XNYS:MMM)</v>
    <v>3</v>
    <v>20</v>
    <v>Finance</v>
    <v>21</v>
    <v>XNYS</v>
    <v>522396200</v>
    <v>1929</v>
    <v>146.86000000000001</v>
    <v>124.65</v>
    <v>1.0579000000000001</v>
    <v>77565387776</v>
    <v>New York Stock Exchange</v>
    <v>0</v>
    <v>0</v>
    <v>151.4</v>
    <v>MMM</v>
    <v>46133.899234385935</v>
    <v>La société 3M est une entreprise technologique diversifiée. La Société est un fabricant et un distributeur d'une variété de produits et de services. Les segments de la Société comprennent la sécurité et l'industrie, le transport et l'électronique, et la consommation. Son segment sécurité et industrie comprend les abrasifs industriels et la finition pour les applications de métallurgie, les solutions de réparation de carrosseries automobiles, les produits industriels spécialisés, tels que les produits d'hygiène personnelle, les masques et les matériaux d'emballage, et autres. Son segment transport et électronique comprend des solutions céramiques avancées ; fixation/collage, films, gestion du son et de la température pour les véhicules de transport ; films graphiques grand format haut de gamme pour la publicité et la signalisation de flotte. Son segment grand public comprend des produits de nettoyage pour la maison, des produits de qualité de l'air pour les consommateurs et des accessoires pour accrocher des tableaux. Ses marques comprennent 3M Cubitron II abrasives, Scotch-Brite, Filtrete, Command, Scotchgard, Meguiar's, Nexcare, Post-it et d'autres.</v>
    <v>USD</v>
    <v>60500</v>
    <v>XNYS</v>
    <v>158.14349999999999</v>
    <v>177.41</v>
    <v>Consumer Goods Conglomerates</v>
    <v>515</v>
    <v>-1.9287000000000002E-2</v>
    <v>-2.92</v>
    <v>3M COMPANY</v>
    <v>3M COMPANY</v>
    <v>151.77000000000001</v>
    <v>24.764800000000001</v>
    <v>148.47999999999999</v>
    <v>148.47</v>
    <v>3M Center, Bldg. 220-9E-02, SAINT PAUL, MN, 55144-1000 US</v>
    <v>Bourse</v>
    <v>3M COMPANY (XNYS:MMM)</v>
    <v>7233544</v>
    <v>3387456</v>
  </rv>
  <rv s="2">
    <v>516</v>
  </rv>
  <rv s="0">
    <v>https://www.bing.com/financeapi/forcetrigger?t=aawtr7&amp;q=XTSE%3aAQN&amp;form=skydnc</v>
    <v>Learn more on Bing</v>
  </rv>
  <rv s="7">
    <v>fr-FR</v>
    <v>aawtr7</v>
    <v>268435456</v>
    <v>1</v>
    <v>Avec Refinitiv</v>
    <v>18</v>
    <v>19</v>
    <v>ALGONQUIN POWER &amp; UTILITIES CORP. (XTSE:AQN)</v>
    <v>3</v>
    <v>22</v>
    <v>Finance</v>
    <v>5</v>
    <v>XTSE</v>
    <v>768351400</v>
    <v>1988</v>
    <v>8.48</v>
    <v>7.15</v>
    <v>0.88290000000000002</v>
    <v>6530986900</v>
    <v>Toronto Stock Exchange</v>
    <v>0</v>
    <v>0</v>
    <v>8.6199999999999992</v>
    <v>AQN</v>
    <v>46133.849340277775</v>
    <v>Algonquin Power &amp; Utilities Corp. est une société de production, de transport et de distribution diversifiée à l'échelle internationale établie au Canada. La Société s'engage à fournir des solutions énergétiques et hydriques durables grâce à son portefeuille d'investissements dans les services publics de production, de transport et de distribution pour plus d'un million de clients. Les activités de la société sont organisées en trois unités opérationnelles, soit le groupe des services réglementés, qui détient et exploite principalement un portefeuille d'électricité Distribution d'eau et collecte des eaux usées, réseaux de gaz naturel et opérations de transport aux États-Unis, au Canada, aux Bermudes et au Chili; le groupe Hydro, qui comprend l'activité hydroélectrique, n'est pas vendu dans le cadre de la vente des énergies renouvelables; et le Groupe des sociétés, qui comprend les sociétés de services et ses investissements dans Atlantica.</v>
    <v>CAD</v>
    <v>3233</v>
    <v>XTSE</v>
    <v>8.68</v>
    <v>9.69</v>
    <v>Multiline Utilities</v>
    <v>518</v>
    <v>-1.3920999999999999E-2</v>
    <v>-0.12</v>
    <v>ALGONQUIN POWER &amp; UTILITIES CORP.</v>
    <v>ALGONQUIN POWER &amp; UTILITIES CORP.</v>
    <v>8.61</v>
    <v>22.938300000000002</v>
    <v>8.5</v>
    <v>8.5</v>
    <v>354 Davis Road, ON, L6J 2X1 CA</v>
    <v>Bourse</v>
    <v>ALGONQUIN POWER &amp; UTILITIES CORP. (XTSE:AQN)</v>
    <v>1734018</v>
    <v>1839550</v>
  </rv>
  <rv s="2">
    <v>519</v>
  </rv>
  <rv s="0">
    <v>https://www.bing.com/financeapi/forcetrigger?t=aawrsm&amp;q=XTSE%3aALA&amp;form=skydnc</v>
    <v>Learn more on Bing</v>
  </rv>
  <rv s="7">
    <v>fr-FR</v>
    <v>aawrsm</v>
    <v>268435456</v>
    <v>1</v>
    <v>Avec Refinitiv</v>
    <v>18</v>
    <v>19</v>
    <v>AltaGas Ltd. (XTSE:ALA)</v>
    <v>3</v>
    <v>22</v>
    <v>Finance</v>
    <v>5</v>
    <v>XTSE</v>
    <v>297939500</v>
    <v>2020</v>
    <v>48.37</v>
    <v>37.08</v>
    <v>1.1995</v>
    <v>15202884858</v>
    <v>Toronto Stock Exchange</v>
    <v>0</v>
    <v>0</v>
    <v>49.24</v>
    <v>ALA</v>
    <v>46133.849374999998</v>
    <v>AltaGas Ltd. Est une entreprise d'infrastructure énergétique basée au Canada qui relie le gaz naturel et les liquides de gaz naturel (LGN) aux marchés nationaux et mondiaux. Les segments de la Société comprennent Utilities et Midstream. Son secteur Services publics possède et exploite des services publics franchisés de distribution et de stockage de gaz naturel à tarifs réglementés, qui comprennent quatre services publics exploités dans cinq juridictions américaines. Le secteur Services publics informatiques comprend également les installations de stockage et les contrats pour les services de transport et de stockage de gaz naturel entre États, ainsi que les activités affiliées de commercialisation de l'énergie au détail. Son segment Midstream comprend les exportations mondiales, qui comprennent ses deux terminaux d'exportation de GPL ; la collecte et l'extraction de gaz naturel, ainsi que le fractionnement et la manutention de liquides. Son segment Midstream comprend également les activités de commercialisation du gaz naturel et des LGN, la logistique intérieure, les terminaux de camionnage et ferroviaires et la capacité de stockage de liquides. Ses filiales comprennent Wrangler 1 LLC, WGL Holdings, Inc. Et d'autres.</v>
    <v>CAD</v>
    <v>2893</v>
    <v>XTSE</v>
    <v>49.325000000000003</v>
    <v>50.27</v>
    <v>Natural Gas Utilities</v>
    <v>521</v>
    <v>-8.5299999999999994E-3</v>
    <v>-0.42</v>
    <v>AltaGas Ltd.</v>
    <v>AltaGas Ltd.</v>
    <v>49.25</v>
    <v>19.700099999999999</v>
    <v>48.82</v>
    <v>48.82</v>
    <v>1700, 355-4 Avenue Sw, CALGARY, AB, T2P0J1 CA</v>
    <v>Bourse</v>
    <v>AltaGas Ltd. (XTSE:ALA)</v>
    <v>1046920</v>
    <v>1023940</v>
  </rv>
  <rv s="2">
    <v>522</v>
  </rv>
  <rv s="0">
    <v>https://www.bing.com/financeapi/forcetrigger?t=a1xtpr&amp;q=XNYS%3aMO&amp;form=skydnc</v>
    <v>Learn more on Bing</v>
  </rv>
  <rv s="7">
    <v>fr-FR</v>
    <v>a1xtpr</v>
    <v>268435456</v>
    <v>1</v>
    <v>Avec Refinitiv</v>
    <v>18</v>
    <v>19</v>
    <v>Altria Group, Inc. (XNYS:MO)</v>
    <v>3</v>
    <v>20</v>
    <v>Finance</v>
    <v>21</v>
    <v>XNYS</v>
    <v>1671314000</v>
    <v>1985</v>
    <v>64.12</v>
    <v>54.7</v>
    <v>0.43809999999999999</v>
    <v>108083876380</v>
    <v>New York Stock Exchange</v>
    <v>0</v>
    <v>0</v>
    <v>64.61</v>
    <v>MO</v>
    <v>46133.899223089844</v>
    <v>Altria Group, Inc. exploite un portefeuille de produits du tabac pour les consommateurs de tabac des États-Unis âgés de 21 ans et plus. Ses segments comprennent les produits fumables et les produits du tabac à usage oral. Le segment des produits à fumer comprend les cigarettes combustibles et les gros cigares fabriqués à la machine. Le segment des produits du tabac à usage oral comprend les produits du tabac humide sans fumée (MST) et les sachets de nicotine à usage oral. Ses filiales en propriété exclusive comprennent des fabricants de produits combustibles et sans fumée. Dans le domaine des combustibles, elle possède Philip Morris USA Inc. (PM USA) et John Middleton Co. (Middleton), qui sont des fabricants de cigarettes. Son portefeuille de produits sans fumée comprend la propriété de U.S. Smokeless Tobacco Company LLC (USSTC), un fabricant mondial de MST, Helix innovations LLC (Helix), un fabricant de poches orales de nicotine, et NJOY, LLC (NJOY), un fabricant de vapeurs électroniques avec un portefeuille de produits commercialisés. Les portefeuilles de marques de ses sociétés d'exploitation comprennent Marlboro, Black &amp; Mild, Copenhagen, Skoal, on ! Et NJOY.</v>
    <v>USD</v>
    <v>5900</v>
    <v>XNYS</v>
    <v>64.95</v>
    <v>70.510000000000005</v>
    <v>Food &amp; Tobacco</v>
    <v>524</v>
    <v>9.2860000000000002E-4</v>
    <v>0.06</v>
    <v>Altria Group, Inc.</v>
    <v>Altria Group, Inc.</v>
    <v>64.599999999999994</v>
    <v>15.709199999999999</v>
    <v>64.67</v>
    <v>64.650000000000006</v>
    <v>6601 W Broad St, RICHMOND, VA, 23230 US</v>
    <v>Bourse</v>
    <v>Altria Group, Inc. (XNYS:MO)</v>
    <v>5721359</v>
    <v>9755218</v>
  </rv>
  <rv s="2">
    <v>525</v>
  </rv>
  <rv s="0">
    <v>https://www.bing.com/financeapi/forcetrigger?t=a23www&amp;q=XNYS%3aT&amp;form=skydnc</v>
    <v>Learn more on Bing</v>
  </rv>
  <rv s="7">
    <v>fr-FR</v>
    <v>a23www</v>
    <v>268435456</v>
    <v>1</v>
    <v>Avec Refinitiv</v>
    <v>18</v>
    <v>19</v>
    <v>AT&amp;T INC. (XNYS:T)</v>
    <v>3</v>
    <v>20</v>
    <v>Finance</v>
    <v>21</v>
    <v>XNYS</v>
    <v>6982146000</v>
    <v>1983</v>
    <v>25.88</v>
    <v>22.95</v>
    <v>0.2273</v>
    <v>180697938480</v>
    <v>New York Stock Exchange</v>
    <v>0.13009999999999999</v>
    <v>5.0270000000000002E-3</v>
    <v>26.18</v>
    <v>T</v>
    <v>46133.899841782033</v>
    <v>AT&amp;T Inc est une société holding. La Société est un fournisseur mondial de services de télécommunications et de technologie. Les segments de la Société comprennent les communications et l'Amérique latine. Le secteur des communications fournit des services de télécommunications sans fil et filaires et à large bande aux consommateurs situés aux États-Unis et aux entreprises du monde entier. Les unités commerciales du segment communication comprennent mobilité, ligne filaire professionnelle et ligne filaire grand public. Mobility fournit un service et de l'équipement sans fil à l'échelle nationale. Business Wireline fournit aux entreprises des services Ethernet avancés de fibre optique, des services voix IP (Internet Protocol) et des services professionnels gérés, ainsi que des services voix et données hérités et des équipements connexes. Consumer Wireline fournit des services haut débit, y compris des connexions fibre optique. Consumer Wireline fournit des services de communication vocale de téléphonie hérités. Le segment Amérique latine fournit des services et des équipements sans fil au Mexique.</v>
    <v>USD</v>
    <v>133030</v>
    <v>XNYS</v>
    <v>26.44</v>
    <v>29.79</v>
    <v>Telecommunications Services</v>
    <v>527</v>
    <v>-1.1458999999999999E-2</v>
    <v>-0.3</v>
    <v>AT&amp;T INC.</v>
    <v>AT&amp;T INC.</v>
    <v>26.2</v>
    <v>8.4808000000000003</v>
    <v>25.88</v>
    <v>26.010100000000001</v>
    <v>208 S. Akard St, DALLAS, TX, 75202 US</v>
    <v>Bourse</v>
    <v>AT&amp;T INC. (XNYS:T)</v>
    <v>44451904</v>
    <v>41754419</v>
  </rv>
  <rv s="2">
    <v>528</v>
  </rv>
  <rv s="0">
    <v>https://www.bing.com/financeapi/forcetrigger?t=a1o4sm&amp;q=XNYS%3aBAC&amp;form=skydnc</v>
    <v>Learn more on Bing</v>
  </rv>
  <rv s="7">
    <v>fr-FR</v>
    <v>a1o4sm</v>
    <v>268435456</v>
    <v>1</v>
    <v>Avec Refinitiv</v>
    <v>18</v>
    <v>19</v>
    <v>BANK OF AMERICA CORPORATION (XNYS:BAC)</v>
    <v>3</v>
    <v>20</v>
    <v>Finance</v>
    <v>21</v>
    <v>XNYS</v>
    <v>7129908000</v>
    <v>1998</v>
    <v>53.210999999999999</v>
    <v>36.494999999999997</v>
    <v>1.2426999999999999</v>
    <v>381200531220</v>
    <v>New York Stock Exchange</v>
    <v>0.20469999999999999</v>
    <v>3.8279999999999998E-3</v>
    <v>53.95</v>
    <v>BAC</v>
    <v>46133.899493159377</v>
    <v>Bank of America Corporation est une société holding bancaire et une société holding financière. Ses segments comprennent Consumer Banking, Global Wealth &amp; Investment Management (GWIM), Global Banking et Global Markets. Le segment services bancaires aux consommateurs offre une gamme de produits et services de crédit, bancaires et d'investissement aux consommateurs et aux petites entreprises. Le GWIM comprend deux activités : Merrill Wealth Management, qui fournit des solutions sur mesure pour répondre aux besoins des clients grâce à un ensemble complet de produits de gestion de placements, de courtage, de services bancaires et de retraite, et Bank of America Private Bank, qui fournit des solutions complètes de gestion de patrimoine. Le secteur Global Banking propose une gamme de produits et services liés aux prêts, des solutions intégrées de gestion du fonds de roulement et de trésorerie, ainsi que des services de souscription et de conseil. Le segment Global Markets offre des services de vente et de négociation ainsi que des services de recherche aux clients institutionnels dans les secteurs des titres à revenu fixe, du crédit, des devises, des matières premières et des actions.</v>
    <v>USD</v>
    <v>212134</v>
    <v>XNYS</v>
    <v>54.65</v>
    <v>57.55</v>
    <v>Banking Services</v>
    <v>530</v>
    <v>-8.9899999999999997E-3</v>
    <v>-0.48499999999999999</v>
    <v>BANK OF AMERICA CORPORATION</v>
    <v>BANK OF AMERICA CORPORATION</v>
    <v>54</v>
    <v>13.3733</v>
    <v>53.465000000000003</v>
    <v>53.684699999999999</v>
    <v>Bank Of America Corporate Center, 100 N Tryon St, CHARLOTTE, NC, 28255 US</v>
    <v>Bourse</v>
    <v>BANK OF AMERICA CORPORATION (XNYS:BAC)</v>
    <v>34253766</v>
    <v>38718766</v>
  </rv>
  <rv s="2">
    <v>531</v>
  </rv>
  <rv s="0">
    <v>https://www.bing.com/financeapi/forcetrigger?t=aaxjc7&amp;q=XTSE%3aCM&amp;form=skydnc</v>
    <v>Learn more on Bing</v>
  </rv>
  <rv s="7">
    <v>fr-FR</v>
    <v>aaxjc7</v>
    <v>268435456</v>
    <v>1</v>
    <v>Avec Refinitiv</v>
    <v>18</v>
    <v>19</v>
    <v>BANQUE CANADIENNE IMPÉRIALE DE COMMERCE (XTSE:CM)</v>
    <v>3</v>
    <v>22</v>
    <v>Finance</v>
    <v>5</v>
    <v>XTSE</v>
    <v>924438800</v>
    <v>1995</v>
    <v>148.28</v>
    <v>80.260000000000005</v>
    <v>1.3046</v>
    <v>137260673023</v>
    <v>Toronto Stock Exchange</v>
    <v>0</v>
    <v>0</v>
    <v>150.38999999999999</v>
    <v>CM</v>
    <v>46133.833333333336</v>
    <v>La Banque canadienne Impériale de commerce est une institution financière nord-américaine. Les secteurs de la Société comprennent les services bancaires aux particuliers et aux entreprises au Canada, les services bancaires aux entreprises et gestion de patrimoine au Canada, les services bancaires aux entreprises et gestion de patrimoine aux États-Unis et les marchés des capitaux. Le secteur canadien des services bancaires aux particuliers et aux entreprises offre aux clients particuliers et aux entreprises de partout au Canada des conseils, des services et des solutions financiers par le biais de centres bancaires et de canaux mobiles et en ligne. Le secteur canadien des services bancaires aux entreprises et de la gestion de patrimoine offre des services bancaires et de gestion de patrimoine axés sur les relations. Le segment services bancaires aux entreprises et gestion de patrimoine aux États-Unis se concentre sur les entreprises de taille moyenne et moyenne, les entrepreneurs, les particuliers et les familles fortunés, ainsi que sur l'exploitation de services bancaires personnels et aux petites entreprises dans six marchés américains. Le segment marchés des capitaux fournit des produits et services intégrés pour les marchés mondiaux, des services bancaires d'investissement et des solutions bancaires aux entreprises.</v>
    <v>CAD</v>
    <v>50469</v>
    <v>XTSE</v>
    <v>150.97</v>
    <v>150.97</v>
    <v>Banking Services</v>
    <v>533</v>
    <v>-1.2699999999999999E-2</v>
    <v>-1.91</v>
    <v>BANQUE CANADIENNE IMPÉRIALE DE COMMERCE</v>
    <v>BANQUE CANADIENNE IMPÉRIALE DE COMMERCE</v>
    <v>150.4</v>
    <v>15.481400000000001</v>
    <v>148.47999999999999</v>
    <v>148.47999999999999</v>
    <v>81 Bay Street, CIBC Square,, TORONTO, ON, M5J 0E7 CA</v>
    <v>Bourse</v>
    <v>BANQUE CANADIENNE IMPÉRIALE DE COMMERCE (XTSE:CM)</v>
    <v>3138021</v>
    <v>2894210</v>
  </rv>
  <rv s="2">
    <v>534</v>
  </rv>
  <rv s="0">
    <v>https://www.bing.com/financeapi/forcetrigger?t=aax5gh&amp;q=XTSE%3aBMO&amp;form=skydnc</v>
    <v>Learn more on Bing</v>
  </rv>
  <rv s="7">
    <v>fr-FR</v>
    <v>aax5gh</v>
    <v>268435456</v>
    <v>1</v>
    <v>Avec Refinitiv</v>
    <v>18</v>
    <v>19</v>
    <v>BANK OF MONTREAL (XTSE:BMO)</v>
    <v>3</v>
    <v>22</v>
    <v>Finance</v>
    <v>5</v>
    <v>XTSE</v>
    <v>706238300</v>
    <v>1995</v>
    <v>206.98</v>
    <v>126.91</v>
    <v>1.1759999999999999</v>
    <v>146367887675</v>
    <v>Toronto Stock Exchange</v>
    <v>0</v>
    <v>0</v>
    <v>209.61</v>
    <v>BMO</v>
    <v>46133.833333333336</v>
    <v>La Banque de Montréal (la Banque) est une banque nord-américaine. La Banque offre une vaste gamme de produits et services bancaires aux particuliers et aux entreprises, de gestion de patrimoine, de marchés mondiaux et de services bancaires d'investissement. La Banque dessert environ 13 millions de clients en Amérique du Nord et dans certains marchés à l'échelle mondiale, par l'entremise de trois groupes d'exploitation intégrés : services bancaires aux particuliers et aux entreprises, gestion de patrimoine BMO et marchés des capitaux BMO. Le groupe d'exploitation de la protection des biens et services représente la somme de ses deux secteurs d'exploitation de détail et commerciaux, les services bancaires aux particuliers et aux entreprises au Canada (services bancaires aux particuliers et aux entreprises au Canada) et les services bancaires aux particuliers et aux entreprises aux États-Unis (services bancaires aux particuliers et aux entreprises aux États-Unis) BMO gestion de patrimoine dessert une gamme complète de clients, des particuliers et des familles aux propriétaires d'entreprises et aux institutions, offrant une vaste gamme de produits et services de gestion de patrimoine, de gestion d'actifs et d'assurance. BMO marchés des capitaux offre une gamme complète de produits et de services aux entreprises, aux institutions et au gouvernement.</v>
    <v>CAD</v>
    <v>53000</v>
    <v>XTSE</v>
    <v>210.73</v>
    <v>210.73</v>
    <v>Banking Services</v>
    <v>536</v>
    <v>-1.1258999999999998E-2</v>
    <v>-2.36</v>
    <v>BANK OF MONTREAL</v>
    <v>BANK OF MONTREAL</v>
    <v>209.5</v>
    <v>17.266400000000001</v>
    <v>207.25</v>
    <v>207.25</v>
    <v>1 First Canadian Place, TORONTO, ON, M5X 1A1 CA</v>
    <v>Bourse</v>
    <v>BANK OF MONTREAL (XTSE:BMO)</v>
    <v>1805018</v>
    <v>2463980</v>
  </rv>
  <rv s="2">
    <v>537</v>
  </rv>
  <rv s="0">
    <v>https://www.bing.com/financeapi/forcetrigger?t=aazbgh&amp;q=XTSE%3aNA&amp;form=skydnc</v>
    <v>Learn more on Bing</v>
  </rv>
  <rv s="7">
    <v>fr-FR</v>
    <v>aazbgh</v>
    <v>268435456</v>
    <v>1</v>
    <v>Avec Refinitiv</v>
    <v>18</v>
    <v>19</v>
    <v>BANQUE NATIONALE DU CANADA (XTSE:NA)</v>
    <v>3</v>
    <v>22</v>
    <v>Finance</v>
    <v>5</v>
    <v>XTSE</v>
    <v>385988900</v>
    <v>1994</v>
    <v>201.51</v>
    <v>114.36</v>
    <v>1.2101</v>
    <v>77888700131</v>
    <v>Toronto Stock Exchange</v>
    <v>0</v>
    <v>0</v>
    <v>203.68</v>
    <v>NA</v>
    <v>46133.833333333336</v>
    <v>La Banque nationale du Canada (la Banque) est une institution financière canadienne. La Banque opère par segments : services bancaires aux particuliers et aux entreprises, gestion de patrimoine, marchés financiers et finance spécialisée américaine et internationale (USSF&amp;I). Son secteur des services bancaires aux particuliers et aux entreprises comprend les services bancaires, de financement et de placement offerts aux particuliers, aux conseillers et aux entreprises, ainsi que les activités d'assurance. Son secteur de la gestion de patrimoine comprend des solutions de placement, des services fiduciaires, des services bancaires, des services de prêt et d'autres solutions de gestion de patrimoine offertes par l'intermédiaire de réseaux de distribution internes et tiers. Son segment marchés financiers comprend les services bancaires aux entreprises, les services bancaires d'investissement et les solutions financières pour les grandes et moyennes entreprises, les organisations du secteur public et les investisseurs institutionnels. Son secteur USSF&amp;I comprend des services financiers spécialisés ainsi que des produits et services financiers fournis par l'intermédiaire de ses filiales, Credigy Ltd. et Advanced Bank of Asia Limited.</v>
    <v>CAD</v>
    <v>33527</v>
    <v>XTSE</v>
    <v>204.46</v>
    <v>204.46</v>
    <v>Banking Services</v>
    <v>539</v>
    <v>-9.2789999999999991E-3</v>
    <v>-1.89</v>
    <v>BANQUE NATIONALE DU CANADA</v>
    <v>BANQUE NATIONALE DU CANADA</v>
    <v>203.44</v>
    <v>19.403099999999998</v>
    <v>201.79</v>
    <v>201.79</v>
    <v>800, RUE SAINT-JACQUES, QC, H3C 1A3 CA</v>
    <v>Bourse</v>
    <v>BANQUE NATIONALE DU CANADA (XTSE:NA)</v>
    <v>1602995</v>
    <v>990390</v>
  </rv>
  <rv s="2">
    <v>540</v>
  </rv>
  <rv s="0">
    <v>https://www.bing.com/financeapi/forcetrigger?t=ab12w7&amp;q=XTSE%3aRY&amp;form=skydnc</v>
    <v>Learn more on Bing</v>
  </rv>
  <rv s="7">
    <v>fr-FR</v>
    <v>ab12w7</v>
    <v>268435456</v>
    <v>1</v>
    <v>Avec Refinitiv</v>
    <v>18</v>
    <v>19</v>
    <v>RBC DOMINION SECURITIES (XTSE:RY)</v>
    <v>3</v>
    <v>22</v>
    <v>Finance</v>
    <v>5</v>
    <v>XTSE</v>
    <v>1397703000</v>
    <v>1995</v>
    <v>242.31</v>
    <v>158.52000000000001</v>
    <v>0.9425</v>
    <v>339376265430</v>
    <v>Toronto Stock Exchange</v>
    <v>0</v>
    <v>0</v>
    <v>245.85</v>
    <v>RY</v>
    <v>46133.833333333336</v>
    <v>Royal Bank of Canada (RBC) est une institution financière mondiale. Ses activités comprennent les services bancaires aux particuliers et aux entreprises, la gestion de patrimoine, les marchés des capitaux et l'assurance. Les services bancaires aux particuliers et aux entreprises comprennent ses activités bancaires aux particuliers et certaines entreprises de placement de détail au Canada, dans les Caraïbes et aux États-Unis, ainsi que ses activités bancaires aux entreprises et aux entreprises au Canada et dans les Caraïbes. Wealth Management offre une gamme complète de solutions de placement, de fiducie et d'autres solutions de gestion de patrimoine pour les entreprises. Marchés des capitaux fournit aux entreprises publiques et privées, aux investisseurs institutionnels, aux gouvernements et aux banques centrales du monde entier une gamme de produits et de services de marchés des capitaux dans ses deux principaux secteurs d'activité : les services bancaires aux entreprises et d'investissement et les marchés mondiaux. L'assurance offre une gamme de vie, santé, habitation, automobile, voyage, conseils et solutions de gestion de patrimoine et de réassurance, ainsi que services d'assurance créance et d'assurance entreprise aux particuliers, aux entreprises et aux groupes.</v>
    <v>CAD</v>
    <v>97469</v>
    <v>XTSE</v>
    <v>246.72</v>
    <v>246.72</v>
    <v>Banking Services</v>
    <v>542</v>
    <v>-1.2364999999999999E-2</v>
    <v>-3.04</v>
    <v>RBC DOMINION SECURITIES</v>
    <v>RBC DOMINION SECURITIES</v>
    <v>245.91</v>
    <v>16.6571</v>
    <v>242.81</v>
    <v>242.81</v>
    <v>1 PLACE Ville Marie, QC, H3B 3A9 CA</v>
    <v>Bourse</v>
    <v>RBC DOMINION SECURITIES (XTSE:RY)</v>
    <v>7290523</v>
    <v>4180360</v>
  </rv>
  <rv s="2">
    <v>543</v>
  </rv>
  <rv s="0">
    <v>https://www.bing.com/financeapi/forcetrigger?t=aax3kr&amp;q=XTSE%3aBEP.UN&amp;form=skydnc</v>
    <v>Learn more on Bing</v>
  </rv>
  <rv s="8">
    <v>fr-FR</v>
    <v>aax3kr</v>
    <v>268435456</v>
    <v>1</v>
    <v>Avec Refinitiv</v>
    <v>23</v>
    <v>24</v>
    <v>BRKFLD RWBL PRT NON VTG UNT (XTSE:BEP.UN)</v>
    <v>8</v>
    <v>25</v>
    <v>Finance</v>
    <v>5</v>
    <v>XTSE</v>
    <v>44.08</v>
    <v>29.28</v>
    <v>Toronto Stock Exchange</v>
    <v>0</v>
    <v>0</v>
    <v>47.36</v>
    <v>BEP.UN</v>
    <v>46133.849374999998</v>
    <v>CAD</v>
    <v>47.2</v>
    <v>49.31</v>
    <v>545</v>
    <v>-6.3556000000000001E-2</v>
    <v>-3.01</v>
    <v>BRKFLD RWBL PRT NON VTG UNT</v>
    <v>47.14</v>
    <v>44.35</v>
    <v>44.35</v>
    <v>Fonds coté en bourse</v>
    <v>BRKFLD RWBL PRT NON VTG UNT (XTSE:BEP.UN)</v>
    <v>733548</v>
  </rv>
  <rv s="2">
    <v>546</v>
  </rv>
  <rv s="0">
    <v>https://www.bing.com/financeapi/forcetrigger?t=a1qlz2&amp;q=XNYS%3aCVX&amp;form=skydnc</v>
    <v>Learn more on Bing</v>
  </rv>
  <rv s="7">
    <v>fr-FR</v>
    <v>a1qlz2</v>
    <v>268435456</v>
    <v>1</v>
    <v>Avec Refinitiv</v>
    <v>18</v>
    <v>19</v>
    <v>CHEVRON CORPORATION (XNYS:CVX)</v>
    <v>3</v>
    <v>20</v>
    <v>Finance</v>
    <v>21</v>
    <v>XNYS</v>
    <v>1991899000</v>
    <v>1926</v>
    <v>182.34</v>
    <v>132.33000000000001</v>
    <v>0.4904</v>
    <v>370533051980</v>
    <v>New York Stock Exchange</v>
    <v>-0.03</v>
    <v>-1.6129999999999999E-4</v>
    <v>183.25</v>
    <v>CVX</v>
    <v>46133.899925810154</v>
    <v>Chevron Corporation est une entreprise énergétique intégrée. La Société produit du pétrole brut et du gaz naturel ; elle fabrique des carburants, des lubrifiants, des produits pétrochimiques et des additifs pour le transport ; elle met au point des technologies qui améliorent ses activités et son industrie. Les segments de la Société comprennent en amont et en aval. Les activités en amont consistent principalement à explorer, mettre en valeur, produire et transporter du pétrole brut et du gaz naturel ; liquéfaction, transport et regazéification associés au GNL ; transporter du pétrole brut par les principaux oléoducs internationaux d'exportation de pétrole ; traiter, transporter, stocker et commercialiser le gaz naturel ; capter et stocker le carbone ; et créer une usine de transformation du gaz en liquides. Les activités en aval comprennent principalement le raffinage du pétrole brut en produits pétroliers ; la commercialisation du pétrole brut, des produits raffinés et des lubrifiants ; la fabrication et la commercialisation de carburants renouvelables ; et le transport du pétrole brut et des produits raffinés par pipeline, navire, équipement motorisé et wagon.</v>
    <v>USD</v>
    <v>43039</v>
    <v>XNYS</v>
    <v>186.37</v>
    <v>214.71</v>
    <v>Oil &amp; Gas</v>
    <v>548</v>
    <v>1.5116000000000001E-2</v>
    <v>2.77</v>
    <v>CHEVRON CORPORATION</v>
    <v>CHEVRON CORPORATION</v>
    <v>183.97</v>
    <v>27.990200000000002</v>
    <v>186.02</v>
    <v>185.95</v>
    <v>1400 SMITH STREET, HOUSTON, TX, 77002 US</v>
    <v>Bourse</v>
    <v>CHEVRON CORPORATION (XNYS:CVX)</v>
    <v>9784898</v>
    <v>13900992</v>
  </rv>
  <rv s="2">
    <v>549</v>
  </rv>
  <rv s="0">
    <v>https://www.bing.com/financeapi/forcetrigger?t=a1pshw&amp;q=XNYS%3aCL&amp;form=skydnc</v>
    <v>Learn more on Bing</v>
  </rv>
  <rv s="7">
    <v>fr-FR</v>
    <v>a1pshw</v>
    <v>268435456</v>
    <v>1</v>
    <v>Avec Refinitiv</v>
    <v>18</v>
    <v>19</v>
    <v>COLGATE-PALMOLIVE COMPANY (XNYS:CL)</v>
    <v>3</v>
    <v>20</v>
    <v>Finance</v>
    <v>21</v>
    <v>XNYS</v>
    <v>802301900</v>
    <v>1923</v>
    <v>81.790000000000006</v>
    <v>74.545000000000002</v>
    <v>0.29659999999999997</v>
    <v>65636318439</v>
    <v>New York Stock Exchange</v>
    <v>0</v>
    <v>0</v>
    <v>83.53</v>
    <v>CL</v>
    <v>46133.899228240625</v>
    <v>Colgate-Palmolive Company est une entreprise en pleine croissance. Elle se concentre sur les soins buccaux, les soins personnels, les soins à domicile et la nutrition pour animaux de compagnie, elle vend ses produits sous des marques, telles que Colgate, Palmolive, elmex, bonjour, Meridol, Sorriso, Tom's of Maine, EltaMD, Filorga, Irish Spring, Lady Speed Stick, PCA SKIN, Protex, Sanex, Softsoap, Speed Stick, Ajax, Axion, Fabuloso, Murphy, Soupline et Suavitel, ainsi que Hill's Science Diet et Hill's prescription Diet. Son segment de produits de soins buccaux, personnels et à domicile est géré géographiquement dans cinq segments, tels que l'Amérique du Nord, l'Amérique latine, l'Europe, l'Asie-Pacifique et l'Afrique/Eurasie, qui vendent tous principalement à une variété de détaillants traditionnels et de commerce électronique, grossistes, distributeurs, dentistes et professionnels de la santé de la peau. Ses produits Pet Nutrition comprennent des produits spécialisés de nutrition pour animaux fabriqués et commercialisés par Hill's Pet Nutrition. Les clients des produits Pet Nutrition sont les détaillants autorisés en fournitures pour animaux de compagnie, les vétérinaires et les détaillants de commerce électronique.</v>
    <v>USD</v>
    <v>33600</v>
    <v>XNYS</v>
    <v>84.144999999999996</v>
    <v>99.33</v>
    <v>Personal &amp; Household Products &amp; Services</v>
    <v>551</v>
    <v>-2.0590999999999998E-2</v>
    <v>-1.72</v>
    <v>COLGATE-PALMOLIVE COMPANY</v>
    <v>COLGATE-PALMOLIVE COMPANY</v>
    <v>84.12</v>
    <v>31.208500000000001</v>
    <v>81.81</v>
    <v>81.81</v>
    <v>300 PARK AVE, NEW YORK, NY, 10022 US</v>
    <v>Bourse</v>
    <v>COLGATE-PALMOLIVE COMPANY (XNYS:CL)</v>
    <v>5367064</v>
    <v>6094193</v>
  </rv>
  <rv s="2">
    <v>552</v>
  </rv>
  <rv s="0">
    <v>https://www.bing.com/financeapi/forcetrigger?t=a1pxpr&amp;q=XNYS%3aCMP&amp;form=skydnc</v>
    <v>Learn more on Bing</v>
  </rv>
  <rv s="9">
    <v>fr-FR</v>
    <v>a1pxpr</v>
    <v>268435456</v>
    <v>1</v>
    <v>Avec Refinitiv</v>
    <v>26</v>
    <v>27</v>
    <v>Compass Min Intl (XNYS:CMP)</v>
    <v>3</v>
    <v>28</v>
    <v>Finance</v>
    <v>29</v>
    <v>XNYS</v>
    <v>41863270</v>
    <v>1993</v>
    <v>25.395</v>
    <v>11.12</v>
    <v>1.1651</v>
    <v>1069606548</v>
    <v>New York Stock Exchange</v>
    <v>-0.54</v>
    <v>-2.1135000000000001E-2</v>
    <v>25.51</v>
    <v>CMP</v>
    <v>46133.876639582813</v>
    <v>Compass Minerals International, Inc. is a global provider of essential minerals, including salt, sulfate of potash (SOP) and magnesium chloride. The Company is also working to develop a long-term fire-retardant business. Its segments include Salt and Plant Nutrition. Salt segment provides highway deicing salt to customers in North America and the United Kingdom, as well as consumer deicing and water conditioning products, ingredients used in consumer and commercial food preparation, and other salt-based products for consumer, industrial, chemical and agricultural applications in North America. In the United Kingdom, it operates a records management business utilizing excavated areas of its Winsford salt mine with one other location in London, England. Plant Nutrition segment produces and markets SOP products in various grades worldwide to distributors and retailers of crop inputs, as well as growers and for industrial uses. It markets its SOP under the trade name Protassium+.</v>
    <v>USD</v>
    <v>1800</v>
    <v>XNYS</v>
    <v>26.219899999999999</v>
    <v>27</v>
    <v>Chemicals</v>
    <v>554</v>
    <v>1.5679999999999999E-3</v>
    <v>0.04</v>
    <v>Compass Min Intl</v>
    <v>Compass Min Intl</v>
    <v>25.48</v>
    <v>25.55</v>
    <v>25.01</v>
    <v>SUITE 100, 9900 W. 109TH STREET, OVERLAND PARK, KS, 66210 US</v>
    <v>Bourse</v>
    <v>Compass Min Intl (XNYS:CMP)</v>
    <v>612968</v>
    <v>627327</v>
  </rv>
  <rv s="2">
    <v>555</v>
  </rv>
  <rv s="0">
    <v>https://www.bing.com/financeapi/forcetrigger?t=ab21dm&amp;q=XTSE%3aXSP&amp;form=skydnc</v>
    <v>Learn more on Bing</v>
  </rv>
  <rv s="3">
    <v>fr-FR</v>
    <v>ab21dm</v>
    <v>268435456</v>
    <v>1</v>
    <v>Avec Refinitiv</v>
    <v>6</v>
    <v>7</v>
    <v>Core S&amp;P 500 Idx ETF (CAD-Hdg) (XTSE:XSP)</v>
    <v>8</v>
    <v>9</v>
    <v>Finance</v>
    <v>10</v>
    <v>XTSE</v>
    <v>71.28</v>
    <v>52.99</v>
    <v>0.95079999999999998</v>
    <v>13552259917.129999</v>
    <v>Toronto Stock Exchange</v>
    <v>71.84</v>
    <v>XSP</v>
    <v>46133.833321759259</v>
    <v>CAD</v>
    <v>72.09</v>
    <v>72.22</v>
    <v>557</v>
    <v>-6.4029999999999998E-3</v>
    <v>-0.46</v>
    <v>Core S&amp;P 500 Idx ETF (CAD-Hdg)</v>
    <v>71.94</v>
    <v>71.38</v>
    <v>8.9999999999999998E-4</v>
    <v>Fonds coté en bourse</v>
    <v>Core S&amp;P 500 Idx ETF (CAD-Hdg) (XTSE:XSP)</v>
    <v>241246</v>
  </rv>
  <rv s="2">
    <v>558</v>
  </rv>
  <rv s="0">
    <v>https://www.bing.com/financeapi/forcetrigger?t=aaxnhw&amp;q=XTSE%3aCTC&amp;form=skydnc</v>
    <v>Learn more on Bing</v>
  </rv>
  <rv s="10">
    <v>fr-FR</v>
    <v>aaxnhw</v>
    <v>268435456</v>
    <v>1</v>
    <v>Avec Refinitiv</v>
    <v>30</v>
    <v>31</v>
    <v>CANADIAN TIRE CORPORATION, LIMITED (XTSE:CTC)</v>
    <v>3</v>
    <v>32</v>
    <v>Finance</v>
    <v>10</v>
    <v>XTSE</v>
    <v>52632890</v>
    <v>1980</v>
    <v>219.99</v>
    <v>204.32</v>
    <v>1.0004</v>
    <v>11578709471</v>
    <v>Toronto Stock Exchange</v>
    <v>213</v>
    <v>CTC</v>
    <v>46133.833113425928</v>
    <v>La Société Canadian Tire limitée comprend trois activités commerciales principales, qui offrent une gamme de produits et de services au détail, y compris des marchandises générales, des vêtements, des articles de sport, du pétrole, services financiers, y compris une banque, et opérations immobilières. Ses segments comprennent la vente au détail, les services financiers et CT REIT. Le secteur de la vente au détail se déroule sous plusieurs bannières, notamment Canadian Tire, Canadian Tire Gas+ (pétrole), Mark's, PartSource, Party City in Canada et diverses bannières SportChek. La vente au détail comprend également le programme de prêts aux concessionnaires par le biais duquel la fiducie de franchise accorde des prêts à certains concessionnaires. L'immobilier REIT non CT est inclus dans Retail. Le secteur des services financiers émet des cartes de crédit Triangle de Canadian Tire, notamment Triangle Mastercard, Triangle World Elite Mastercard et Cash Advantage Mastercard. CT REIT segment est une fiducie de placement immobilier fermée. CT REIT détient un portefeuille diversifié de propriétés au Canada, comprenant des magasins de bannières Canadian Tire.</v>
    <v>CAD</v>
    <v>11877</v>
    <v>XTSE</v>
    <v>219.99</v>
    <v>274.01</v>
    <v>Diversified Retail</v>
    <v>560</v>
    <v>3.2816999999999999E-2</v>
    <v>6.99</v>
    <v>CANADIAN TIRE CORPORATION, LIMITED</v>
    <v>CANADIAN TIRE CORPORATION, LIMITED</v>
    <v>219.99</v>
    <v>20.8127</v>
    <v>219.99</v>
    <v>2180 Yonge Street, TORONTO, ON, M4P 2V8 CA</v>
    <v>Bourse</v>
    <v>CANADIAN TIRE CORPORATION, LIMITED (XTSE:CTC)</v>
    <v>192</v>
    <v>310700</v>
  </rv>
  <rv s="2">
    <v>561</v>
  </rv>
  <rv s="0">
    <v>https://www.bing.com/financeapi/forcetrigger?t=aaxnqh&amp;q=XTSE%3aCU&amp;form=skydnc</v>
    <v>Learn more on Bing</v>
  </rv>
  <rv s="7">
    <v>fr-FR</v>
    <v>aaxnqh</v>
    <v>268435456</v>
    <v>1</v>
    <v>Avec Refinitiv</v>
    <v>18</v>
    <v>19</v>
    <v>CANADIAN UTILITIES LIMITED (XTSE:CU)</v>
    <v>3</v>
    <v>22</v>
    <v>Finance</v>
    <v>5</v>
    <v>XTSE</v>
    <v>205666700</v>
    <v>1979</v>
    <v>47.74</v>
    <v>36.229999999999997</v>
    <v>0.57579999999999998</v>
    <v>9855548264</v>
    <v>Toronto Stock Exchange</v>
    <v>0</v>
    <v>0</v>
    <v>48.21</v>
    <v>CU</v>
    <v>46133.849340277775</v>
    <v>Canadian Utilities Limited est une entreprise mondiale diversifiée d'infrastructure énergétique qui offre des services essentiels et des solutions d'affaires. Les segments de la société comprennent ATCO Energy Systems, ATCO EnPower, ATCO Australia et Financing &amp; Other. Le secteur ATCO Energy Systems comprend le transport et la distribution d'électricité et de gaz naturel, ainsi que les activités internationales d'électricité. Elle assure le transport de l'électricité principalement dans le nord et le centre-est de l'Alberta, ainsi que dans la région de Lloydminster, en Saskatchewan. Le segment ATCO EnPower crée des solutions énergétiques durables dans les domaines de la production d'électricité, du stockage d'énergie, de l'eau industrielle et des carburants plus propres. Ses activités de transition énergétique comprennent la production d'électricité hydroélectrique, solaire, éolienne et au gaz naturel. Elle développe également ses activités de carburants plus propres, notamment l'hydrogène, les dérivés de l'hydrogène et les projets de captage et de séquestration du carbone. Le segment ATCO Australia développe, construit, possède et exploite des actifs énergétiques et infrastructurels.</v>
    <v>CAD</v>
    <v>8632</v>
    <v>XTSE</v>
    <v>48.28</v>
    <v>51.05</v>
    <v>Multiline Utilities</v>
    <v>563</v>
    <v>-6.0150000000000004E-3</v>
    <v>-0.28999999999999998</v>
    <v>CANADIAN UTILITIES LIMITED</v>
    <v>CANADIAN UTILITIES LIMITED</v>
    <v>48.14</v>
    <v>308.80270000000002</v>
    <v>47.92</v>
    <v>47.92</v>
    <v>5302 Forand St SW, AB, T3E 8B4 CA</v>
    <v>Bourse</v>
    <v>CANADIAN UTILITIES LIMITED (XTSE:CU)</v>
    <v>554228</v>
    <v>636980</v>
  </rv>
  <rv s="2">
    <v>564</v>
  </rv>
  <rv s="0">
    <v>https://www.bing.com/financeapi/forcetrigger?t=aaxyr7&amp;q=XTSE%3aEMA&amp;form=skydnc</v>
    <v>Learn more on Bing</v>
  </rv>
  <rv s="7">
    <v>fr-FR</v>
    <v>aaxyr7</v>
    <v>268435456</v>
    <v>1</v>
    <v>Avec Refinitiv</v>
    <v>18</v>
    <v>19</v>
    <v>EMERA INCORPORATED (XTSE:EMA)</v>
    <v>3</v>
    <v>22</v>
    <v>Finance</v>
    <v>5</v>
    <v>XTSE</v>
    <v>302973300</v>
    <v>1998</v>
    <v>70.2</v>
    <v>59.02</v>
    <v>0.44090000000000001</v>
    <v>21444450174</v>
    <v>Toronto Stock Exchange</v>
    <v>0</v>
    <v>0</v>
    <v>71.010000000000005</v>
    <v>EMA</v>
    <v>46133.849340277775</v>
    <v>Emera Incorporated est une société d'énergie et de services géographiquement diversifiée. Elle investit dans la production d'électricité réglementée ainsi que dans le transport et la distribution d'électricité et de gaz, en mettant l'accent sur la transformation de sources d'énergie à haute teneur en carbone en sources d'énergie à faible intensité de carbone. Ses segments comprennent Florida Electric Utility, Canadian Electric Utilities, Gas Utilities and infrastructure, Other Electric Utilities et autres. Florida Electric Utility se compose de Tampa Electric, un service électrique réglementé intégré verticalement dans le centre-ouest de la Floride. Canadian Electric Utilities comprend Nova Scotia Power Inc., une compagnie d'électricité réglementée intégrée verticalement et le fournisseur d'électricité de la Nouvelle-Écosse, ainsi qu'une participation de 100 % dans NSP maritime Link Inc. Les services publics de gaz et d'infrastructure comprennent Peoples Gas System, Inc., New Mexico Gas Company, Inc., Emera Brunswick Pipeline Company Limited, Seacoast Gas transmission, LLC et Maritimes &amp; Northeast Pipeline, LLC.</v>
    <v>CAD</v>
    <v>7812</v>
    <v>XTSE</v>
    <v>71.3</v>
    <v>74.8</v>
    <v>Electrical Utilities &amp; IPPs</v>
    <v>566</v>
    <v>-3.2390000000000001E-3</v>
    <v>-0.23</v>
    <v>EMERA INCORPORATED</v>
    <v>EMERA INCORPORATED</v>
    <v>70.989999999999995</v>
    <v>20.851900000000001</v>
    <v>70.78</v>
    <v>70.78</v>
    <v>5151 Terminal Road, HALIFAX, NS, B3J 1A1 CA</v>
    <v>Bourse</v>
    <v>EMERA INCORPORATED (XTSE:EMA)</v>
    <v>802696</v>
    <v>1571760</v>
  </rv>
  <rv s="2">
    <v>567</v>
  </rv>
  <rv s="11">
    <v>fr-FR</v>
    <v>c8bc4c</v>
    <v>268435456</v>
    <v>1</v>
    <v>Avec Refinitiv</v>
    <v>33</v>
    <v>34</v>
    <v>GE HealthCare Technologies Inc. (XNAS:GEHC)</v>
    <v>35</v>
    <v>20</v>
    <v>Finance</v>
    <v>21</v>
    <v>XNAS</v>
    <v>456290100</v>
    <v>2022</v>
    <v>72.08</v>
    <v>59.95</v>
    <v>1.2158</v>
    <v>32971522626</v>
    <v>Nasdaq Stock Market</v>
    <v>0</v>
    <v>0</v>
    <v>74.150000000000006</v>
    <v>GEHC</v>
    <v>46133.899233680466</v>
    <v>GE Healthcare Technologies Inc. est un fournisseur de solutions de soins de santé, proposant des technologies médicales innovantes, des diagnostics pharmaceutiques et des solutions, services et analyses de données intégrées et axées sur l'intelligence artificielle (IA), dans le cloud. Ses secteurs d'activité comprennent l'imagerie, les solutions de visualisation avancée (AVS), les solutions de soins aux patients (PCS) et les diagnostics pharmaceutiques (PDX). Son segment imagerie offre une gamme de dispositifs de lecture, d'applications cliniques, de capacités de service et de solutions numériques. Son segment AVS propose des échographies, des thérapies guidées par l'image et des solutions interventionnelles avec un portefeuille qui couvre le continuum des soins, y compris le dépistage, le diagnostic, le traitement et la surveillance de certaines maladies. Son segment PCS comprend la surveillance des patients, l'anesthésie et les soins respiratoires, la cardiologie diagnostique, les soins maternels et infantiles, ainsi que les consommables et services. Son segment PDX développe et produit deux types d'agents d'imagerie : les produits de contraste et les produits radiopharmaceutiques.</v>
    <v>USD</v>
    <v>54000</v>
    <v>XNAS</v>
    <v>74.64</v>
    <v>89.77</v>
    <v>Healthcare Equipment &amp; Supplies</v>
    <v>-2.5489000000000001E-2</v>
    <v>-1.89</v>
    <v>GE HealthCare Technologies Inc.</v>
    <v>GE HealthCare Technologies Inc.</v>
    <v>74.424999999999997</v>
    <v>15.874700000000001</v>
    <v>72.260000000000005</v>
    <v>72.260000000000005</v>
    <v>500 West Monroe Street, CHICAGO, IL, 60661 US</v>
    <v>Bourse</v>
    <v>GE HealthCare Technologies Inc. (XNAS:GEHC)</v>
    <v>2720166</v>
    <v>3507882</v>
  </rv>
  <rv s="2">
    <v>569</v>
  </rv>
  <rv s="11">
    <v>fr-FR</v>
    <v>ccmvww</v>
    <v>268435456</v>
    <v>1</v>
    <v>Avec Refinitiv</v>
    <v>33</v>
    <v>34</v>
    <v>GE VERNOVA INC. (XNYS:GEV)</v>
    <v>35</v>
    <v>20</v>
    <v>Finance</v>
    <v>21</v>
    <v>XNYS</v>
    <v>268856200</v>
    <v>2023</v>
    <v>984.09</v>
    <v>306.20999999999998</v>
    <v>1.347</v>
    <v>266576299424</v>
    <v>New York Stock Exchange</v>
    <v>3.1</v>
    <v>3.1269999999999996E-3</v>
    <v>990.18</v>
    <v>GEV</v>
    <v>46133.899946874997</v>
    <v>GE Vernova Inc. est une entreprise énergétique mondiale spécialisée qui comprend les segments énergie, éolien et électrification et qui est soutenue par ses activités accélératrices. Elle conçoit, fabrique, fournit et entretient des technologies pour créer un système d'énergie électrique durable, permettant l'électrification et la décarbonisation. Le secteur de l'énergie comprend la conception, la fabrication et l'entretien des technologies du gaz, du nucléaire, de l'hydroélectricité et de la vapeur, fournissant une base essentielle d'énergie distribuable, flexible, stable et fiable. Le segment éolien comprend ses technologies de production éolienne, y compris les éoliennes et les pales terrestres et offshore. Le segment de l'électrification comprend les solutions de réseau, la conversion et le stockage de l'énergie, ainsi que les technologies logicielles d'électrification nécessaires au transport, à la distribution, à la conversion, au stockage et à l'orchestration de l'électricité du point de production au point de consommation. Son activité accélérateur comprend la recherche avancée, les services de conseil et les services financiers.</v>
    <v>USD</v>
    <v>75000</v>
    <v>XNYS</v>
    <v>1016</v>
    <v>1016</v>
    <v>Electrical Utilities &amp; IPPs</v>
    <v>1.353E-3</v>
    <v>1.34</v>
    <v>GE VERNOVA INC.</v>
    <v>GE VERNOVA INC.</v>
    <v>994</v>
    <v>55.585999999999999</v>
    <v>991.52</v>
    <v>994.4</v>
    <v>58 Charles Street, CAMBRIDGE, MA, 02141 US</v>
    <v>Bourse</v>
    <v>GE VERNOVA INC. (XNYS:GEV)</v>
    <v>2105517</v>
    <v>2393004</v>
  </rv>
  <rv s="2">
    <v>571</v>
  </rv>
  <rv s="0">
    <v>https://www.bing.com/financeapi/forcetrigger?t=a1tr1h&amp;q=XNYS%3aGE&amp;form=skydnc</v>
    <v>Learn more on Bing</v>
  </rv>
  <rv s="7">
    <v>fr-FR</v>
    <v>a1tr1h</v>
    <v>268435456</v>
    <v>1</v>
    <v>Avec Refinitiv</v>
    <v>18</v>
    <v>19</v>
    <v>GENERAL ELECTRIC COMPANY (XNYS:GE)</v>
    <v>3</v>
    <v>20</v>
    <v>Finance</v>
    <v>21</v>
    <v>XNYS</v>
    <v>1044830000</v>
    <v>1892</v>
    <v>284.20999999999998</v>
    <v>176.02</v>
    <v>1.4309000000000001</v>
    <v>299594554200</v>
    <v>New York Stock Exchange</v>
    <v>1.77</v>
    <v>6.1729999999999997E-3</v>
    <v>303.60000000000002</v>
    <v>GE</v>
    <v>46133.899702962502</v>
    <v>General Electric Company, faisant affaire sous le nom de GE Aerospace, est une société mondiale de propulsion, de services et de systèmes aérospatiaux. La Société a une base installée d'environ 45 000 moteurs d'avions commerciaux et 25 000 moteurs militaires. La société opère dans deux segments : moteurs et services commerciaux et technologies de défense et de propulsion. Le segment commercial Engines &amp; services conçoit, développe, fabrique et entretient des moteurs à réaction pour les cellules d'avions commerciales, ainsi que pour l'aviation d'affaires et les applications aérodérivées. Ses services comprennent l'entretien, la réparation et la révision (MRO) des moteurs et la vente de pièces détachées et offre des services dans le cadre de divers arrangements. Le segment Defense &amp; propulsion technologies fournit des moteurs de défense et des systèmes d'aéronefs critiques et comprend ses activités Defense &amp; Systems et propulsion &amp; additive technologies. Son portefeuille de marques comprend Avio Aero, Unison, Dowty Propellers et Colibrium additive.</v>
    <v>USD</v>
    <v>57000</v>
    <v>XNYS</v>
    <v>304.3</v>
    <v>348.48</v>
    <v>Aerospace &amp; Defense</v>
    <v>573</v>
    <v>-5.5534E-2</v>
    <v>-16.86</v>
    <v>GENERAL ELECTRIC COMPANY</v>
    <v>GENERAL ELECTRIC COMPANY</v>
    <v>293.57499999999999</v>
    <v>35.591999999999999</v>
    <v>286.74</v>
    <v>288.5</v>
    <v>1 Neumann Way, CINCINNATI, OH, 45215 US</v>
    <v>Bourse</v>
    <v>GENERAL ELECTRIC COMPANY (XNYS:GE)</v>
    <v>12847286</v>
    <v>5722836</v>
  </rv>
  <rv s="2">
    <v>574</v>
  </rv>
  <rv s="0">
    <v>https://www.bing.com/financeapi/forcetrigger?t=a1tvzr&amp;q=XNYS%3aGIS&amp;form=skydnc</v>
    <v>Learn more on Bing</v>
  </rv>
  <rv s="7">
    <v>fr-FR</v>
    <v>a1tvzr</v>
    <v>268435456</v>
    <v>1</v>
    <v>Avec Refinitiv</v>
    <v>18</v>
    <v>19</v>
    <v>GENERAL MILLS, INC. (XNYS:GIS)</v>
    <v>3</v>
    <v>20</v>
    <v>Finance</v>
    <v>21</v>
    <v>XNYS</v>
    <v>533681200</v>
    <v>1928</v>
    <v>34.909999999999997</v>
    <v>34.04</v>
    <v>-2.9899999999999999E-2</v>
    <v>18708194466</v>
    <v>New York Stock Exchange</v>
    <v>0</v>
    <v>0</v>
    <v>35.28</v>
    <v>GIS</v>
    <v>46133.899232765623</v>
    <v>General Mills, Inc. est un fabricant et distributeur mondial d'aliments de consommation de marque. Ses segments comprennent North America Retail, International, North America Pet et North America Foodservice. Le segment de vente au détail en Amérique du Nord reflète les affaires avec une variété de magasins d'alimentation, de grandes surfaces, de magasins de membres, de chaînes alimentaires naturelles, de médicaments, les chaînes dollar et discount, les dépanneurs et les fournisseurs d'épicerie de commerce électronique. Le segment International comprend des entreprises de vente au détail et de restauration à l'extérieur des États-Unis et du Canada. Ses catégories de produits comprennent des crèmes glacées et des desserts surgelés de qualité supérieure, des trousses de repas, des collations salées, des snack-bars, des desserts et des mélanges à pâtisserie, ainsi que des légumes stables à la conservation. Le segment des animaux de compagnie en Amérique du Nord comprend les produits alimentaires pour animaux de compagnie vendus aux États-Unis et au Canada dans les chaînes nationales de supermarchés pour animaux de compagnie, les détaillants de commerce électronique et les épiceries. Les catégories de produits du segment des services alimentaires en Amérique du Nord comprennent les céréales prêtes à consommer, les collations et les mélanges à pâtisserie.</v>
    <v>USD</v>
    <v>33000</v>
    <v>XNYS</v>
    <v>35.469900000000003</v>
    <v>58.45</v>
    <v>Food &amp; Tobacco</v>
    <v>576</v>
    <v>-6.378E-3</v>
    <v>-0.22500000000000001</v>
    <v>GENERAL MILLS, INC.</v>
    <v>GENERAL MILLS, INC.</v>
    <v>35.32</v>
    <v>8.6090999999999998</v>
    <v>35.055</v>
    <v>35.049999999999997</v>
    <v>Number One General Mills Blvd, MINNEAPOLIS, MN, 55426 US</v>
    <v>Bourse</v>
    <v>GENERAL MILLS, INC. (XNYS:GIS)</v>
    <v>7099753</v>
    <v>10361035</v>
  </rv>
  <rv s="2">
    <v>577</v>
  </rv>
  <rv s="0">
    <v>https://creativecommons.org/licenses/by-sa/3.0</v>
    <v>CC BY-SA 3.0</v>
  </rv>
  <rv s="0">
    <v>http://ru.wikipedia.org/wiki/Enbridge</v>
    <v>Wikipedia</v>
  </rv>
  <rv s="12">
    <v>579</v>
    <v>580</v>
  </rv>
  <rv s="13">
    <v>41</v>
    <v>https://www.bing.com/th?id=AMMS_2dff174a9486b673dc917f30af9876c5&amp;qlt=95</v>
    <v>581</v>
    <v>0</v>
    <v>https://www.bing.com/images/search?form=xlimg&amp;q=enbridge</v>
    <v>Image of Enbridge Inc.</v>
  </rv>
  <rv s="0">
    <v>https://www.bing.com/financeapi/forcetrigger?t=aaxzhw&amp;q=XTSE%3aENB&amp;form=skydnc</v>
    <v>Learn more on Bing</v>
  </rv>
  <rv s="14">
    <v>fr-FR</v>
    <v>aaxzhw</v>
    <v>268435456</v>
    <v>1</v>
    <v>Avec Refinitiv</v>
    <v>36</v>
    <v>37</v>
    <v>Enbridge Inc. (XTSE:ENB)</v>
    <v>39</v>
    <v>40</v>
    <v>Finance</v>
    <v>5</v>
    <v>XTSE</v>
    <v>2183598000</v>
    <v>1987</v>
    <v>70.72</v>
    <v>59.674999999999997</v>
    <v>0.75770000000000004</v>
    <v>154991786040</v>
    <v>Toronto Stock Exchange</v>
    <v>0</v>
    <v>0</v>
    <v>71.319999999999993</v>
    <v>ENB</v>
    <v>46133.833333333336</v>
    <v>Enbridge Inc. est une entreprise de transport et de distribution d'énergie. La Société exerce ses activités dans cinq secteurs d'activité : pipelines de liquides, transport et transport de gaz intermédiaires, distribution et stockage de gaz, production d'énergie renouvelable et services énergétiques. Les pipelines de liquides sont des pipelines et des terminaux au Canada et aux États-Unis qui transportent et exportent divers types de pétrole brut et d'autres hydrocarbures liquides. Gas transmission et Midstream comprend ses investissements dans des pipelines de gaz naturel et des installations de collecte et de traitement au Canada et aux États-Unis. La distribution et le stockage de gaz comprennent ses activités de services publics de gaz naturel. Renewable Power Generation comprend des investissements dans les actifs éoliens et solaires, géothermiques, la récupération de chaleur résiduelle et les actifs de transport. Energy services fournit des services de marketing de marchandises physiques, de logistique et de marketing de l'énergie. La Société est propriétaire de l'installation de stockage de gaz d'Aitken Creek et de l'installation de stockage de gaz d'Aitken Creek North.</v>
    <v>CAD</v>
    <v>14500</v>
    <v>XTSE</v>
    <v>71.819999999999993</v>
    <v>77.180000000000007</v>
    <v>582</v>
    <v>Oil &amp; Gas Related Equipment and Services</v>
    <v>583</v>
    <v>-4.7670000000000004E-3</v>
    <v>-0.34</v>
    <v>Enbridge Inc.</v>
    <v>Enbridge Inc.</v>
    <v>71.39</v>
    <v>22.023199999999999</v>
    <v>70.98</v>
    <v>70.98</v>
    <v>425-1st Street South West Suite 200, AB, T2P 3L8 CA</v>
    <v>Bourse</v>
    <v>Enbridge Inc. (XTSE:ENB)</v>
    <v>5867811</v>
    <v>5408090</v>
  </rv>
  <rv s="2">
    <v>584</v>
  </rv>
  <rv s="0">
    <v>https://www.bing.com/financeapi/forcetrigger?t=aaybr7&amp;q=XTSE%3aFTS&amp;form=skydnc</v>
    <v>Learn more on Bing</v>
  </rv>
  <rv s="7">
    <v>fr-FR</v>
    <v>aaybr7</v>
    <v>268435456</v>
    <v>1</v>
    <v>Avec Refinitiv</v>
    <v>18</v>
    <v>19</v>
    <v>Fortis Inc. (XTSE:FTS)</v>
    <v>3</v>
    <v>22</v>
    <v>Finance</v>
    <v>5</v>
    <v>XTSE</v>
    <v>509133000</v>
    <v>1987</v>
    <v>75.959999999999994</v>
    <v>63.54</v>
    <v>0.42270000000000002</v>
    <v>38918126520</v>
    <v>Toronto Stock Exchange</v>
    <v>0</v>
    <v>0</v>
    <v>76.959999999999994</v>
    <v>FTS</v>
    <v>46133.849328703705</v>
    <v>Fortis Inc. est une société de portefeuille diversifiée réglementée de services publics d'électricité et de gaz établie au Canada. Ses services publics réglementés comprennent ITC, uns Energy, Central Hudson, FortisBC Energy Inc, FortisAlberta Inc, FortisBC Inc. et autres électriques. L'ITC comprend Investment Holdings Inc., ITC Holdings Corp. et les activités de transport d'électricité de ses filiales d'exploitation réglementées, qui comprennent International transmission Company, Michigan Electric transmission Company, LLC, ITC Midwest LLC et ITC Great Plains, LLC. UNS Energy comprend uns Energy Corporation, qui comprend principalement Tucson Electric Power Company, uns Electric, Inc. et uns Gas, Inc. Le Central Hudson comprend CH Energy Group, Inc, qui comprend principalement Central Hudson Gas &amp; Electric Corporation. Les autres services électriques comprennent les services publics de l'est du Canada et des Caraïbes, comme suit : Newfoundland Power Inc, maritime Electric Company, Limited, FortisOntario Inc, et d'autres.</v>
    <v>CAD</v>
    <v>9926</v>
    <v>XTSE</v>
    <v>77.08</v>
    <v>80.69</v>
    <v>Electrical Utilities &amp; IPPs</v>
    <v>586</v>
    <v>-6.757E-3</v>
    <v>-0.52</v>
    <v>Fortis Inc.</v>
    <v>Fortis Inc.</v>
    <v>76.86</v>
    <v>22.461400000000001</v>
    <v>76.44</v>
    <v>76.44</v>
    <v>5 Springdale Street, Fortis Place, Suite 1100, ST. JOHNS, NL, A1B 3T2 CA</v>
    <v>Bourse</v>
    <v>Fortis Inc. (XTSE:FTS)</v>
    <v>1834262</v>
    <v>1146070</v>
  </rv>
  <rv s="2">
    <v>587</v>
  </rv>
  <rv s="0">
    <v>https://www.bing.com/financeapi/forcetrigger?t=ab1sxm&amp;q=XTSE%3aWN&amp;form=skydnc</v>
    <v>Learn more on Bing</v>
  </rv>
  <rv s="7">
    <v>fr-FR</v>
    <v>ab1sxm</v>
    <v>268435456</v>
    <v>1</v>
    <v>Avec Refinitiv</v>
    <v>18</v>
    <v>19</v>
    <v>GEORGE WESTON LIMITED (XTSE:WN)</v>
    <v>3</v>
    <v>22</v>
    <v>Finance</v>
    <v>5</v>
    <v>XTSE</v>
    <v>377136900</v>
    <v>2021</v>
    <v>96.02</v>
    <v>82.77</v>
    <v>0.51459999999999995</v>
    <v>36638849835</v>
    <v>Toronto Stock Exchange</v>
    <v>0</v>
    <v>0</v>
    <v>96.37</v>
    <v>WN</v>
    <v>46133.851412037038</v>
    <v>George Weston Limited est une société Canadienne. La Société exerce ses activités dans ses deux secteurs isolables : les sociétés Loblaw limitée (Loblaw) et la fiducie de placement immobilier Choice Properties (Choice Properties). Loblaw offre aux Canadiens des produits d'épicerie, de pharmacie, de santé et de beauté, de vêtements, de marchandises générales, services financiers et produits et services mobiles sans fil. Propriétés Choice possède, gère et développe un portefeuille de propriétés commerciales et résidentielles de grande qualité partout au Canada.</v>
    <v>CAD</v>
    <v>220000</v>
    <v>XTSE</v>
    <v>97.81</v>
    <v>104.5</v>
    <v>Food &amp; Drug Retailing</v>
    <v>589</v>
    <v>8.0940000000000005E-3</v>
    <v>0.78</v>
    <v>GEORGE WESTON LIMITED</v>
    <v>GEORGE WESTON LIMITED</v>
    <v>96.25</v>
    <v>37.080199999999998</v>
    <v>97.15</v>
    <v>97.15</v>
    <v>22 St. Clair Avenue East, TORONTO, ON, M4T 2S5 CA</v>
    <v>Bourse</v>
    <v>GEORGE WESTON LIMITED (XTSE:WN)</v>
    <v>251809</v>
    <v>332990</v>
  </rv>
  <rv s="2">
    <v>590</v>
  </rv>
  <rv s="0">
    <v>https://www.bing.com/financeapi/forcetrigger?t=a1u99c&amp;q=XNYS%3aGSK&amp;form=skydnc</v>
    <v>Learn more on Bing</v>
  </rv>
  <rv s="7">
    <v>fr-FR</v>
    <v>a1u99c</v>
    <v>268435456</v>
    <v>1</v>
    <v>Avec Refinitiv</v>
    <v>18</v>
    <v>19</v>
    <v>GSK PLC (XNYS:GSK)</v>
    <v>3</v>
    <v>20</v>
    <v>Finance</v>
    <v>29</v>
    <v>XNYS</v>
    <v>2028226000</v>
    <v>1999</v>
    <v>55.95</v>
    <v>35.450000000000003</v>
    <v>0.46850000000000003</v>
    <v>113824043120</v>
    <v>New York Stock Exchange</v>
    <v>0.1</v>
    <v>1.7819999999999999E-3</v>
    <v>57.35</v>
    <v>GSK</v>
    <v>46133.880553992967</v>
    <v>GSK plc est une société biopharmaceutique. Les secteurs de la Société comprennent les opérations commerciales et la recherche et développement. Son portefeuille et son portefeuille sont axés sur le développement de médicaments et de vaccins dans quatre domaines thérapeutiques essentiels, qui sont les domaines de la santé humaine sur lesquels il se concentre pour prévenir et traiter les maladies : les maladies respiratoires, immunologiques et inflammatoires ; l'oncologie ; le virus de l'immunodéficience humaine (VIH) et les maladies infectieuses. Ses médicaments spécialisés préviennent et traitent des maladies, du VIH aux maladies respiratoires, en passant par les affections à médiation immunitaire comme le lupus et le cancer. Son portefeuille de vaccins comprend plus de 20 vaccins destinés à protéger les personnes contre les maladies et les infections tout au long de leur vie. Les médicaments généraux comprennent les médicaments inhalés pour l'asthme et la BPCO aux antibiotiques. Elle développe et commercialise un conjugué anticorps-médicament préclinique pour le cancer de la prostate métastatique résistant à la castration. Son portefeuille comprend également l'Efimosfermine, un analogue du facteur de croissance des fibroblastes 21 (FGF21) thérapeutique en développement clinique.</v>
    <v>USD</v>
    <v>66841</v>
    <v>XNYS</v>
    <v>56.51</v>
    <v>61.695</v>
    <v>Pharmaceuticals</v>
    <v>592</v>
    <v>-2.1446999999999997E-2</v>
    <v>-1.23</v>
    <v>GSK PLC</v>
    <v>GSK PLC</v>
    <v>56.48</v>
    <v>14.9809</v>
    <v>56.12</v>
    <v>56.22</v>
    <v>980 Great West Road, BRENTFORD, TW8 9GS GB</v>
    <v>Bourse</v>
    <v>GSK PLC (XNYS:GSK)</v>
    <v>3998796</v>
    <v>4095589</v>
  </rv>
  <rv s="2">
    <v>593</v>
  </rv>
  <rv s="0">
    <v>https://www.bing.com/financeapi/forcetrigger?t=aayejc&amp;q=XTSE%3aGEI&amp;form=skydnc</v>
    <v>Learn more on Bing</v>
  </rv>
  <rv s="7">
    <v>fr-FR</v>
    <v>aayejc</v>
    <v>268435456</v>
    <v>1</v>
    <v>Avec Refinitiv</v>
    <v>18</v>
    <v>19</v>
    <v>GIBSON ENERGY INC. (XTSE:GEI)</v>
    <v>3</v>
    <v>22</v>
    <v>Finance</v>
    <v>5</v>
    <v>XTSE</v>
    <v>172468500</v>
    <v>2011</v>
    <v>27.08</v>
    <v>21.01</v>
    <v>0.57420000000000004</v>
    <v>4739434380</v>
    <v>Toronto Stock Exchange</v>
    <v>0</v>
    <v>0</v>
    <v>27.24</v>
    <v>GEI</v>
    <v>46133.846747685187</v>
    <v>Gibson Energy Inc. est une société d'infrastructure de liquides. Les principales activités de la Société consistent en l'entreposage, l'optimisation, le traitement et la collecte de liquides et de produits raffinés. Ses segments sont l'infrastructure et le Marketing. Le segment infrastructure comprend un réseau d'actifs d'infrastructure pour liquides qui comprend des terminaux pétroliers, des installations de chargement et de déchargement ferroviaires, des pipelines de collecte et une installation de traitement du pétrole brut. Le secteur Marketing participe à l'achat, à la vente, au stockage et à l'optimisation des produits d'hydrocarbures dans le cadre de l'approvisionnement de l'usine de Moose Jaw et de la commercialisation de ses produits raffinés, ainsi qu'à l'augmentation des volumes grâce aux principaux actifs d'infrastructure de la Société. Le segment Marketing s'engage également dans des opportunités d'optimisation. Les activités de la Société sont situées partout en Amérique du Nord, avec des terminaux principaux à Hardisty et Edmonton, en Alberta, Ingleside et Wink, au Texas, et une installation à Moose Jaw, en Saskatchewan.</v>
    <v>CAD</v>
    <v>2520</v>
    <v>XTSE</v>
    <v>27.63</v>
    <v>30.5</v>
    <v>Oil &amp; Gas</v>
    <v>595</v>
    <v>8.8109999999999994E-3</v>
    <v>0.24</v>
    <v>GIBSON ENERGY INC.</v>
    <v>GIBSON ENERGY INC.</v>
    <v>27.3</v>
    <v>22.935700000000001</v>
    <v>27.48</v>
    <v>27.48</v>
    <v>1700, 440 - 2 Ave S.W., CALGARY, AB, T2P 5E9 CA</v>
    <v>Bourse</v>
    <v>GIBSON ENERGY INC. (XTSE:GEI)</v>
    <v>705478</v>
    <v>1046400</v>
  </rv>
  <rv s="2">
    <v>596</v>
  </rv>
  <rv s="0">
    <v>https://www.bing.com/financeapi/forcetrigger?t=c6t3jc&amp;q=XNYS%3aHLN&amp;form=skydnc</v>
    <v>Learn more on Bing</v>
  </rv>
  <rv s="7">
    <v>fr-FR</v>
    <v>c6t3jc</v>
    <v>268435456</v>
    <v>1</v>
    <v>Avec Refinitiv</v>
    <v>18</v>
    <v>19</v>
    <v>HALEON PLC (XNYS:HLN)</v>
    <v>3</v>
    <v>20</v>
    <v>Finance</v>
    <v>21</v>
    <v>XNYS</v>
    <v>4449381000</v>
    <v>2021</v>
    <v>9.52</v>
    <v>8.7100000000000009</v>
    <v>0.19689999999999999</v>
    <v>42380354025</v>
    <v>New York Stock Exchange</v>
    <v>0.06</v>
    <v>6.2960000000000004E-3</v>
    <v>9.68</v>
    <v>HLN</v>
    <v>46133.897637198439</v>
    <v>Haleon plc est une société de soins de santé grand public. Le portefeuille de produits de la Société couvre six grandes catégories, y compris la santé buccodentaire, les vitamines, minéraux et suppléments (SMV), le soulagement de la douleur, la santé respiratoire, la santé digestive et la santé thérapeutique de la peau et autres. Les segments géographiques de la Société comprennent l'Amérique du Nord, l'Europe, le moyen-Orient, l'Afrique et l'Amérique latine (EMEA), l'Amérique latine et l'Asie Pacifique (APAC). Ses marques de santé respiratoire offrent des solutions pour une gamme de problèmes respiratoires, y compris le rhume et la grippe, la congestion nasale, la toux et les allergies. Les marques de santé bucco-dentaire de la Société comprennent Sensodyne, Polident et Parodontax. Ses marques VMS incluent Centrum, Emergen-C et Caltrate. Ses marques respiratoires comprennent Otrivin, Theraflu, Flonase, Contac et Beechams. Ses marques de soulagement de la douleur comprennent Voltaren, Panadol et Advil. Ses marques de santé digestive comprennent TUMS, ENO et Benefiber. Ses marques thérapeutiques pour la santé de la peau comprennent Fenistil, Zovirax et Bactroban.</v>
    <v>USD</v>
    <v>24000</v>
    <v>XNYS</v>
    <v>9.68</v>
    <v>11.42</v>
    <v>Pharmaceuticals</v>
    <v>598</v>
    <v>-1.6011999999999998E-2</v>
    <v>-0.155</v>
    <v>HALEON PLC</v>
    <v>HALEON PLC</v>
    <v>9.64</v>
    <v>19.107299999999999</v>
    <v>9.5250000000000004</v>
    <v>9.59</v>
    <v>Building 5, First Floor, The Heights, WEYBRIDGE, SURREY, KT13 0NY GB</v>
    <v>Bourse</v>
    <v>HALEON PLC (XNYS:HLN)</v>
    <v>7566538</v>
    <v>7895238</v>
  </rv>
  <rv s="2">
    <v>599</v>
  </rv>
  <rv s="0">
    <v>https://www.bing.com/financeapi/forcetrigger?t=aayh5r&amp;q=XTSE%3aGWO&amp;form=skydnc</v>
    <v>Learn more on Bing</v>
  </rv>
  <rv s="7">
    <v>fr-FR</v>
    <v>aayh5r</v>
    <v>268435456</v>
    <v>1</v>
    <v>Avec Refinitiv</v>
    <v>18</v>
    <v>19</v>
    <v>GREAT-WEST LIFECO INC. (XTSE:GWO)</v>
    <v>3</v>
    <v>22</v>
    <v>Finance</v>
    <v>5</v>
    <v>XTSE</v>
    <v>903947900</v>
    <v>1979</v>
    <v>70.459999999999994</v>
    <v>49.54</v>
    <v>0.68059999999999998</v>
    <v>64044708714</v>
    <v>Toronto Stock Exchange</v>
    <v>0</v>
    <v>0</v>
    <v>70.56</v>
    <v>GWO</v>
    <v>46133.84946759259</v>
    <v>Great-West Lifeco Inc. est une société de portefeuille de services financiers. La Société exerce ses activités au Canada, aux États-Unis et en Europe sous les marques Canada vie, Empower et Irish Life. La Société offre des solutions de gestion de patrimoine, de retraite, d'avantages sociaux et d'assurance et de risque. Les secteurs de la Société comprennent les États-Unis, le Canada, l'Europe et les solutions de capital et de risque. Le segment États-Unis comprend deux secteurs d'activité distincts : Empower Workplace, qui est aligné sur le secteur retraite, et Empower Wealth. Les segments Canada et Europe comprennent quatre secteurs d'activité distincts : retraite, gestion de patrimoine, avantages collectifs et assurance et rentes. Le secteur Europe dessert des clients au Royaume-Uni, en Irlande et en Allemagne, qui opèrent sous la marque Canada-vie au Royaume-Uni et en Allemagne et sous la marque Irish-Life en Irlande, ainsi que d'autres marques acquises sur le marché des courtiers en Irlande. Le secteur solutions de capital et de risque comprend ses activités de réassurance.</v>
    <v>CAD</v>
    <v>33430</v>
    <v>XTSE</v>
    <v>71.02</v>
    <v>71.02</v>
    <v>Insurance</v>
    <v>601</v>
    <v>4.1099999999999999E-3</v>
    <v>0.28999999999999998</v>
    <v>GREAT-WEST LIFECO INC.</v>
    <v>GREAT-WEST LIFECO INC.</v>
    <v>70.459999999999994</v>
    <v>16.587199999999999</v>
    <v>70.849999999999994</v>
    <v>70.849999999999994</v>
    <v>100 Osborne St. N., WINNIPEG, MB, R3C 1V3 CA</v>
    <v>Bourse</v>
    <v>GREAT-WEST LIFECO INC. (XTSE:GWO)</v>
    <v>1790641</v>
    <v>840090</v>
  </rv>
  <rv s="2">
    <v>602</v>
  </rv>
  <rv s="0">
    <v>https://www.bing.com/financeapi/forcetrigger?t=aaypk2&amp;q=XTSE%3aHR.UN&amp;form=skydnc</v>
    <v>Learn more on Bing</v>
  </rv>
  <rv s="8">
    <v>fr-FR</v>
    <v>aaypk2</v>
    <v>268435456</v>
    <v>1</v>
    <v>Avec Refinitiv</v>
    <v>23</v>
    <v>24</v>
    <v>H AND R REAL ESTATE INVESTMENT UNT (XTSE:HR.UN)</v>
    <v>8</v>
    <v>25</v>
    <v>Finance</v>
    <v>5</v>
    <v>XTSE</v>
    <v>10.28</v>
    <v>9.39</v>
    <v>Toronto Stock Exchange</v>
    <v>0</v>
    <v>0</v>
    <v>10.31</v>
    <v>HR.UN</v>
    <v>46133.833333333336</v>
    <v>CAD</v>
    <v>10.4</v>
    <v>12.77</v>
    <v>604</v>
    <v>3.8800000000000002E-3</v>
    <v>0.04</v>
    <v>H AND R REAL ESTATE INVESTMENT UNT</v>
    <v>10.32</v>
    <v>10.35</v>
    <v>10.35</v>
    <v>Fonds coté en bourse</v>
    <v>H AND R REAL ESTATE INVESTMENT UNT (XTSE:HR.UN)</v>
    <v>573728</v>
  </rv>
  <rv s="2">
    <v>605</v>
  </rv>
  <rv s="0">
    <v>https://www.bing.com/financeapi/forcetrigger?t=aayu7w&amp;q=XTSE%3aIAG&amp;form=skydnc</v>
    <v>Learn more on Bing</v>
  </rv>
  <rv s="7">
    <v>fr-FR</v>
    <v>aayu7w</v>
    <v>268435456</v>
    <v>1</v>
    <v>Avec Refinitiv</v>
    <v>18</v>
    <v>19</v>
    <v>iA Financial Group (XTSE:IAG)</v>
    <v>3</v>
    <v>22</v>
    <v>Finance</v>
    <v>5</v>
    <v>XTSE</v>
    <v>90117910</v>
    <v>2018</v>
    <v>172.42</v>
    <v>124.25</v>
    <v>0.71970000000000001</v>
    <v>15638160922</v>
    <v>Toronto Stock Exchange</v>
    <v>0</v>
    <v>0</v>
    <v>172.42</v>
    <v>IAG</v>
    <v>46133.833333333336</v>
    <v>IA Financial Corporation Inc est une société de portefeuille. La Société offre une vaste gamme de produits d'assurance-vie et d'assurance-maladie, ainsi que d'autres produits et services financiers. Les segments de la société comprennent les assurances, Canada, gestion de patrimoine, opérations aux États-Unis, placements, et Corporate. Le segment assurance, Canada comprend les produits d'assurance vie et santé, les produits d'assurance auto et habitation, l'assurance créancier, l'assurance et les garanties de remplacement, les garanties prolongées et autres produits auxiliaires pour les services des concessionnaires, ainsi que des produits spécialisés pour les marchés spéciaux. Son secteur gestion de patrimoine comprend des produits et services pour les régimes d'épargne, les fonds de retraite et les fonds distincts, en plus du courtage de valeurs mobilières, des opérations de fiducie et des fonds communs de placement. Son secteur des opérations aux États-Unis comprend des produits d'assurance-vie et des garanties prolongées pour les services offerts aux concessionnaires aux États-Unis. Son secteur investissement comprend les activités d'investissement et de financement de la Société.</v>
    <v>CAD</v>
    <v>9400</v>
    <v>XTSE</v>
    <v>174.32</v>
    <v>182.99</v>
    <v>Insurance</v>
    <v>607</v>
    <v>6.4380000000000001E-3</v>
    <v>1.1100000000000001</v>
    <v>iA Financial Group</v>
    <v>iA Financial Group</v>
    <v>172.77</v>
    <v>15.354900000000001</v>
    <v>173.53</v>
    <v>173.53</v>
    <v>1080, Grande Allee Ouest, QUEBEC, QC, G1K 7M3 CA</v>
    <v>Bourse</v>
    <v>iA Financial Group (XTSE:IAG)</v>
    <v>174609</v>
    <v>228420</v>
  </rv>
  <rv s="2">
    <v>608</v>
  </rv>
  <rv s="0">
    <v>https://www.bing.com/financeapi/forcetrigger?t=a1vmf2&amp;q=XNAS%3aINTC&amp;form=skydnc</v>
    <v>Learn more on Bing</v>
  </rv>
  <rv s="7">
    <v>fr-FR</v>
    <v>a1vmf2</v>
    <v>268435456</v>
    <v>1</v>
    <v>Avec Refinitiv</v>
    <v>18</v>
    <v>19</v>
    <v>INTEL CORPORATION (XNAS:INTC)</v>
    <v>3</v>
    <v>20</v>
    <v>Finance</v>
    <v>21</v>
    <v>XNAS</v>
    <v>5021010000</v>
    <v>1989</v>
    <v>65.64</v>
    <v>18.25</v>
    <v>1.6596</v>
    <v>332692122600</v>
    <v>Nasdaq Stock Market</v>
    <v>0.2</v>
    <v>3.0180000000000003E-3</v>
    <v>65.7</v>
    <v>INTC</v>
    <v>46133.899942245313</v>
    <v>Intel Corporation est un concepteur et fabricant mondial de semi-conducteurs. La société opère sur trois segments : les produits Intel, la fonderie Intel et tous les autres. Son segment de produits Intel comprend Client Computing Group (CCG), Data Center and ai (DCAI), Network and Edge (NEX). La GCC rassemble le système d'exploitation, l'architecture du système, le matériel et l'intégration des applications logicielles pour permettre des expériences PC. DCAI fournit des solutions optimisées pour la charge de travail aux fournisseurs de services cloud et aux entreprises, ainsi que des périphériques silicium pour les fournisseurs de services de communications, les clients réseau et Edge et HPC. NEX aide les réseaux et les systèmes de calcul de périphérie, du matériel à fonction fixe aux périphériques de calcul, d'accélération et de mise en réseau à usage général exécutant des logiciels natifs cloud sur du matériel programmable. Le segment fonderie d'Intel comprend le développement technologique, la fabrication et les services de fonderie. Tous les autres segments incluent Altera, Mobileye, autre.</v>
    <v>USD</v>
    <v>85100</v>
    <v>XNAS</v>
    <v>67.67</v>
    <v>70.325000000000003</v>
    <v>Semiconductors &amp; Semiconductor Equipment</v>
    <v>610</v>
    <v>8.5240000000000003E-3</v>
    <v>0.56000000000000005</v>
    <v>INTEL CORPORATION</v>
    <v>INTEL CORPORATION</v>
    <v>67.14</v>
    <v>0</v>
    <v>66.260000000000005</v>
    <v>66.459999999999994</v>
    <v>2200 Mission College Blvd, Rnb-4-151, SANTA CLARA, CA, 95054 US</v>
    <v>Bourse</v>
    <v>INTEL CORPORATION (XNAS:INTC)</v>
    <v>91079159</v>
    <v>105221608</v>
  </rv>
  <rv s="2">
    <v>611</v>
  </rv>
  <rv s="0">
    <v>https://www.bing.com/financeapi/forcetrigger?t=a1w8ec&amp;q=XNYS%3aJNJ&amp;form=skydnc</v>
    <v>Learn more on Bing</v>
  </rv>
  <rv s="7">
    <v>fr-FR</v>
    <v>a1w8ec</v>
    <v>268435456</v>
    <v>1</v>
    <v>Avec Refinitiv</v>
    <v>18</v>
    <v>19</v>
    <v>JOHNSON &amp; JOHNSON (XNYS:JNJ)</v>
    <v>3</v>
    <v>20</v>
    <v>Finance</v>
    <v>21</v>
    <v>XNYS</v>
    <v>2408613000</v>
    <v>1887</v>
    <v>224.7</v>
    <v>146.11500000000001</v>
    <v>0.28010000000000002</v>
    <v>544731916080</v>
    <v>New York Stock Exchange</v>
    <v>0.04</v>
    <v>1.7690000000000002E-4</v>
    <v>230.69</v>
    <v>JNJ</v>
    <v>46133.899266515626</v>
    <v>Johnson &amp; Johnson et ses filiales sont engagées dans la recherche et le développement, la fabrication et la vente d'une gamme de produits dans le domaine de la santé. Les segments de la Société comprennent Innovative Medicine et MedTech. Le segment médecine innovante se concentre sur divers domaines thérapeutiques, y compris l'immunologie, les maladies infectieuses, les neurosciences, l'oncologie, hypertension pulmonaire, cardio-vasculaire et métabolisme. Ses produits comprennent REMICADE (infliximab), SIMPONI (golimumab), SIMPONI ARIA (golimumab), STELARA (ustekinumab), TREMFYA (guselkumab), EDURANT (rilpivirine) et INVEGA SUSTENNA/XEPLION (palmitate de palipéridone). Le segment MedTech comprend un portefeuille de produits utilisés dans les catégories cardiovasculaire, orthopédique, chirurgie et vision. La gamme cardiovasculaire comprend des produits d'électrophysiologie pour traiter les troubles du rythme cardiaque et des produits de restauration circulatoire (Shockwave) pour le traitement de la coronaropathie calcifiée (CAD) et de la maladie des artères périphériques (PAD).</v>
    <v>USD</v>
    <v>138200</v>
    <v>XNYS</v>
    <v>229.69</v>
    <v>251.71</v>
    <v>Pharmaceuticals</v>
    <v>613</v>
    <v>-1.9637000000000002E-2</v>
    <v>-4.53</v>
    <v>JOHNSON &amp; JOHNSON</v>
    <v>JOHNSON &amp; JOHNSON</v>
    <v>229.35</v>
    <v>26.1602</v>
    <v>226.16</v>
    <v>226.2</v>
    <v>One Johnson &amp; Johnson Plaza, NEW BRUNSWICK, NJ, 08933 US</v>
    <v>Bourse</v>
    <v>JOHNSON &amp; JOHNSON (XNYS:JNJ)</v>
    <v>11671822</v>
    <v>7712994</v>
  </rv>
  <rv s="2">
    <v>614</v>
  </rv>
  <rv s="0">
    <v>https://www.bing.com/financeapi/forcetrigger?t=aayvoc&amp;q=XTSE%3aIGM&amp;form=skydnc</v>
    <v>Learn more on Bing</v>
  </rv>
  <rv s="7">
    <v>fr-FR</v>
    <v>aayvoc</v>
    <v>268435456</v>
    <v>1</v>
    <v>Avec Refinitiv</v>
    <v>18</v>
    <v>19</v>
    <v>SOCIÉTÉ FINANCIÈRE IGM INC. (XTSE:IGM)</v>
    <v>3</v>
    <v>22</v>
    <v>Finance</v>
    <v>5</v>
    <v>XTSE</v>
    <v>233326600</v>
    <v>1978</v>
    <v>73.13</v>
    <v>41</v>
    <v>1.105</v>
    <v>17084173652</v>
    <v>Toronto Stock Exchange</v>
    <v>0</v>
    <v>0</v>
    <v>74.569999999999993</v>
    <v>IGM</v>
    <v>46133.833333333336</v>
    <v>IGM Financial Inc est une société de gestion de patrimoine et d'actifs qui soutient les conseillers et les clients qu'ils servent au Canada, ainsi que les investisseurs institutionnels à l'échelle mondiale. La Société offre une gamme de services de planification financière et de gestion de placements. Ses activités sont exercées principalement par IG Wealth Management et placements Mackenzie. Ses segments comprennent la gestion de patrimoine, la gestion d'actifs et les entreprises et autres. Le secteur de la gestion de patrimoine se concentrait principalement sur la prestation de services de planification financière et connexes aux ménages de clients de détail. Ce secteur comprend les activités d'IG Wealth Management qui desservent les ménages canadiens par l'entremise de son courtier en valeurs mobilières, de son courtier en fonds communs de placement et d'autres filiales autorisées à distribuer des produits et services financiers. Le secteur de la gestion d'actifs se concentre principalement sur la prestation de services de gestion de placements. Les secteurs des sociétés et autres secteurs représentent principalement les investissements dans Lifeco et Portage Ventures LPS.</v>
    <v>CAD</v>
    <v>3541</v>
    <v>XTSE</v>
    <v>74.92</v>
    <v>74.92</v>
    <v>Investment Banking &amp; Investment Services</v>
    <v>616</v>
    <v>-1.8103999999999999E-2</v>
    <v>-1.35</v>
    <v>SOCIÉTÉ FINANCIÈRE IGM INC.</v>
    <v>SOCIÉTÉ FINANCIÈRE IGM INC.</v>
    <v>74.56</v>
    <v>15.79</v>
    <v>73.22</v>
    <v>73.22</v>
    <v>447 Portage Avenue, WINNIPEG, MB, R3B 3H5 CA</v>
    <v>Bourse</v>
    <v>SOCIÉTÉ FINANCIÈRE IGM INC. (XTSE:IGM)</v>
    <v>344837</v>
    <v>384410</v>
  </rv>
  <rv s="2">
    <v>617</v>
  </rv>
  <rv s="0">
    <v>https://www.bing.com/financeapi/forcetrigger?t=aayv1h&amp;q=XTSE%3aIFC&amp;form=skydnc</v>
    <v>Learn more on Bing</v>
  </rv>
  <rv s="7">
    <v>fr-FR</v>
    <v>aayv1h</v>
    <v>268435456</v>
    <v>1</v>
    <v>Avec Refinitiv</v>
    <v>18</v>
    <v>19</v>
    <v>Intact Corporation financière (XTSE:IFC)</v>
    <v>3</v>
    <v>22</v>
    <v>Finance</v>
    <v>5</v>
    <v>XTSE</v>
    <v>177036400</v>
    <v>2004</v>
    <v>260.88</v>
    <v>242.87</v>
    <v>0.2944</v>
    <v>46264922412</v>
    <v>Toronto Stock Exchange</v>
    <v>0</v>
    <v>0</v>
    <v>261.38</v>
    <v>IFC</v>
    <v>46133.833333333336</v>
    <v>Intact Corporation financière est un fournisseur canadien d'assurance de biens et de risques divers au Canada et exerce ses activités dans le domaine de l'assurance spécialisée et commerciale au Canada, aux États-Unis, au Royaume-Uni, en Irlande et en Europe. Au Canada, la Société distribue de l'assurance par l'entremise d'intact assurance, en collaboration avec des agences et des courtiers, y compris sa filiale BrokerLink. En outre, elle distribue directement aux consommateurs par le biais de la marque belairdirect et de partenariats d'affinité et fournit des services sur mesure aux clients fortunés par le biais d'intact Prestige. Aux États-Unis, intact Insurance Specialty solutions offre une gamme variée de produits d'assurance spécialisés par l'entremise d'agences indépendantes, de courtiers, de grossistes et d'agences générales de gestion (AGG). Au Royaume-Uni, en Irlande et en Europe, la Société opère sous plusieurs marques, dont RSA, 123.ie, NIG et FarmWeb, offrant des solutions d'assurance personnelle, commerciale et spécialisée.</v>
    <v>CAD</v>
    <v>32000</v>
    <v>XTSE</v>
    <v>263.72000000000003</v>
    <v>317.35000000000002</v>
    <v>Insurance</v>
    <v>619</v>
    <v>-1.9130000000000001E-4</v>
    <v>-0.05</v>
    <v>Intact Corporation financière</v>
    <v>Intact Corporation financière</v>
    <v>261.07</v>
    <v>14.237</v>
    <v>261.33</v>
    <v>261.33</v>
    <v>700 UNIVERSITY AVENUE, SUITE 1500-A (LEGAL), TORONTO, ON, M5G 0A1 CA</v>
    <v>Bourse</v>
    <v>Intact Corporation financière (XTSE:IFC)</v>
    <v>203187</v>
    <v>406790</v>
  </rv>
  <rv s="2">
    <v>620</v>
  </rv>
  <rv s="15">
    <v>fr-FR</v>
    <v>cdzmdm</v>
    <v>268435456</v>
    <v>1</v>
    <v>Avec Refinitiv</v>
    <v>42</v>
    <v>43</v>
    <v>iSh Core MSCI EAFE IMI Idx ETF (NEOE:XEF)</v>
    <v>44</v>
    <v>9</v>
    <v>Finance</v>
    <v>45</v>
    <v>NEOE</v>
    <v>48.85</v>
    <v>39.25</v>
    <v>1.03</v>
    <v>18696950054</v>
    <v>NEO Exchange</v>
    <v>49.89</v>
    <v>XEF</v>
    <v>46133.833114860936</v>
    <v>CAD</v>
    <v>49.54</v>
    <v>50.89</v>
    <v>-2.0245000000000003E-2</v>
    <v>-1.01</v>
    <v>iSh Core MSCI EAFE IMI Idx ETF</v>
    <v>49.5</v>
    <v>48.88</v>
    <v>2.3E-3</v>
    <v>Fonds coté en bourse</v>
    <v>iSh Core MSCI EAFE IMI Idx ETF (NEOE:XEF)</v>
    <v>122015</v>
  </rv>
  <rv s="2">
    <v>622</v>
  </rv>
  <rv s="0">
    <v>https://www.bing.com/financeapi/forcetrigger?t=ab1dcw&amp;q=XTSE%3aTD&amp;form=skydnc</v>
    <v>Learn more on Bing</v>
  </rv>
  <rv s="7">
    <v>fr-FR</v>
    <v>ab1dcw</v>
    <v>268435456</v>
    <v>1</v>
    <v>Avec Refinitiv</v>
    <v>18</v>
    <v>19</v>
    <v>TORONTO DOMINION (XTSE:TD)</v>
    <v>3</v>
    <v>22</v>
    <v>Finance</v>
    <v>5</v>
    <v>XTSE</v>
    <v>1671278000</v>
    <v>1995</v>
    <v>143.86000000000001</v>
    <v>83.594999999999999</v>
    <v>0.875</v>
    <v>240847872580</v>
    <v>Toronto Stock Exchange</v>
    <v>0</v>
    <v>0</v>
    <v>145.41</v>
    <v>TD</v>
    <v>46133.833333333336</v>
    <v>La Banque Toronto-Dominion (la Banque) opère en Amérique du Nord. La Banque, de concert avec ses filiales, exerce ses activités dans quatre principaux secteurs d'activité : services bancaires aux particuliers et aux entreprises au Canada, services de détail aux États-Unis (É.-U.), gestion de patrimoine et assurance, et services bancaires de gros. Les services bancaires aux particuliers et aux entreprises au Canada, qui comprennent TD Canada Trust et TD financement auto Canada. Le secteur du détail aux États-Unis comprend TD Bank, a Convenient Bank, TD Auto Finance États-Unis et TD Wealth (États-Unis). Le secteur de la gestion de patrimoine et de l'assurance comprend gestion de patrimoine TD (Canada), placements directs TD et assurances TD. Le secteur des services bancaires de gros comprend valeurs mobilières TD et TD Cowen. La Banque offre une large gamme de produits et de services, y compris les comptes bancaires, le financement, les solutions de placement, la gestion de trésorerie (informations, consolidation et reporting, comptes fournisseurs et comptes clients), services bancaires américains, services internationaux, assurance-vie crédit aux entreprises, services de conseil en patrimoine et autres.</v>
    <v>CAD</v>
    <v>103257</v>
    <v>XTSE</v>
    <v>145.9</v>
    <v>145.9</v>
    <v>Banking Services</v>
    <v>624</v>
    <v>-8.94E-3</v>
    <v>-1.3</v>
    <v>TORONTO DOMINION</v>
    <v>TORONTO DOMINION</v>
    <v>145.5</v>
    <v>12.3406</v>
    <v>144.11000000000001</v>
    <v>144.11000000000001</v>
    <v>15FLR-66 ST Wellington W, ON, M5K 1A2 CA</v>
    <v>Bourse</v>
    <v>TORONTO DOMINION (XTSE:TD)</v>
    <v>2805136</v>
    <v>9328850</v>
  </rv>
  <rv s="2">
    <v>625</v>
  </rv>
  <rv s="0">
    <v>http://en.wikipedia.org/wiki/Public_domain</v>
    <v>Public domain</v>
  </rv>
  <rv s="0">
    <v>http://en.wikipedia.org/wiki/McDonald's</v>
    <v>Wikipedia</v>
  </rv>
  <rv s="12">
    <v>627</v>
    <v>628</v>
  </rv>
  <rv s="13">
    <v>41</v>
    <v>https://www.bing.com/th?id=AMMS_7d8255243964a8970376f8dd41121106&amp;qlt=95</v>
    <v>629</v>
    <v>0</v>
    <v>https://www.bing.com/images/search?form=xlimg&amp;q=mcdonald%27s</v>
    <v>Image of MCDONALD'S CORPORATION</v>
  </rv>
  <rv s="0">
    <v>https://www.bing.com/financeapi/forcetrigger?t=a1xdec&amp;q=XNYS%3aMCD&amp;form=skydnc</v>
    <v>Learn more on Bing</v>
  </rv>
  <rv s="14">
    <v>fr-FR</v>
    <v>a1xdec</v>
    <v>268435456</v>
    <v>1</v>
    <v>Avec Refinitiv</v>
    <v>36</v>
    <v>37</v>
    <v>MCDONALD'S CORPORATION (XNYS:MCD)</v>
    <v>39</v>
    <v>46</v>
    <v>Finance</v>
    <v>21</v>
    <v>XNYS</v>
    <v>710827600</v>
    <v>1964</v>
    <v>300.97000000000003</v>
    <v>283.47000000000003</v>
    <v>0.48199999999999998</v>
    <v>214534877956</v>
    <v>New York Stock Exchange</v>
    <v>0</v>
    <v>0</v>
    <v>306.94</v>
    <v>MCD</v>
    <v>46133.899223726563</v>
    <v>McDonald's Corporation est un détaillant mondial de services alimentaires. Son secteur comprend les États-Unis, les marchés exploités à l'international et les marchés autorisés et entreprises de développement international. Le segment américain est son plus grand marché et est franchisé à 95 %. Le segment des marchés exploités à l'international comprend les marchés ou les pays dans lesquels il opère et franchise des restaurants, notamment l'Australie, le Canada, la France, l'Allemagne, Italie, Pologne, Espagne et Royaume-Uni. Ce segment est franchisé à 89%. Le segment marchés internationaux sous licence et entreprises en développement est composé de marchés affiliés et de titulaires de licence en développement, y compris les investissements selon la méthode de la mise en équivalence en Chine et au Japon. Ce segment est franchisé à 99%. Son menu comprend des hamburgers et des cheeseburgers, le Big Mac, le Quarter Pounder avec fromage, le filet-O-Fish, et plusieurs sandwichs au poulet, tels que le McChicken et McCrispy ainsi que Chicken McNuggets, frites, milk-shakes, sundaes, biscuits, boissons gazeuses, café et autres boissons.</v>
    <v>USD</v>
    <v>150000</v>
    <v>XNYS</v>
    <v>306.14999999999998</v>
    <v>341.75</v>
    <v>630</v>
    <v>Hotels &amp; Entertainment Services</v>
    <v>631</v>
    <v>-1.6712999999999999E-2</v>
    <v>-5.13</v>
    <v>MCDONALD'S CORPORATION</v>
    <v>MCDONALD'S CORPORATION</v>
    <v>305.55</v>
    <v>25.248899999999999</v>
    <v>301.81</v>
    <v>301.83999999999997</v>
    <v>110 N Carpenter St, CHICAGO, IL, 60607-2104 US</v>
    <v>Bourse</v>
    <v>MCDONALD'S CORPORATION (XNYS:MCD)</v>
    <v>2702409</v>
    <v>3079002</v>
  </rv>
  <rv s="2">
    <v>632</v>
  </rv>
  <rv s="0">
    <v>https://en.wikipedia.org/wiki/Microsoft</v>
    <v>Wikipedia</v>
  </rv>
  <rv s="12">
    <v>627</v>
    <v>634</v>
  </rv>
  <rv s="13">
    <v>41</v>
    <v>https://www.bing.com/th?id=AMMS_e6e837c7bf3a77408619758b7447855a&amp;qlt=95</v>
    <v>635</v>
    <v>0</v>
    <v>https://www.bing.com/images/search?form=xlimg&amp;q=microsoft</v>
    <v>Image of MICROSOFT CORPORATION</v>
  </rv>
  <rv s="0">
    <v>https://www.bing.com/financeapi/forcetrigger?t=a1xzim&amp;q=XNAS%3aMSFT&amp;form=skydnc</v>
    <v>Learn more on Bing</v>
  </rv>
  <rv s="14">
    <v>fr-FR</v>
    <v>a1xzim</v>
    <v>268435456</v>
    <v>1</v>
    <v>Avec Refinitiv</v>
    <v>36</v>
    <v>37</v>
    <v>MICROSOFT CORPORATION (XNAS:MSFT)</v>
    <v>39</v>
    <v>46</v>
    <v>Finance</v>
    <v>21</v>
    <v>XNAS</v>
    <v>7425629000</v>
    <v>1993</v>
    <v>417.2</v>
    <v>355.67</v>
    <v>1.1242000000000001</v>
    <v>3149654796640</v>
    <v>Nasdaq Stock Market</v>
    <v>1.28</v>
    <v>3.0180000000000003E-3</v>
    <v>418.07</v>
    <v>MSFT</v>
    <v>46133.89993381875</v>
    <v>Microsoft Corporation est une entreprise technologique. La Société développe et soutient des logiciels, des services, des appareils et des solutions. Les segments de la société comprennent la productivité et les processus métier, le Cloud intelligent et plus encore l'informatique personnelle. Le segment productivité et processus d'affaires comprend des produits et des services de son portefeuille de services de productivité, de communication et d'information. Ce segment comprend principalement les solutions Office commercial, Office Consumer, LinkedIn et Dynamics. Le segment Intelligent Cloud comprend des produits de serveur et des services cloud, notamment Azure et d'autres services cloud, SQL Server, Windows Server, Visual Studio, System Center, et les licences d'accès client (CAL) connexes, Nuance et GitHub ; et les services d'entreprise, y compris les services de support d'entreprise, les solutions sectorielles et les services professionnels Nuance. Le segment de l'informatique personnelle comprend principalement Windows, les appareils, les jeux, ainsi que la recherche et la publicité d'actualités.</v>
    <v>USD</v>
    <v>228000</v>
    <v>XNAS</v>
    <v>427.18</v>
    <v>555.45000000000005</v>
    <v>636</v>
    <v>Software &amp; IT Services</v>
    <v>637</v>
    <v>1.4567000000000002E-2</v>
    <v>6.09</v>
    <v>MICROSOFT CORPORATION</v>
    <v>MICROSOFT CORPORATION</v>
    <v>420.24</v>
    <v>26.539200000000001</v>
    <v>424.16</v>
    <v>425.44</v>
    <v>One Microsoft Way, REDMOND, WA, 98052 US</v>
    <v>Bourse</v>
    <v>MICROSOFT CORPORATION (XNAS:MSFT)</v>
    <v>31972482</v>
    <v>33721699</v>
  </rv>
  <rv s="2">
    <v>638</v>
  </rv>
  <rv s="0">
    <v>https://www.bing.com/financeapi/forcetrigger?t=bwf8z2&amp;q=XNYS%3aLEV&amp;form=skydnc</v>
    <v>Learn more on Bing</v>
  </rv>
  <rv s="16">
    <v>fr-FR</v>
    <v>bwf8z2</v>
    <v>268435456</v>
    <v>1</v>
    <v>1</v>
    <v>Avec Refinitiv</v>
    <v>47</v>
    <v>48</v>
    <v>LA COMPAGNIE ÉLECTRIQUE LION (OTCM)</v>
    <v>3</v>
    <v>49</v>
    <v>Finance</v>
    <v>50</v>
    <v>OTCM</v>
    <v>226217500</v>
    <v>2008</v>
    <v>0.01</v>
    <v>9.9999999999999995E-7</v>
    <v>2262175</v>
    <v>OTC Markets</v>
    <v>0.03</v>
    <v>46119.831687546095</v>
    <v>Lion Electric Company est un fabricant de véhicules zéro émission. La Société conçoit et fabrique des autobus scolaires entièrement électriques, des midi/minibus pour des besoins spéciaux ou des transports urbains, ainsi que des camions urbains. Chaque véhicule Lion est spécialement conçu pour l'électricité et conçu et assemblé en interne, avec son propre châssis, cabine de camion ou carrosserie de bus, technologie de batterie avec capacité d'énergie modulaire et intégration du logiciel Lion. Ses camions tout électriques spécialement conçus peuvent être divisés en quatre plates-formes principales en fonction du poids nominal brut du véhicule (PNBV), à savoir les camions tracteurs Lion5, Lion6, Lion8 et Lion8, et sa gamme de bus tout électriques se compose de bus de type A, de type C et de type D. Ses véhicules électriques moyens et lourds (VE) sont spécialement conçus pour répondre aux besoins du marché urbain de milieu de gamme inférieur à 250 km. Il complète son offre de produits avec divers services, y compris l'assistance à la vente, la formation complète, l'assistance pour l'infrastructure de charge et l'assistance à la maintenance.</v>
    <v>USD</v>
    <v>1350</v>
    <v>OTCM</v>
    <v>3.3799999999999997E-2</v>
    <v>0.125</v>
    <v>Automobiles &amp; Auto Parts</v>
    <v>640</v>
    <v>-0.2</v>
    <v>-6.0000000000000001E-3</v>
    <v>LA COMPAGNIE ÉLECTRIQUE LION</v>
    <v>LA COMPAGNIE ÉLECTRIQUE LION</v>
    <v>0.01</v>
    <v>0</v>
    <v>2.4E-2</v>
    <v>921, chemin de la Riviere-du-Nord, ST-JEROME, QC, J7Y 5G2 CA</v>
    <v>Bourse</v>
    <v>LA COMPAGNIE ÉLECTRIQUE LION (OTCM)</v>
    <v>22037</v>
    <v>13967768</v>
  </rv>
  <rv s="2">
    <v>641</v>
  </rv>
  <rv s="17">
    <v>12</v>
    <v>Code mnémonique</v>
    <v>0</v>
  </rv>
  <rv s="0">
    <v>https://www.bing.com/financeapi/forcetrigger?t=aaz19c&amp;q=XTSE%3aL&amp;form=skydnc</v>
    <v>Learn more on Bing</v>
  </rv>
  <rv s="7">
    <v>fr-FR</v>
    <v>aaz19c</v>
    <v>268435456</v>
    <v>1</v>
    <v>Avec Refinitiv</v>
    <v>18</v>
    <v>19</v>
    <v>LOBLAW COMPANIES LIMITED (XTSE:L)</v>
    <v>3</v>
    <v>22</v>
    <v>Finance</v>
    <v>5</v>
    <v>XTSE</v>
    <v>1165712000</v>
    <v>1980</v>
    <v>61.5</v>
    <v>52.92</v>
    <v>0.38869999999999999</v>
    <v>72542257760</v>
    <v>Toronto Stock Exchange</v>
    <v>0</v>
    <v>0</v>
    <v>61.69</v>
    <v>L</v>
    <v>46133.850405092591</v>
    <v>Les compagnies Loblaw limitée est un détaillant en produits alimentaires et en pharmacie établi au Canada. La Société fournit des services d'épicerie, de pharmacie et de soins de santé, des produits de santé et de beauté, des vêtements, des marchandises générales, des services financiers et des produits et services mobiles sans fil. Les segments de la Société comprennent les services de détail et les services financiers. Le secteur de la vente au détail comprend principalement les grandes entreprises et les franchises de magasins d'alimentation au détail et les pharmacies appartenant à des associés, ce qui comprend les pharmacies en magasin, les services de soins de santé et d'autres produits de santé et de beauté, les vêtements et d'autres marchandises générales. Le secteur des services financiers offre des services bancaires courants et de cartes de crédit, le programme PC Optimum, des services de courtage d'assurance et des services de télécommunication. Ses marques incluent Joe Fresh, no name, President's Choice et d'autres.</v>
    <v>CAD</v>
    <v>220000</v>
    <v>XTSE</v>
    <v>62.66</v>
    <v>69.59</v>
    <v>Food &amp; Drug Retailing</v>
    <v>644</v>
    <v>8.7530000000000004E-3</v>
    <v>0.54</v>
    <v>LOBLAW COMPANIES LIMITED</v>
    <v>LOBLAW COMPANIES LIMITED</v>
    <v>61.67</v>
    <v>29.489799999999999</v>
    <v>62.23</v>
    <v>62.23</v>
    <v>1 President's Choice Cirlce, ON, L6Y 5S5 CA</v>
    <v>Bourse</v>
    <v>LOBLAW COMPANIES LIMITED (XTSE:L)</v>
    <v>1098819</v>
    <v>1112380</v>
  </rv>
  <rv s="2">
    <v>645</v>
  </rv>
  <rv s="0">
    <v>https://www.bing.com/financeapi/forcetrigger?t=axyhnm&amp;q=XNAS%3aPEP&amp;form=skydnc</v>
    <v>Learn more on Bing</v>
  </rv>
  <rv s="7">
    <v>fr-FR</v>
    <v>axyhnm</v>
    <v>268435456</v>
    <v>1</v>
    <v>Avec Refinitiv</v>
    <v>18</v>
    <v>19</v>
    <v>Pepsico, Inc. (XNAS:PEP)</v>
    <v>3</v>
    <v>20</v>
    <v>Finance</v>
    <v>21</v>
    <v>XNAS</v>
    <v>1366768000</v>
    <v>1986</v>
    <v>153.72999999999999</v>
    <v>127.6</v>
    <v>0.39410000000000001</v>
    <v>211739698559</v>
    <v>Nasdaq Stock Market</v>
    <v>0</v>
    <v>0</v>
    <v>156.99</v>
    <v>PEP</v>
    <v>46133.899491943746</v>
    <v>PepsiCo, Inc. est une entreprise mondiale de boissons et d'aliments pratiques. Les segments de la société comprennent PepsiCo Foods North America (PFNA), PepsiCo Beverages North America (PBNA), International Beverages franchise (IB franchise), Europe, moyen-Orient et Afrique (EMEA), Latin America Foods (LATAM Foods) et Asia Pacific Foods. Le segment PFNA comprend toutes ses activités alimentaires pratiques aux États-Unis et au Canada. Le segment PBNA comprend toutes ses activités de boissons aux États-Unis et au Canada. Le segment franchises IB comprend ses activités de boissons franchisées internationales, ainsi que son activité SodaStream. Le segment EMEA comprend ses activités alimentaires pratiques et ses activités de boissons avec des embouteilleurs appartenant à la Société en Europe, au moyen-Orient et en Afrique. Le segment LATAM Foods comprend toutes ses activités alimentaires pratiques en Amérique latine. Le segment Asia Pacific Foods comprend ses activités alimentaires pratiques en Asie-Pacifique, notamment en Chine, en Australie et en Nouvelle-Zélande, ainsi qu'en Inde.</v>
    <v>USD</v>
    <v>306000</v>
    <v>XNAS</v>
    <v>157.04</v>
    <v>171.48</v>
    <v>Beverages</v>
    <v>647</v>
    <v>-1.3186E-2</v>
    <v>-2.0699999999999998</v>
    <v>Pepsico, Inc.</v>
    <v>Pepsico, Inc.</v>
    <v>156.74</v>
    <v>24.335899999999999</v>
    <v>154.91999999999999</v>
    <v>154.91999999999999</v>
    <v>700 ANDERSON HILL RD, PURCHASE, NY, 10577 US</v>
    <v>Bourse</v>
    <v>Pepsico, Inc. (XNAS:PEP)</v>
    <v>6354874</v>
    <v>6469450</v>
  </rv>
  <rv s="2">
    <v>648</v>
  </rv>
  <rv s="0">
    <v>https://www.bing.com/financeapi/forcetrigger?t=a1zvsm&amp;q=XNYS%3aPII&amp;form=skydnc</v>
    <v>Learn more on Bing</v>
  </rv>
  <rv s="9">
    <v>fr-FR</v>
    <v>a1zvsm</v>
    <v>268435456</v>
    <v>1</v>
    <v>Avec Refinitiv</v>
    <v>26</v>
    <v>27</v>
    <v>POLARIS INC. (XNYS:PII)</v>
    <v>3</v>
    <v>28</v>
    <v>Finance</v>
    <v>29</v>
    <v>XNYS</v>
    <v>56615890</v>
    <v>1994</v>
    <v>60.055</v>
    <v>31.4</v>
    <v>1.1935</v>
    <v>3476781804</v>
    <v>New York Stock Exchange</v>
    <v>0.04</v>
    <v>6.514E-4</v>
    <v>60.68</v>
    <v>PII</v>
    <v>46133.860781885938</v>
    <v>Polaris Inc. est engagée dans la conception, l'ingénierie, la fabrication et la commercialisation de véhicules de sports motorisés. La Société conçoit et fabrique ou achète également des pièces, des vêtements et des accessoires (PG&amp;A), ce qui comprend les accessoires et les vêtements du marché secondaire. Son segment hors route comprend des véhicules hors route (VRV) et des motoneiges. Son segment on Road conçoit et fabrique des motos, des motos-roadsters, des véhicules légers de transport et des véhicules de tourisme. Son segment Marine conçoit et fabrique des bateaux conçus pour concurrencer dans les segments clés de l'industrie de la marine récréative, en particulier les pontons et les pontons. Sa gamme de produits comprend les RANGER, RZR et Polaris XPEDITION et les véhicules hors route côte à côte GÉNÉRAUX ; les VVO tout-terrain Sportsman ; les véhicules hors route militaires et commerciaux ; les motoneiges ; les motos de taille moyenne et lourde Indian Motorcycle ; les motos-roadsters Slingshot ; les quadricycles Aixam ; les véhicules électriques Goupil ; les pontons et pontons, y compris les pontons Bennington.</v>
    <v>USD</v>
    <v>14500</v>
    <v>XNYS</v>
    <v>63.02</v>
    <v>75.245000000000005</v>
    <v>Automobiles &amp; Auto Parts</v>
    <v>650</v>
    <v>1.2030000000000001E-2</v>
    <v>0.73</v>
    <v>POLARIS INC.</v>
    <v>POLARIS INC.</v>
    <v>60.055</v>
    <v>61.41</v>
    <v>61.45</v>
    <v>2100 HIGHWAY 55, MEDINA, MN, 55340-9770 US</v>
    <v>Bourse</v>
    <v>POLARIS INC. (XNYS:PII)</v>
    <v>1736864</v>
    <v>1607656</v>
  </rv>
  <rv s="2">
    <v>651</v>
  </rv>
  <rv s="0">
    <v>https://www.bing.com/financeapi/forcetrigger?t=aaz65r&amp;q=XTSE%3aMFC&amp;form=skydnc</v>
    <v>Learn more on Bing</v>
  </rv>
  <rv s="7">
    <v>fr-FR</v>
    <v>aaz65r</v>
    <v>268435456</v>
    <v>1</v>
    <v>Avec Refinitiv</v>
    <v>18</v>
    <v>19</v>
    <v>MANULIFE FINANCIAL CORPORATION (XTSE:MFC)</v>
    <v>3</v>
    <v>22</v>
    <v>Finance</v>
    <v>5</v>
    <v>XTSE</v>
    <v>1672224000</v>
    <v>1999</v>
    <v>52.22</v>
    <v>38.93</v>
    <v>0.76129999999999998</v>
    <v>87423870720</v>
    <v>Toronto Stock Exchange</v>
    <v>0</v>
    <v>0</v>
    <v>52.67</v>
    <v>MFC</v>
    <v>46133.846759259257</v>
    <v>La Société financière Manuvie est un fournisseur international de services financiers. Elle fournit des conseils financiers et des assurances, exerçant ses activités sous le nom de Manuvie au Canada, en Asie et en Europe, et principalement sous le nom de John Hancock aux États-Unis. Ses segments comprennent les activités de gestion de patrimoine et d'actifs (Global WAM), les produits d'assurance et de rente (Asie, Canada et États-Unis), ainsi que le segment des entreprises et autres. Les entreprises de gestion de patrimoine et d'actifs, connues sous la marque gestion de placements Manuvie, offrent des conseils et des solutions en matière de placement aux clients de retraite, de détail et institutionnels. Il comprend également Manuvie Comvest Credit Partners, une plateforme privée de gestion des actifs de crédit. Les produits d'assurance et de rente comprennent une variété d'assurance vie individuelle, d'assurance soins de longue durée individuels et collectifs et de produits de rente garantis et partiellement garantis. Les produits sont distribués par de multiples canaux de distribution, y compris les agents d'assurance, les courtiers, les banques, les planificateurs financiers et le marketing direct.</v>
    <v>CAD</v>
    <v>37000</v>
    <v>XTSE</v>
    <v>52.99</v>
    <v>53.6</v>
    <v>Insurance</v>
    <v>653</v>
    <v>-7.4050000000000001E-3</v>
    <v>-0.39</v>
    <v>MANULIFE FINANCIAL CORPORATION</v>
    <v>MANULIFE FINANCIAL CORPORATION</v>
    <v>52.5</v>
    <v>16.9514</v>
    <v>52.28</v>
    <v>52.28</v>
    <v>200 Bloor Street East, ON, M4W 1E5 CA</v>
    <v>Bourse</v>
    <v>MANULIFE FINANCIAL CORPORATION (XTSE:MFC)</v>
    <v>1827818</v>
    <v>3678940</v>
  </rv>
  <rv s="2">
    <v>654</v>
  </rv>
  <rv s="0">
    <v>https://www.bing.com/financeapi/forcetrigger?t=ay4mc7&amp;q=XTSE%3aNTR&amp;form=skydnc</v>
    <v>Learn more on Bing</v>
  </rv>
  <rv s="7">
    <v>fr-FR</v>
    <v>ay4mc7</v>
    <v>268435456</v>
    <v>1</v>
    <v>Avec Refinitiv</v>
    <v>18</v>
    <v>19</v>
    <v>Nutrien Ltd. (XTSE:NTR)</v>
    <v>3</v>
    <v>22</v>
    <v>Finance</v>
    <v>5</v>
    <v>XTSE</v>
    <v>481162600</v>
    <v>2017</v>
    <v>96.97</v>
    <v>72.02</v>
    <v>1.0513999999999999</v>
    <v>47774634554</v>
    <v>Toronto Stock Exchange</v>
    <v>0</v>
    <v>0</v>
    <v>97.15</v>
    <v>NTR</v>
    <v>46133.846759259257</v>
    <v>Nutrien Ltd. est un fournisseur mondial d'intrants et de services agricoles. La Société exploite un réseau d'installations de production, de distribution et de vente au détail ag. Les segments de la société comprennent Nutrien AG solutions (Retail), Potash, azote et phosphate. Son secteur de la vente au détail en aval distribue des nutriments pour les cultures, des produits de protection des cultures, des semences et des marchandises, et fournit des services et des solutions d'application agronomique, y compris les services offerts par Nutrien Financial. Le secteur de la vente au détail fabrique et distribue également des produits exclusifs et fournit des services directement aux agriculteurs par l'intermédiaire d'un réseau de magasins de détail en Amérique du Nord, en Amérique du Sud et en Australie. Ses segments amont potasse, azote et phosphate se différencient par les nutriments chimiques contenus dans les produits que chaque segment produit et sont soutenus par des activités intermédiaires, qui comprennent les ventes mondiales, le fret, le transport et la distribution de ses produits.</v>
    <v>CAD</v>
    <v>25100</v>
    <v>XTSE</v>
    <v>99.53</v>
    <v>116.95</v>
    <v>Chemicals</v>
    <v>656</v>
    <v>2.2027999999999999E-2</v>
    <v>2.14</v>
    <v>Nutrien Ltd.</v>
    <v>Nutrien Ltd.</v>
    <v>96.97</v>
    <v>15.5137</v>
    <v>99.29</v>
    <v>99.29</v>
    <v>Suite 1700, 211 19th Street East, SASKATOON, SK, S7K 5R6 CA</v>
    <v>Bourse</v>
    <v>Nutrien Ltd. (XTSE:NTR)</v>
    <v>886266</v>
    <v>1435080</v>
  </rv>
  <rv s="2">
    <v>657</v>
  </rv>
  <rv s="0">
    <v>https://www.bing.com/financeapi/forcetrigger?t=a1z11h&amp;q=XNYS%3aO&amp;form=skydnc</v>
    <v>Learn more on Bing</v>
  </rv>
  <rv s="7">
    <v>fr-FR</v>
    <v>a1z11h</v>
    <v>268435456</v>
    <v>1</v>
    <v>Avec Refinitiv</v>
    <v>18</v>
    <v>19</v>
    <v>REALTY INCOME CORPORATION (XNYS:O)</v>
    <v>3</v>
    <v>20</v>
    <v>Finance</v>
    <v>21</v>
    <v>XNYS</v>
    <v>932450600</v>
    <v>1997</v>
    <v>63.954999999999998</v>
    <v>54.38</v>
    <v>0.7702</v>
    <v>59714136424</v>
    <v>New York Stock Exchange</v>
    <v>0.19</v>
    <v>2.9689999999999999E-3</v>
    <v>64.92</v>
    <v>O</v>
    <v>46133.899574849216</v>
    <v>Realty Income Corporation est une fiducie de placement immobilier. La Société acquiert et gère des propriétés commerciales autonomes qui génèrent des revenus locatifs en vertu de contrats de location nets à long terme conclus avec ses clients commerciaux. Elle exerce une seule activité commerciale, soit la location de biens à des clients, généralement sur une base nette. Cette activité commerciale couvre diverses frontières géographiques et comprend des types de propriétés et des clients engagés dans diverses industries. La Société possède ou détient des participations dans environ 15 621 propriétés situées dans les 50 états des États-Unis, au Royaume-Uni, en France, en Allemagne, en Irlande, Italie, Portugal et Espagne avec des clients qui font des affaires dans 89 industries. Ses types de propriétés comprennent la vente au détail, l'industrie, le jeu et d'autres, tels que l'agriculture et le bureau. Ses principales concentrations dans l'industrie comprennent les épiceries, les dépanneurs, les magasins à un dollar, les pharmacies, l'amélioration de la maison, restaurants-service rapide et autres.</v>
    <v>USD</v>
    <v>544</v>
    <v>XNYS</v>
    <v>64.959999999999994</v>
    <v>67.935000000000002</v>
    <v>Residential &amp; Commercial REIT</v>
    <v>659</v>
    <v>-1.3554999999999999E-2</v>
    <v>-0.88</v>
    <v>REALTY INCOME CORPORATION</v>
    <v>REALTY INCOME CORPORATION</v>
    <v>64.900000000000006</v>
    <v>55.003</v>
    <v>64.040000000000006</v>
    <v>64.19</v>
    <v>11995 El Camino Real, SAN DIEGO, CA, 92130 US</v>
    <v>Bourse</v>
    <v>REALTY INCOME CORPORATION (XNYS:O)</v>
    <v>6716093</v>
    <v>5680743</v>
  </rv>
  <rv s="2">
    <v>660</v>
  </rv>
  <rv s="0">
    <v>https://www.bing.com/financeapi/forcetrigger?t=aazl3m&amp;q=XTSE%3aPKI&amp;form=skydnc</v>
    <v>Learn more on Bing</v>
  </rv>
  <rv s="18">
    <v>fr-FR</v>
    <v>aazl3m</v>
    <v>268435456</v>
    <v>1</v>
    <v>1</v>
    <v>Avec Refinitiv</v>
    <v>18</v>
    <v>51</v>
    <v>PARKLAND CORPORATION. (XTSE:PKI)</v>
    <v>3</v>
    <v>22</v>
    <v>Finance</v>
    <v>5</v>
    <v>XTSE</v>
    <v>174595400</v>
    <v>2022</v>
    <v>39.270000000000003</v>
    <v>30.09</v>
    <v>0.4385</v>
    <v>7002745000</v>
    <v>Toronto Stock Exchange</v>
    <v>0</v>
    <v>0</v>
    <v>39.979999999999997</v>
    <v>PKI</v>
    <v>45965.875</v>
    <v>Parkland Corporation est un distributeur de carburant, un spécialiste de la commercialisation et un détaillant de proximité qui exerce ses activités dans plus de 26 pays à travers les Amériques. Ses segments comprennent le Canada, International, USA, raffinage et Corporate. Le segment Canada possède, fournit et soutient un réseau d'un océan à l'autre de dépanneurs et de magasins de carburant, de bornes de recharge de véhicules électriques, de magasins de vente au détail d'aliments, de carburant en vrac, de mazout de chauffage, de lubrifiants, et autres services aux clients commerciaux, industriels et résidentiels. Les segments internationaux comprennent des opérations dans plus de 24 pays situés dans la région des Caraïbes et sur la côte nord-est de l'Amérique du Sud. Le secteur des États-Unis fournit du carburant, des lubrifiants et d'autres produits et services connexes à des clients commerciaux et de gros et exploite un réseau de magasins de détail de carburant et de dépanneurs sous diverses marques. Le secteur du raffinage comprend les activités de la raffinerie de Burnaby. Elle compte environ 4 000 magasins de détail et commerciaux au Canada, aux États-Unis et dans la région des Caraïbes.</v>
    <v>CAD</v>
    <v>6077</v>
    <v>XTSE</v>
    <v>40.29</v>
    <v>41.44</v>
    <v>Oil &amp; Gas</v>
    <v>662</v>
    <v>0</v>
    <v>0</v>
    <v>PARKLAND CORPORATION.</v>
    <v>PARKLAND CORPORATION.</v>
    <v>39.270000000000003</v>
    <v>20.952400000000001</v>
    <v>39.840000000000003</v>
    <v>39.840000000000003</v>
    <v>1800, 240-4 Ave SW, CALGARY, AB, T2P 4H4 CA</v>
    <v>Bourse</v>
    <v>PARKLAND CORPORATION. (XTSE:PKI)</v>
    <v>1329226</v>
    <v>1614670</v>
  </rv>
  <rv s="2">
    <v>663</v>
  </rv>
  <rv s="11">
    <v>fr-FR</v>
    <v>ccr2bh</v>
    <v>268435456</v>
    <v>1</v>
    <v>Avec Refinitiv</v>
    <v>33</v>
    <v>34</v>
    <v>SOLVENTUM CORPORATION (XNYS:SOLV)</v>
    <v>35</v>
    <v>20</v>
    <v>Finance</v>
    <v>21</v>
    <v>XNYS</v>
    <v>173405200</v>
    <v>2023</v>
    <v>68.88</v>
    <v>62.38</v>
    <v>0.64700000000000002</v>
    <v>11966692852</v>
    <v>New York Stock Exchange</v>
    <v>0</v>
    <v>0</v>
    <v>70.040000000000006</v>
    <v>SOLV</v>
    <v>46133.899206932816</v>
    <v>Solventum Corporation est une société mondiale de soins de santé qui développe, fabrique et commercialise un portefeuille de solutions qui exploitent la science des matériaux, la science des données et les capacités numériques pour répondre aux besoins critiques de ses clients. Les segments de la société comprennent MedSurg, Dental solutions et Health information System. MedSurg est un fournisseur de solutions comprenant la thérapie des plaies par pression négative, les pansements avancés, les soins avancés de la peau, la gestion de site I.V., l'assurance de stérilisation, gestion de la température, fournitures chirurgicales, rubans et enveloppes médicaux, stéthoscopes, électrodes médicales et technologies médicales fabricant d'équipement d'origine (OEM). Dental solutions est un fournisseur d'une gamme complète de produits dentaires et orthodontiques, y compris des supports, des aligneurs et du ciment réparateur. Health information Systems fournit aux systèmes de soins de santé des solutions logicielles, y compris la documentation médicale assistée par ordinateur, et l'automatisation de la facturation directe et du codage.</v>
    <v>USD</v>
    <v>20000</v>
    <v>XNYS</v>
    <v>71.12</v>
    <v>88.2</v>
    <v>Healthcare Equipment &amp; Supplies</v>
    <v>-1.4705999999999999E-2</v>
    <v>-1.03</v>
    <v>SOLVENTUM CORPORATION</v>
    <v>SOLVENTUM CORPORATION</v>
    <v>70.27</v>
    <v>7.7771999999999997</v>
    <v>69.010000000000005</v>
    <v>68.97</v>
    <v>C/O 3M Company, 3M Center, Building 275-6W-02, ST. PAUL, MN, 55144-1000 US</v>
    <v>Bourse</v>
    <v>SOLVENTUM CORPORATION (XNYS:SOLV)</v>
    <v>778944</v>
    <v>1380543</v>
  </rv>
  <rv s="2">
    <v>665</v>
  </rv>
  <rv s="0">
    <v>https://www.bing.com/financeapi/forcetrigger?t=aazmmw&amp;q=XTSE%3aPOW&amp;form=skydnc</v>
    <v>Learn more on Bing</v>
  </rv>
  <rv s="7">
    <v>fr-FR</v>
    <v>aazmmw</v>
    <v>268435456</v>
    <v>1</v>
    <v>Avec Refinitiv</v>
    <v>18</v>
    <v>19</v>
    <v>POWER CORPORATION DU CANADA (XTSE:POW)</v>
    <v>3</v>
    <v>22</v>
    <v>Finance</v>
    <v>5</v>
    <v>XTSE</v>
    <v>577233300</v>
    <v>1980</v>
    <v>71.900000000000006</v>
    <v>48.18</v>
    <v>0.92689999999999995</v>
    <v>41612748597</v>
    <v>Toronto Stock Exchange</v>
    <v>0</v>
    <v>0</v>
    <v>72.25</v>
    <v>POW</v>
    <v>46133.833333333336</v>
    <v>Power Corporation du Canada est une société de gestion et de portefeuille internationale qui se concentre sur les services financiers en Amérique du Nord, en Europe et en Asie. Les principaux actifs de la Société sont les activités d'assurance, de retraite, de gestion de patrimoine et de placement, y compris un portefeuille de plateformes de placement d'actifs alternatifs. Ses segments isolables comprennent Lifeco, IGM Financial, GBL et les sociétés de portefeuille. Lifeco est une société de portefeuille de services financiers qui détient des participations dans les secteurs de l'assurance-vie, de l'assurance-maladie, des services de retraite et de placement, de la gestion d'actifs et de la réassurance, principalement au Canada, aux États-Unis et en Europe. Le secteur financier IGM est une société de gestion de patrimoine et d'actifs qui soutient les conseillers et les clients qu'ils servent au Canada, ainsi que les investisseurs institutionnels à l'échelle mondiale. GBL segment est une société holding d'investissement belge et investisseur en Europe. Son portefeuille est composé d'un portefeuille d'investissements privés directs et indirects cotés composé de sociétés mondiales.</v>
    <v>CAD</v>
    <v>37300</v>
    <v>XTSE</v>
    <v>73.069999999999993</v>
    <v>74.91</v>
    <v>Insurance</v>
    <v>667</v>
    <v>-2.215E-3</v>
    <v>-0.16</v>
    <v>POWER CORPORATION DU CANADA</v>
    <v>POWER CORPORATION DU CANADA</v>
    <v>72.260000000000005</v>
    <v>18.256699999999999</v>
    <v>72.09</v>
    <v>72.09</v>
    <v>751 Victoria Square, QC, H2Y 2J3 CA</v>
    <v>Bourse</v>
    <v>POWER CORPORATION DU CANADA (XTSE:POW)</v>
    <v>2745661</v>
    <v>2316410</v>
  </rv>
  <rv s="2">
    <v>668</v>
  </rv>
  <rv s="0">
    <v>https://www.bing.com/financeapi/forcetrigger?t=c4s91h&amp;q=XTSE%3aPMZ.UN&amp;form=skydnc</v>
    <v>Learn more on Bing</v>
  </rv>
  <rv s="8">
    <v>fr-FR</v>
    <v>c4s91h</v>
    <v>268435456</v>
    <v>1</v>
    <v>Avec Refinitiv</v>
    <v>23</v>
    <v>24</v>
    <v>PRIMARIS REAL ESTATE UNT (XTSE:PMZ.UN)</v>
    <v>8</v>
    <v>25</v>
    <v>Finance</v>
    <v>5</v>
    <v>XTSE</v>
    <v>18.78</v>
    <v>13.97</v>
    <v>Toronto Stock Exchange</v>
    <v>0</v>
    <v>0</v>
    <v>18.920000000000002</v>
    <v>PMZ.UN</v>
    <v>46133.833333333336</v>
    <v>CAD</v>
    <v>19.024999999999999</v>
    <v>19.66</v>
    <v>670</v>
    <v>-5.8140000000000006E-3</v>
    <v>-0.11</v>
    <v>PRIMARIS REAL ESTATE UNT</v>
    <v>18.93</v>
    <v>18.809999999999999</v>
    <v>18.809999999999999</v>
    <v>Fonds coté en bourse</v>
    <v>PRIMARIS REAL ESTATE UNT (XTSE:PMZ.UN)</v>
    <v>148504</v>
  </rv>
  <rv s="2">
    <v>671</v>
  </rv>
  <rv s="0">
    <v>https://www.bing.com/financeapi/forcetrigger?t=aazvp2&amp;q=XTSE%3aRCI.B&amp;form=skydnc</v>
    <v>Learn more on Bing</v>
  </rv>
  <rv s="7">
    <v>fr-FR</v>
    <v>aazvp2</v>
    <v>268435456</v>
    <v>1</v>
    <v>Avec Refinitiv</v>
    <v>18</v>
    <v>19</v>
    <v>ROGERS COMMUNICATIONS INC. (XTSE:RCI.B)</v>
    <v>3</v>
    <v>22</v>
    <v>Finance</v>
    <v>5</v>
    <v>XTSE</v>
    <v>540225300</v>
    <v>2023</v>
    <v>45.03</v>
    <v>34.185000000000002</v>
    <v>0.72729999999999995</v>
    <v>24364161030</v>
    <v>Toronto Stock Exchange</v>
    <v>0</v>
    <v>0</v>
    <v>45.52</v>
    <v>RCI.B</v>
    <v>46133.846759259257</v>
    <v>Rogers Communications Inc. est une entreprise Canadienne diversifiée de communications et de médias. La Société opère dans trois segments : sans fil, câble et médias. Le segment des services sans fil offre des services de télécommunications sans fil aux consommateurs et aux entreprises canadiens. Le secteur du câble exploite des activités de télécommunications par câble, y compris Internet, la télévision et d'autres services de vidéo, de satellite, services de téléphonie et de surveillance résidentielle intelligente pour les consommateurs et les entreprises canadiens, et connectivité réseau par le biais de son réseau fibre optique et de ses actifs de centre de données pour prendre en charge une gamme de services voix, données, réseautage, hébergement et cloud pour les entreprises, le secteur public et les marchés de gros des opérateurs. Le segment des médias offre un portefeuille diversifié de propriétés médiatiques, y compris les médias sportifs et le divertissement, la radiodiffusion télévisuelle et radiophonique, les chaînes spécialisées, le magasinage multiplateforme et les médias numériques.</v>
    <v>CAD</v>
    <v>25000</v>
    <v>XTSE</v>
    <v>45.69</v>
    <v>56.27</v>
    <v>Telecommunications Services</v>
    <v>673</v>
    <v>-9.2269999999999991E-3</v>
    <v>-0.42</v>
    <v>ROGERS COMMUNICATIONS INC.</v>
    <v>ROGERS COMMUNICATIONS INC.</v>
    <v>45.66</v>
    <v>3.5392000000000001</v>
    <v>45.1</v>
    <v>45.1</v>
    <v>333 Bloor Street East, 10th Floor, TORONTO, ON, M4W 1G9 CA</v>
    <v>Bourse</v>
    <v>ROGERS COMMUNICATIONS INC. (XTSE:RCI.B)</v>
    <v>1123907</v>
    <v>2542700</v>
  </rv>
  <rv s="2">
    <v>674</v>
  </rv>
  <rv s="19">
    <v>fr-FR</v>
    <v>ceq1im</v>
    <v>268435456</v>
    <v>1</v>
    <v>Avec Refinitiv</v>
    <v>52</v>
    <v>53</v>
    <v>South Bow CA (XTSE:SOBO)</v>
    <v>35</v>
    <v>54</v>
    <v>Finance</v>
    <v>5</v>
    <v>XTSE</v>
    <v>208584600</v>
    <v>2023</v>
    <v>42.38</v>
    <v>33.200000000000003</v>
    <v>8933678418</v>
    <v>Toronto Stock Exchange</v>
    <v>0</v>
    <v>0</v>
    <v>42.98</v>
    <v>SOBO</v>
    <v>46133.833333333336</v>
    <v xml:space="preserve">South Bow Corp is an energy infrastructure company, which owns and operates critical liquids pipelines and facilities extending across Canada and the United States. Its segments include Keystone Pipeline System, Marketing, and Intra-Alberta &amp; Other. The Keystone Pipeline System segment consists of the Company's liquid pipeline system, which connects crude oil production in Hardisty, Alberta to key refining and demand markets in the United States Midwest and Gulf Coast. It provides crude oil transportation service from Hardisty, Alberta, to various delivery points in the United States Midwest and Gulf Coast. Marketing segment provides customers with a variety of crude oil marketing services, including transportation, storage, and logistics. Intra-Alberta pipelines segment is comprised of the Grand Rapids Pipeline and White Spruce Pipeline, which provide crude oil transportation from Alberta’s oil sands region to terminals in the Edmonton and Heartland refining and market regions. </v>
    <v>CAD</v>
    <v>600</v>
    <v>XTSE</v>
    <v>43.17</v>
    <v>48.59</v>
    <v>Oil &amp; Gas Related Equipment and Services</v>
    <v>-3.4899999999999996E-3</v>
    <v>-0.15</v>
    <v>South Bow CA</v>
    <v>South Bow CA</v>
    <v>42.94</v>
    <v>15.0847</v>
    <v>42.83</v>
    <v>42.83</v>
    <v>707 5 Street Sw, Suite 900, CALGARY, AB, T2P 1V8 CA</v>
    <v>Bourse</v>
    <v>South Bow CA (XTSE:SOBO)</v>
    <v>1924167</v>
    <v>1221270</v>
  </rv>
  <rv s="2">
    <v>676</v>
  </rv>
  <rv s="0">
    <v>https://www.bing.com/financeapi/forcetrigger?t=ab18dm&amp;q=XTSE%3aSLF&amp;form=skydnc</v>
    <v>Learn more on Bing</v>
  </rv>
  <rv s="7">
    <v>fr-FR</v>
    <v>ab18dm</v>
    <v>268435456</v>
    <v>1</v>
    <v>Avec Refinitiv</v>
    <v>18</v>
    <v>19</v>
    <v>SUN LIFE FINANCIAL INC (XTSE:SLF)</v>
    <v>3</v>
    <v>22</v>
    <v>Finance</v>
    <v>5</v>
    <v>XTSE</v>
    <v>554013000</v>
    <v>1999</v>
    <v>95.79</v>
    <v>77.38</v>
    <v>0.81559999999999999</v>
    <v>53290510470</v>
    <v>Toronto Stock Exchange</v>
    <v>0</v>
    <v>0</v>
    <v>96.08</v>
    <v>SLF</v>
    <v>46133.833333333336</v>
    <v>Financière Sun Life Inc. est une société internationale de services financiers. La Société fournit des solutions de gestion d'actifs, de patrimoine, d'assurance et de santé à des clients particuliers et institutionnels. Les secteurs de la Société comprennent la gestion d'actifs, le Canada, les États-Unis (É.-U.), l'Asie et les entreprises. Ces secteurs d'activité opèrent dans le secteur des services financiers. Le groupe d'activité Asset Management comprend les unités d'activité MFS Investment Management et SLC Management. Ses types d'activités comprennent la gestion d'actifs et de patrimoine, Group-Health &amp; protection et Individual-protection. Ses activités Asset Management &amp; Wealth se concentrent sur les produits d'investissement. Ses activités Groupe-santé et protection offrent des prestations de santé et de protection aux employeurs et aux participants aux régimes gouvernementaux. Ses produits et services comprennent l'assurance, les placements, les conseils financiers et la gestion d'actifs. Elle exerce ses activités au Canada, aux États-Unis, au Royaume-Uni, en Irlande, à Hong Kong, Philippines et autres.</v>
    <v>CAD</v>
    <v>32151</v>
    <v>XTSE</v>
    <v>96.68</v>
    <v>96.68</v>
    <v>Insurance</v>
    <v>678</v>
    <v>1.145E-3</v>
    <v>0.11</v>
    <v>SUN LIFE FINANCIAL INC</v>
    <v>SUN LIFE FINANCIAL INC</v>
    <v>95.79</v>
    <v>15.591100000000001</v>
    <v>96.19</v>
    <v>96.19</v>
    <v>1 York Street, ON, M5J 0B6 CA</v>
    <v>Bourse</v>
    <v>SUN LIFE FINANCIAL INC (XTSE:SLF)</v>
    <v>1107652</v>
    <v>1198980</v>
  </rv>
  <rv s="2">
    <v>679</v>
  </rv>
  <rv s="0">
    <v>https://www.bing.com/financeapi/forcetrigger?t=a1wljc&amp;q=XNYS%3aKO&amp;form=skydnc</v>
    <v>Learn more on Bing</v>
  </rv>
  <rv s="7">
    <v>fr-FR</v>
    <v>a1wljc</v>
    <v>268435456</v>
    <v>1</v>
    <v>Avec Refinitiv</v>
    <v>18</v>
    <v>19</v>
    <v>THE COCA-COLA COMPANY (XNYS:KO)</v>
    <v>3</v>
    <v>20</v>
    <v>Finance</v>
    <v>21</v>
    <v>XNYS</v>
    <v>4304153000</v>
    <v>1919</v>
    <v>74.614999999999995</v>
    <v>65.353800000000007</v>
    <v>0.3322</v>
    <v>321563270630</v>
    <v>New York Stock Exchange</v>
    <v>0.28999999999999998</v>
    <v>3.882E-3</v>
    <v>75.48</v>
    <v>KO</v>
    <v>46133.899314351562</v>
    <v>The Coca-Cola Company est une entreprise de boissons. Les segments de la Société comprennent l'Europe, le moyen-Orient et l'Afrique ; l'Amérique latine ; l'Amérique du Nord ; l'Asie-Pacifique ; Global Ventures; et Bottling Investments. Elle vend plusieurs marques dans plusieurs catégories de boissons dans le monde entier. Son portefeuille de marques de boissons gazeuses pétillantes comprend Coca-Cola, Sprite et Fanta. Ses marques d'eau, de sport, de café et de thé comprennent Dasani, Smartwater, vitaminwater, Topo Chico, BODYARMOR, Powerade, Costa, Georgia, Fuze Tea, Gold Peak et Ayataka. Ses marques de jus, de produits laitiers à valeur ajoutée et de boissons végétales comprennent minute Maid, Simply, Innocent, Del Valle, fairlife et Ades. Elle opère dans deux secteurs d'activité : les opérations de concentration et les opérations de produits finis. Ses activités de concentrés vendent des concentrés de boissons, des sirops, y compris des sirops de fontaine, et certaines boissons finies à des opérations d'embouteillage autorisées. Ses activités de produits finis vendent des boissons gazeuses pétillantes et une variété d'autres boissons finies.</v>
    <v>USD</v>
    <v>65900</v>
    <v>XNYS</v>
    <v>75.53</v>
    <v>82</v>
    <v>Beverages</v>
    <v>681</v>
    <v>-1.0201E-2</v>
    <v>-0.77</v>
    <v>THE COCA-COLA COMPANY</v>
    <v>THE COCA-COLA COMPANY</v>
    <v>75.474999999999994</v>
    <v>24.5837</v>
    <v>74.709999999999994</v>
    <v>74.989999999999995</v>
    <v>1 Coca Cola Plz NW, ATLANTA, GA, 30313-2420 US</v>
    <v>Bourse</v>
    <v>THE COCA-COLA COMPANY (XNYS:KO)</v>
    <v>11801292</v>
    <v>14569050</v>
  </rv>
  <rv s="2">
    <v>682</v>
  </rv>
  <rv s="0">
    <v>https://www.bing.com/financeapi/forcetrigger?t=a1wi77&amp;q=XNAS%3aKHC&amp;form=skydnc</v>
    <v>Learn more on Bing</v>
  </rv>
  <rv s="7">
    <v>fr-FR</v>
    <v>a1wi77</v>
    <v>268435456</v>
    <v>1</v>
    <v>Avec Refinitiv</v>
    <v>18</v>
    <v>19</v>
    <v>THE KRAFT HEINZ COMPANY (XNAS:KHC)</v>
    <v>3</v>
    <v>20</v>
    <v>Finance</v>
    <v>21</v>
    <v>XNAS</v>
    <v>1185762000</v>
    <v>2013</v>
    <v>21.86</v>
    <v>21.035</v>
    <v>3.2000000000000001E-2</v>
    <v>26063048760</v>
    <v>Nasdaq Stock Market</v>
    <v>0</v>
    <v>0</v>
    <v>22.21</v>
    <v>KHC</v>
    <v>46133.899231747659</v>
    <v>The Kraft Heinz Company fabrique et commercialise des produits alimentaires et des boissons dans le monde entier grâce à ses huit plateformes de produits axées sur le consommateur : Taste Elevation, Easy ready Meals, collations substantielles, desserts, hydratation, fromage, café et viandes. La Société a deux secteurs isolables définis par région géographique : l'Amérique du Nord et les marchés développés internationaux. Ses autres segments, à savoir les marchés émergents de l'Ouest et de l'est (WEEM) et les marchés émergents de l'Asie (AEM), sont regroupés et présentés comme marchés émergents. Elle fabrique ses produits à partir d'une grande variété de matières premières. Ses marques incluent Kraft, Oscar Mayer, Heinz, Philadelphie, Lunchables, Velveeta, Ore-Ida, Capri Sun, Maxwell Apartment, Kool-Aid, Jell-O, Heinz, Golden Circle, Wattie's, plasmon, Heinz, ABC, Maître, Quero, Kraft, et Pudliszki, entre autres. Les produits de la Société sont vendus par l'intermédiaire de ses propres organismes de vente et par l'intermédiaire de courtiers, d'agents et de distributeurs indépendants.</v>
    <v>USD</v>
    <v>35000</v>
    <v>XNAS</v>
    <v>22.27</v>
    <v>30.42</v>
    <v>Food &amp; Tobacco</v>
    <v>684</v>
    <v>-1.0356000000000001E-2</v>
    <v>-0.23</v>
    <v>THE KRAFT HEINZ COMPANY</v>
    <v>THE KRAFT HEINZ COMPANY</v>
    <v>22.17</v>
    <v>0</v>
    <v>21.98</v>
    <v>21.98</v>
    <v>One Ppg Place, PITTSBURGH, PA, 15222 US</v>
    <v>Bourse</v>
    <v>THE KRAFT HEINZ COMPANY (XNAS:KHC)</v>
    <v>13634706</v>
    <v>15421295</v>
  </rv>
  <rv s="2">
    <v>685</v>
  </rv>
  <rv s="0">
    <v>https://www.bing.com/financeapi/forcetrigger?t=a1zsjc&amp;q=XNYS%3aPG&amp;form=skydnc</v>
    <v>Learn more on Bing</v>
  </rv>
  <rv s="7">
    <v>fr-FR</v>
    <v>a1zsjc</v>
    <v>268435456</v>
    <v>1</v>
    <v>Avec Refinitiv</v>
    <v>18</v>
    <v>19</v>
    <v>THE PROCTER &amp; GAMBLE COMPANY (XNYS:PG)</v>
    <v>3</v>
    <v>20</v>
    <v>Finance</v>
    <v>21</v>
    <v>XNYS</v>
    <v>2324001000</v>
    <v>1905</v>
    <v>142.32</v>
    <v>137.62</v>
    <v>0.39290000000000003</v>
    <v>330798302340</v>
    <v>New York Stock Exchange</v>
    <v>0.43</v>
    <v>3.0209999999999998E-3</v>
    <v>144.49</v>
    <v>PG</v>
    <v>46133.899862267972</v>
    <v>La Procter &amp; Gamble Company se concentre sur la fourniture de biens de consommation emballés de marque aux consommateurs du monde entier. Les segments de la société comprennent la beauté, le toilettage, les soins de santé, les tissus et les soins à domicile et les soins pour bébés, féminins et familiaux. Les produits de la Société sont vendus dans environ 180 pays et territoires principalement par le biais de marchands de masse, de commerce électronique, y compris les canaux de commerce social, les épiceries, les magasins de clubs de membres, les drugstores, les grands magasins, distributeurs, grossistes, magasins de beauté spécialisés, y compris les magasins hors taxes d'aéroport), magasins à haute fréquence, pharmacies, magasins d'électronique et canaux professionnels. Elle vend également directement aux consommateurs individuels. Elle est présente dans environ 70 pays. Il offre des produits sous des marques, telles que Head &amp; Shoulders, Herbal essences, Pantene, Rejoice, Olay, Old Spice, Safeguard, secret, SK-II, Braun, Gillette, Vénus, Crest, Oral-B, Ariel, Downy, gain, Tide, toujours, toujours discret, Tampax, Bounty et d'autres.</v>
    <v>USD</v>
    <v>109000</v>
    <v>XNYS</v>
    <v>144.62</v>
    <v>170.99</v>
    <v>Personal &amp; Household Products &amp; Services</v>
    <v>687</v>
    <v>-1.4879999999999999E-2</v>
    <v>-2.15</v>
    <v>THE PROCTER &amp; GAMBLE COMPANY</v>
    <v>THE PROCTER &amp; GAMBLE COMPANY</v>
    <v>144.62</v>
    <v>21.090800000000002</v>
    <v>142.34</v>
    <v>142.75</v>
    <v>One Procter &amp; Gamble Plaza, CINCINNATI, OH, 45202 US</v>
    <v>Bourse</v>
    <v>THE PROCTER &amp; GAMBLE COMPANY (XNYS:PG)</v>
    <v>11190518</v>
    <v>10570668</v>
  </rv>
  <rv s="2">
    <v>688</v>
  </rv>
  <rv s="0">
    <v>https://www.bing.com/financeapi/forcetrigger?t=a24e9c&amp;q=XNYS%3aTTE&amp;form=skydnc</v>
    <v>Learn more on Bing</v>
  </rv>
  <rv s="7">
    <v>fr-FR</v>
    <v>a24e9c</v>
    <v>268435456</v>
    <v>1</v>
    <v>Avec Refinitiv</v>
    <v>18</v>
    <v>19</v>
    <v>TOTALENERGIES SE (XNYS:TTE)</v>
    <v>3</v>
    <v>20</v>
    <v>Finance</v>
    <v>29</v>
    <v>XNYS</v>
    <v>2188400000</v>
    <v>1954</v>
    <v>87.74</v>
    <v>62.155000000000001</v>
    <v>0.2273</v>
    <v>193388908000</v>
    <v>New York Stock Exchange</v>
    <v>-0.37</v>
    <v>-4.1869999999999997E-3</v>
    <v>87.31</v>
    <v>TTE</v>
    <v>46133.886355810158</v>
    <v>TotalEnergies SE est une société française dont l’activité principale est celle d’un groupe pétrolier mondial. Ses divisions de segment sont divisées en raffinage et chimie tels que le raffinage des produits pétroliers et la fabrication de produits chimiques de base et de spécialités, la distribution de produits pétroliers, la production d’électricité à partir de centrales à gaz à cycle combiné et les énergies renouvelables, La production, le commerce, le transport et la distribution de gaz comprennent principalement le gaz naturel liquéfié, le gaz naturel, le biogaz, l’hydrogène, le gaz de pétrole liquéfié et les hydrocarbures. Le groupe opère également dans le négoce et le transport maritime du pétrole brut et des produits pétroliers.</v>
    <v>USD</v>
    <v>102887</v>
    <v>XNYS</v>
    <v>88.54</v>
    <v>93.49</v>
    <v>Oil &amp; Gas</v>
    <v>690</v>
    <v>1.2140999999999999E-2</v>
    <v>1.06</v>
    <v>TOTALENERGIES SE</v>
    <v>TOTALENERGIES SE</v>
    <v>88.08</v>
    <v>15.1557</v>
    <v>88.37</v>
    <v>88</v>
    <v>Tour Coupole - 2, place Jean Millier, Paris La Defense Cedex, PARIS, ILE-DE-FRANCE, 92078 FR</v>
    <v>Bourse</v>
    <v>TOTALENERGIES SE (XNYS:TTE)</v>
    <v>1170789</v>
    <v>2500087</v>
  </rv>
  <rv s="2">
    <v>691</v>
  </rv>
  <rv s="0">
    <v>https://www.bing.com/financeapi/forcetrigger?t=a25afr&amp;q=XNYS%3aVFC&amp;form=skydnc</v>
    <v>Learn more on Bing</v>
  </rv>
  <rv s="7">
    <v>fr-FR</v>
    <v>a25afr</v>
    <v>268435456</v>
    <v>1</v>
    <v>Avec Refinitiv</v>
    <v>18</v>
    <v>19</v>
    <v>V.F. CORPORATION (XNYS:VFC)</v>
    <v>3</v>
    <v>20</v>
    <v>Finance</v>
    <v>21</v>
    <v>XNYS</v>
    <v>391263300</v>
    <v>1899</v>
    <v>21.45</v>
    <v>10.145</v>
    <v>1.7630999999999999</v>
    <v>8400423051</v>
    <v>New York Stock Exchange</v>
    <v>0.01</v>
    <v>4.6530000000000003E-4</v>
    <v>21.5</v>
    <v>VFC</v>
    <v>46133.899994791405</v>
    <v>V.F. Corp est une entreprise mondiale de vêtements, chaussures et accessoires. La Société conçoit, achète, commercialise et distribue une variété de produits de marque, y compris des sacs à dos, des bagages et des accessoires pour les consommateurs de tous âges. Ses produits sont commercialisés sous des marques appartenant à VF. Son portefeuille de marques de vêtements de plein air, actifs et de travail comprend North face, Vans, Timberland, Altra, Smartwool, Icebreaker, Kipling, Napapijri, Eastpak, JanSport, et Timberland PRO. Ses segments incluent extérieur, actif et travail. Le segment Outdoor est un groupe de marques de style de vie de plein air. Les offres de produits comprennent des vêtements de plein air performants et inspirés par la performance, des chaussures, de l'équipement et des accessoires. Le segment Active est un groupe de marques de style de vie basées sur l'activité. Les offres de produits incluent des vêtements actifs, des chaussures, des sacs à dos, des bagages et des accessoires. Le segment de travail comprend des marques de vêtements de travail de performance et de style de vie avec des offres de produits qui comprennent des vêtements, des chaussures et des accessoires.</v>
    <v>USD</v>
    <v>16200</v>
    <v>XNYS</v>
    <v>22.2699</v>
    <v>22.2699</v>
    <v>Textiles &amp; Apparel</v>
    <v>693</v>
    <v>-1.3950000000000002E-3</v>
    <v>-0.03</v>
    <v>V.F. CORPORATION</v>
    <v>V.F. CORPORATION</v>
    <v>21.52</v>
    <v>38.684699999999999</v>
    <v>21.47</v>
    <v>21.5</v>
    <v>1551 Wewatta Street, DENVER, CO, 80202 US</v>
    <v>Bourse</v>
    <v>V.F. CORPORATION (XNYS:VFC)</v>
    <v>6244037</v>
    <v>6158503</v>
  </rv>
  <rv s="2">
    <v>694</v>
  </rv>
  <rv s="0">
    <v>https://www.bing.com/financeapi/forcetrigger?t=ab1our&amp;q=XTSE%3aVFV&amp;form=skydnc</v>
    <v>Learn more on Bing</v>
  </rv>
  <rv s="3">
    <v>fr-FR</v>
    <v>ab1our</v>
    <v>268435456</v>
    <v>1</v>
    <v>Avec Refinitiv</v>
    <v>6</v>
    <v>7</v>
    <v>Vanguard S&amp;P 500 Index ETF (XTSE:VFV)</v>
    <v>8</v>
    <v>9</v>
    <v>Finance</v>
    <v>10</v>
    <v>XTSE</v>
    <v>171</v>
    <v>125.27</v>
    <v>1.0084</v>
    <v>27776014587.959999</v>
    <v>Toronto Stock Exchange</v>
    <v>172.09</v>
    <v>VFV</v>
    <v>46133.833194444444</v>
    <v>CAD</v>
    <v>172.59</v>
    <v>173.25</v>
    <v>696</v>
    <v>-5.2300000000000003E-3</v>
    <v>-0.9</v>
    <v>Vanguard S&amp;P 500 Index ETF</v>
    <v>172.5</v>
    <v>171.19</v>
    <v>8.9999999999999998E-4</v>
    <v>Fonds coté en bourse</v>
    <v>Vanguard S&amp;P 500 Index ETF (XTSE:VFV)</v>
    <v>261143</v>
  </rv>
  <rv s="2">
    <v>697</v>
  </rv>
  <rv s="0">
    <v>https://www.bing.com/financeapi/forcetrigger?t=a25ya2&amp;q=XNYS%3aWMT&amp;form=skydnc</v>
    <v>Learn more on Bing</v>
  </rv>
  <rv s="7">
    <v>fr-FR</v>
    <v>a25ya2</v>
    <v>268435456</v>
    <v>1</v>
    <v>Avec Refinitiv</v>
    <v>18</v>
    <v>19</v>
    <v>WALMART INC. (XNAS:WMT)</v>
    <v>3</v>
    <v>20</v>
    <v>Finance</v>
    <v>21</v>
    <v>XNAS</v>
    <v>7972402000</v>
    <v>1969</v>
    <v>127.48</v>
    <v>91.34</v>
    <v>0.63970000000000005</v>
    <v>1033223299200</v>
    <v>Nasdaq Stock Market</v>
    <v>0.01</v>
    <v>7.716E-5</v>
    <v>127.92</v>
    <v>WMT</v>
    <v>46133.899253529686</v>
    <v>Walmart Inc. est un détaillant omnicanal doté de technologies. La Société est engagée dans l'exploitation de magasins et de clubs de détail et de gros, ainsi que de sites Web de commerce électronique et d'applications mobiles, situés à travers les États-Unis (É.-U.), Afrique, Canada, Amérique centrale, Chili, Chine, Inde et Mexique. Elle opère dans trois segments isolables : Walmart U.S., Walmart International et Sam's Club U.S. le segment Walmart U.S. comprend le concept de merchandising de masse de la Société aux États-Unis, ainsi que le commerce électronique, qui comprend des initiatives omnicanales et certaines autres offres commerciales telles que les services publicitaires. Le secteur Walmart International comprend les activités de la Société à l'extérieur des États-Unis par l'intermédiaire de ses filiales, ainsi que les initiatives de commerce électronique et omnicanal. Le segment Sam's Club U.S. comprend les clubs adhérents aux entrepôts aux États-Unis, ainsi que les initiatives samsclub.com et omnicanal.</v>
    <v>USD</v>
    <v>2100000</v>
    <v>XNAS</v>
    <v>129.77000000000001</v>
    <v>134.69</v>
    <v>Food &amp; Drug Retailing</v>
    <v>699</v>
    <v>1.3132999999999999E-2</v>
    <v>1.68</v>
    <v>WALMART INC.</v>
    <v>WALMART INC.</v>
    <v>127.83</v>
    <v>47.479500000000002</v>
    <v>129.6</v>
    <v>129.61000000000001</v>
    <v>1 Customer Drive, BENTONVILLE, AR, 72716 US</v>
    <v>Bourse</v>
    <v>WALMART INC. (XNAS:WMT)</v>
    <v>17302615</v>
    <v>19160805</v>
  </rv>
  <rv s="2">
    <v>700</v>
  </rv>
  <rv s="0">
    <v>https://www.bing.com/financeapi/forcetrigger?t=a1r32w&amp;q=XNAS%3aWBD&amp;form=skydnc</v>
    <v>Learn more on Bing</v>
  </rv>
  <rv s="7">
    <v>fr-FR</v>
    <v>a1r32w</v>
    <v>268435456</v>
    <v>1</v>
    <v>Avec Refinitiv</v>
    <v>18</v>
    <v>19</v>
    <v>WARNER BROS. DISCOVERY, INC. (XNAS:WBD)</v>
    <v>3</v>
    <v>20</v>
    <v>Finance</v>
    <v>21</v>
    <v>XNAS</v>
    <v>2506768000</v>
    <v>2008</v>
    <v>27.27</v>
    <v>7.75</v>
    <v>1.621</v>
    <v>68459834080</v>
    <v>Nasdaq Stock Market</v>
    <v>0</v>
    <v>0</v>
    <v>27.42</v>
    <v>WBD</v>
    <v>46133.89922461797</v>
    <v>Warner Bros Discovery, Inc. est une société mondiale de médias et de divertissement qui crée et distribue un portefeuille de contenus de marque à la télévision, au cinéma, en streaming et dans les jeux. Les segments de la Société comprennent les studios, les réseaux et DTC. Le secteur des studios comprend principalement la production et la sortie de longs métrages destinés à une première diffusion dans les salles, la production et la licence initiale d'émissions de télévision à ses réseaux/services DTC ainsi qu'à des tiers, la distribution de ses films et émissions de télévision à divers tiers et services internes de télévision et de streaming, la distribution par le biais du marché du divertissement à domicile, et autres. Le segment des réseaux comprend principalement ses réseaux de télévision nationaux et internationaux. Le segment DTC se compose principalement de ses services de télévision payante et de streaming premium. Ses marques et produits incluent Discovery Channel, Max, DC, TNT Sports, Eurosport, HBO, HGTV, Food Network, OWN, investigation Discovery, TLC, Warner Bros et Cartoon Network.</v>
    <v>USD</v>
    <v>35500</v>
    <v>XNAS</v>
    <v>27.45</v>
    <v>30</v>
    <v>Media &amp; Publishing</v>
    <v>702</v>
    <v>-4.0119999999999999E-3</v>
    <v>-0.11</v>
    <v>WARNER BROS. DISCOVERY, INC.</v>
    <v>WARNER BROS. DISCOVERY, INC.</v>
    <v>27.41</v>
    <v>95.156800000000004</v>
    <v>27.31</v>
    <v>27.31</v>
    <v>230 PARK AVENUE SOUTH, NEW YORK, NY, 10003 US</v>
    <v>Bourse</v>
    <v>WARNER BROS. DISCOVERY, INC. (XNAS:WBD)</v>
    <v>24608001</v>
    <v>25283484</v>
  </rv>
  <rv s="2">
    <v>703</v>
  </rv>
  <rv s="20">
    <v>fr-FR</v>
    <v>cilf7w</v>
    <v>268435456</v>
    <v>1</v>
    <v>Avec Refinitiv</v>
    <v>55</v>
    <v>56</v>
    <v>SUNOCOCORP UNT (XNYS:SUNC)</v>
    <v>44</v>
    <v>57</v>
    <v>Finance</v>
    <v>58</v>
    <v>XNYS</v>
    <v>60.61</v>
    <v>47</v>
    <v>New York Stock Exchange</v>
    <v>0</v>
    <v>0</v>
    <v>61.09</v>
    <v>SUNC</v>
    <v>46133.840337048438</v>
    <v>USD</v>
    <v>62.25</v>
    <v>63.65</v>
    <v>1.8169999999999999E-2</v>
    <v>1.1100000000000001</v>
    <v>SUNOCOCORP UNT</v>
    <v>61.27</v>
    <v>62.2</v>
    <v>62.2</v>
    <v>Fonds coté en bourse</v>
    <v>SUNOCOCORP UNT (XNYS:SUNC)</v>
    <v>645763</v>
    <v>479300</v>
  </rv>
  <rv s="2">
    <v>705</v>
  </rv>
  <rv s="0">
    <v>http://en.wikipedia.org/wiki/The_Walt_Disney_Company</v>
    <v>Wikipedia</v>
  </rv>
  <rv s="12">
    <v>627</v>
    <v>707</v>
  </rv>
  <rv s="13">
    <v>41</v>
    <v>https://www.bing.com/th?id=AMMS_0aa288ba528f6f45e3de87d97e250136&amp;qlt=95</v>
    <v>708</v>
    <v>0</v>
    <v>https://www.bing.com/images/search?form=xlimg&amp;q=the+walt+disney+company</v>
    <v>Image of THE WALT DISNEY COMPANY</v>
  </rv>
  <rv s="0">
    <v>https://www.bing.com/financeapi/forcetrigger?t=a1r2z2&amp;q=XNYS%3aDIS&amp;form=skydnc</v>
    <v>Learn more on Bing</v>
  </rv>
  <rv s="14">
    <v>fr-FR</v>
    <v>a1r2z2</v>
    <v>268435456</v>
    <v>1</v>
    <v>Avec Refinitiv</v>
    <v>36</v>
    <v>37</v>
    <v>THE WALT DISNEY COMPANY (XNYS:DIS)</v>
    <v>39</v>
    <v>46</v>
    <v>Finance</v>
    <v>21</v>
    <v>XNYS</v>
    <v>1771520000</v>
    <v>2018</v>
    <v>103.965</v>
    <v>82.98</v>
    <v>1.4548000000000001</v>
    <v>184769536000</v>
    <v>New York Stock Exchange</v>
    <v>0</v>
    <v>0</v>
    <v>106.3</v>
    <v>DIS</v>
    <v>46133.899229640629</v>
    <v>The Walt Disney Company est une société de divertissement diversifiée dans le monde entier. Les segments de la société comprennent le divertissement, le sport et les expériences. Le segment divertissement englobe généralement ses activités de production et de distribution de films et de contenus épisodiques non axés sur le sport. Les secteurs d'activité du segment divertissement, ainsi que leurs activités commerciales, comprennent les réseaux linéaires, les ventes directes au consommateur et les ventes/licences de contenu. Le segment Sports englobe ses activités de production et de distribution de contenu vidéo en streaming (DTC) axées sur le sport. Les secteurs d'activité du segment Sports comprennent ESPN et Star. Le segment expériences comprend Parcs et expériences et produits de consommation. Parcs et expériences se compose de Walt Disney World Resort en Floride, Disneyland Resort en Californie, Disney Cruise Line, et d'autres. Les produits de consommation comprennent la concession de licences pour ses noms commerciaux, personnages, visuels, littéraires et autres droits de propriété intellectuelle.</v>
    <v>USD</v>
    <v>231000</v>
    <v>XNYS</v>
    <v>106.875</v>
    <v>124.69</v>
    <v>709</v>
    <v>Media &amp; Publishing</v>
    <v>710</v>
    <v>-1.8814999999999998E-2</v>
    <v>-2</v>
    <v>THE WALT DISNEY COMPANY</v>
    <v>THE WALT DISNEY COMPANY</v>
    <v>106.19</v>
    <v>15.3687</v>
    <v>104.3</v>
    <v>104.29</v>
    <v>500 South Buena Vista Street, BURBANK, CA, 91521-0001 US</v>
    <v>Bourse</v>
    <v>THE WALT DISNEY COMPANY (XNYS:DIS)</v>
    <v>7780567</v>
    <v>10152047</v>
  </rv>
  <rv s="2">
    <v>711</v>
  </rv>
  <rv s="0">
    <v>https://www.bing.com/financeapi/forcetrigger?t=ab1inm&amp;q=XTSE%3aTRP&amp;form=skydnc</v>
    <v>Learn more on Bing</v>
  </rv>
  <rv s="7">
    <v>fr-FR</v>
    <v>ab1inm</v>
    <v>268435456</v>
    <v>1</v>
    <v>Avec Refinitiv</v>
    <v>18</v>
    <v>19</v>
    <v>TC Energy Corporation (XTSE:TRP)</v>
    <v>3</v>
    <v>22</v>
    <v>Finance</v>
    <v>5</v>
    <v>XTSE</v>
    <v>1041736000</v>
    <v>2003</v>
    <v>81.72</v>
    <v>63.34</v>
    <v>0.91779999999999995</v>
    <v>85641116560</v>
    <v>Toronto Stock Exchange</v>
    <v>0</v>
    <v>0</v>
    <v>83.03</v>
    <v>TRP</v>
    <v>46133.833333333336</v>
    <v>TC Energy Corporation est un solutionneur de problèmes énergétiques qui travaille à déplacer, à produire et à stocker de l'énergie et à la livrer aux maisons et aux entreprises en Amérique du Nord. La Société exerce ses activités dans deux secteurs principaux, soit les pipelines de gaz naturel et les solutions énergétiques et électriques. Son réseau de gazoducs transporte le gaz naturel des bassins d'approvisionnement vers des sociétés de distribution locales, des centrales électriques, des installations industrielles, des pipelines d'interconnexion, des terminaux d'exportation de GNL et d'autres entreprises partout au Canada, aux États-Unis et au Mexique. L'activité solutions énergétiques et énergétiques comprend la production d'électricité, les actifs de stockage de gaz naturel non réglementés, ainsi que des solutions à faible émission de carbone. Son activité solutions d'énergie et d'énergie comprend environ 4 650 mégawatts (MW) de production alimentés par le nucléaire, le gaz naturel, l'éolien et le solaire. Ses activités de pipelines de gaz naturel sont divisées en trois secteurs d'exploitation : Canadian Natural Gas Pipelines, U.S. Natural Gas Pipelines et Mexico Natural Gas Pipelines.</v>
    <v>CAD</v>
    <v>6574</v>
    <v>XTSE</v>
    <v>83.65</v>
    <v>90.27</v>
    <v>Oil &amp; Gas Related Equipment and Services</v>
    <v>713</v>
    <v>-9.8760000000000011E-3</v>
    <v>-0.82</v>
    <v>TC Energy Corporation</v>
    <v>TC Energy Corporation</v>
    <v>83.07</v>
    <v>23.677199999999999</v>
    <v>82.21</v>
    <v>82.21</v>
    <v>450 1 St SW, CALGARY, AB, T2P 5H1 CA</v>
    <v>Bourse</v>
    <v>TC Energy Corporation (XTSE:TRP)</v>
    <v>6485954</v>
    <v>6061570</v>
  </rv>
  <rv s="2">
    <v>714</v>
  </rv>
  <rv s="0">
    <v>https://www.bing.com/financeapi/forcetrigger?t=ab1y3m&amp;q=XTSE%3aXIU&amp;form=skydnc</v>
    <v>Learn more on Bing</v>
  </rv>
  <rv s="3">
    <v>fr-FR</v>
    <v>ab1y3m</v>
    <v>268435456</v>
    <v>1</v>
    <v>Avec Refinitiv</v>
    <v>6</v>
    <v>7</v>
    <v>iShares S&amp;P/TSX 60 Index ETF (XTSE:XIU)</v>
    <v>8</v>
    <v>9</v>
    <v>Finance</v>
    <v>10</v>
    <v>XTSE</v>
    <v>49.86</v>
    <v>36.200000000000003</v>
    <v>0.97709999999999997</v>
    <v>20610343901.330002</v>
    <v>Toronto Stock Exchange</v>
    <v>50.51</v>
    <v>XIU</v>
    <v>46133.833321759259</v>
    <v>CAD</v>
    <v>50.62</v>
    <v>50.62</v>
    <v>716</v>
    <v>-1.2473000000000001E-2</v>
    <v>-0.63</v>
    <v>iShares S&amp;P/TSX 60 Index ETF</v>
    <v>50.51</v>
    <v>49.88</v>
    <v>1.8E-3</v>
    <v>Fonds coté en bourse</v>
    <v>iShares S&amp;P/TSX 60 Index ETF (XTSE:XIU)</v>
    <v>4928259</v>
  </rv>
  <rv s="2">
    <v>717</v>
  </rv>
  <rv s="0">
    <v>https://www.bing.com/financeapi/forcetrigger?t=aax6ww&amp;q=XTSE%3aBNS&amp;form=skydnc</v>
    <v>Learn more on Bing</v>
  </rv>
  <rv s="7">
    <v>fr-FR</v>
    <v>aax6ww</v>
    <v>268435456</v>
    <v>1</v>
    <v>Avec Refinitiv</v>
    <v>18</v>
    <v>19</v>
    <v>THE BANK OF NOVA SCOTIA (XTSE:BNS)</v>
    <v>3</v>
    <v>22</v>
    <v>Finance</v>
    <v>5</v>
    <v>XTSE</v>
    <v>1231434000</v>
    <v>1832</v>
    <v>103.69</v>
    <v>65.150000000000006</v>
    <v>1.2114</v>
    <v>127798220520</v>
    <v>Toronto Stock Exchange</v>
    <v>0</v>
    <v>0</v>
    <v>104.89</v>
    <v>BNS</v>
    <v>46133.833333333336</v>
    <v>The Bank of Nova Scotia (the Bank) est une banque à charte de l'annexe I. La Banque est un fournisseur mondial de services financiers offrant une gamme de produits et de services, notamment des services bancaires aux particuliers, commerciaux, aux entreprises et d'investissement. Ses segments comprennent les services bancaires canadiens, les services bancaires internationaux, la gestion de patrimoine mondiale, les services bancaires et marchés mondiaux et autres. Le secteur bancaire canadien offre une gamme complète de conseils financiers et de solutions bancaires. Le secteur bancaire canadien comprend les services bancaires de détail et les services bancaires aux entreprises. Le segment International Banking est une franchise diversifiée qui fournit des conseils et des solutions financiers aux particuliers, aux entreprises et aux clients commerciaux. Sa présence géographique couvre plus de 15 pays, dont le Mexique, le Chili et le Pérou. Le segment Global Wealth Management comprend les activités de gestion de patrimoine et de gestion d'actifs. Le segment Global Banking and Markets fournit aux entreprises clientes des services de prêt et de transaction, des conseils bancaires d'investissement et un accès aux marchés de capitaux.</v>
    <v>CAD</v>
    <v>79740</v>
    <v>XTSE</v>
    <v>105.32</v>
    <v>106.39</v>
    <v>Banking Services</v>
    <v>719</v>
    <v>-1.0583E-2</v>
    <v>-1.1100000000000001</v>
    <v>THE BANK OF NOVA SCOTIA</v>
    <v>THE BANK OF NOVA SCOTIA</v>
    <v>104.8</v>
    <v>15.476800000000001</v>
    <v>103.78</v>
    <v>103.78</v>
    <v>40 Temperance Street, TORONTO, ON, M5H 0B4 CA</v>
    <v>Bourse</v>
    <v>THE BANK OF NOVA SCOTIA (XTSE:BNS)</v>
    <v>2936354</v>
    <v>5054550</v>
  </rv>
  <rv s="2">
    <v>720</v>
  </rv>
  <rv s="0">
    <v>https://www.bing.com/financeapi/forcetrigger?t=aazf7w&amp;q=XTSE%3aNWC&amp;form=skydnc</v>
    <v>Learn more on Bing</v>
  </rv>
  <rv s="7">
    <v>fr-FR</v>
    <v>aazf7w</v>
    <v>268435456</v>
    <v>1</v>
    <v>Avec Refinitiv</v>
    <v>18</v>
    <v>19</v>
    <v>The North West Company Inc. (XTSE:NWC)</v>
    <v>3</v>
    <v>22</v>
    <v>Finance</v>
    <v>5</v>
    <v>XTSE</v>
    <v>47645870</v>
    <v>2011</v>
    <v>51.47</v>
    <v>44.63</v>
    <v>0.48770000000000002</v>
    <v>2467579607</v>
    <v>Toronto Stock Exchange</v>
    <v>0</v>
    <v>0</v>
    <v>51.98</v>
    <v>NWC</v>
    <v>46133.846759259257</v>
    <v>The North West Company Inc, par l'intermédiaire de ses filiales, est un détaillant de produits alimentaires et de produits et services quotidiens destinés aux communautés rurales et aux quartiers urbains du Canada, de l'Alaska, du Pacifique Sud et des Caraïbes. La Société opère dans deux secteurs géographiques : le Canada et l'international. Le secteur canadien comprend des filiales qui exploitent des magasins de détail et des entreprises complémentaires pour desservir le Nord du Canada. Le secteur International est principalement composé de filiales qui exploitent des magasins de détail dans la partie continentale des États-Unis, dans les Caraïbes et dans le Pacifique Sud. La Société exploite environ 229 magasins sous les noms commerciaux Northern, NorthMart, Giant Tiger, Alaska commercial Company, Cost-U-Less et RiteWay Food Markets. Ses magasins offrent de la nourriture, des vêtements familiaux, des articles ménagers, des appareils électroménagers, des produits et services de plein air comme les bureaux de poste, la préparation des déclarations de revenus, la préparation rapide des aliments préparés, les ventes commerciales, les transferts d'argent et l'encaissement de chèques.</v>
    <v>CAD</v>
    <v>7001</v>
    <v>XTSE</v>
    <v>52.39</v>
    <v>57.95</v>
    <v>Food &amp; Drug Retailing</v>
    <v>722</v>
    <v>-3.6549999999999998E-3</v>
    <v>-0.19</v>
    <v>The North West Company Inc.</v>
    <v>The North West Company Inc.</v>
    <v>51.83</v>
    <v>18.0731</v>
    <v>51.79</v>
    <v>51.79</v>
    <v>Gibraltar House; 77 Main Street, WINNIPEG, MB, R3C 2R1 CA</v>
    <v>Bourse</v>
    <v>The North West Company Inc. (XTSE:NWC)</v>
    <v>374933</v>
    <v>188200</v>
  </rv>
  <rv s="2">
    <v>723</v>
  </rv>
  <rv s="0">
    <v>https://www.bing.com/financeapi/forcetrigger?t=ab1u3m&amp;q=XTSE%3aX&amp;form=skydnc</v>
    <v>Learn more on Bing</v>
  </rv>
  <rv s="7">
    <v>fr-FR</v>
    <v>ab1u3m</v>
    <v>268435456</v>
    <v>1</v>
    <v>Avec Refinitiv</v>
    <v>18</v>
    <v>19</v>
    <v>TMX Group Limited (XTSE:X)</v>
    <v>3</v>
    <v>22</v>
    <v>Finance</v>
    <v>5</v>
    <v>XTSE</v>
    <v>277051000</v>
    <v>2017</v>
    <v>53.7</v>
    <v>44.1</v>
    <v>3.5099999999999999E-2</v>
    <v>14930278390</v>
    <v>Toronto Stock Exchange</v>
    <v>0</v>
    <v>0</v>
    <v>54.17</v>
    <v>X</v>
    <v>46133.833333333336</v>
    <v>Groupe TMX limitée exploite des marchés mondiaux et construit des communautés numériques et des solutions analytiques qui facilitent le financement, la croissance et le succès des entreprises, des négociants et des investisseurs. Ses segments comprennent Global Insights ; Capital formation ; Derivatives Trading &amp; Clearing, et Equities and Fixed Income Trading &amp; Clearing. Le segment Global Insights fournit des données sur les actions, des données sur les indices ainsi que des ensembles de données intégrés pour alimenter des analyses propriétaires et tierces. Ses activités dans le secteur de la formation de capital sont les suivantes : Bourse de Toronto, Bourse de croissance TSX, Fiducie TSX et Newsfile. Ses activités incluses dans le secteur négociation et compensation de dérivés sont la Bourse de Montréal, Canadian Derivatives Clearing Corporation et BOX. Ses activités comprises dans le secteur opérations de négociation et de compensation d'actions et de titres à revenu fixe sont celles de la Bourse de Toronto, de la Bourse de croissance TSX, de la Bourse de croissance TSX Alpha U.S. Inc et de la Bourse TSX Alpha, ainsi que de CDS Clearing et de Depository services Inc</v>
    <v>CAD</v>
    <v>2185</v>
    <v>XTSE</v>
    <v>54.52</v>
    <v>57.98</v>
    <v>Investment Banking &amp; Investment Services</v>
    <v>725</v>
    <v>-5.169E-3</v>
    <v>-0.28000000000000003</v>
    <v>TMX Group Limited</v>
    <v>TMX Group Limited</v>
    <v>54</v>
    <v>36.241999999999997</v>
    <v>53.89</v>
    <v>53.89</v>
    <v>100 Adelaide Street West, ON, M5H 1S3 CA</v>
    <v>Bourse</v>
    <v>TMX Group Limited (XTSE:X)</v>
    <v>949873</v>
    <v>632590</v>
  </rv>
  <rv s="2">
    <v>726</v>
  </rv>
  <rv s="0">
    <v>https://www.bing.com/financeapi/forcetrigger?t=a1vbec&amp;q=BATS%3aIEFA&amp;form=skydnc</v>
    <v>Learn more on Bing</v>
  </rv>
  <rv s="21">
    <v>fr-FR</v>
    <v>a1vbec</v>
    <v>268435456</v>
    <v>1</v>
    <v>Avec Refinitiv</v>
    <v>59</v>
    <v>60</v>
    <v>iShares:Core MSCI EAFE (BATS:IEFA)</v>
    <v>8</v>
    <v>61</v>
    <v>Finance</v>
    <v>62</v>
    <v>BATS</v>
    <v>94.78</v>
    <v>74.503500000000003</v>
    <v>0.97250000000000003</v>
    <v>169633217439.14999</v>
    <v>CBOE BZX Exchange</v>
    <v>0.41260000000000002</v>
    <v>4.346E-3</v>
    <v>97.04</v>
    <v>IEFA</v>
    <v>46133.88599688594</v>
    <v>USD</v>
    <v>96.46</v>
    <v>98.83</v>
    <v>728</v>
    <v>-2.1743999999999999E-2</v>
    <v>-2.11</v>
    <v>iShares:Core MSCI EAFE</v>
    <v>96.36</v>
    <v>94.93</v>
    <v>95.342600000000004</v>
    <v>7.000000000000001E-4</v>
    <v>Fonds coté en bourse</v>
    <v>iShares:Core MSCI EAFE (BATS:IEFA)</v>
    <v>9801944</v>
    <v>13912129</v>
  </rv>
  <rv s="2">
    <v>729</v>
  </rv>
  <rv s="0">
    <v>https://www.bing.com/financeapi/forcetrigger?t=a1wu4c&amp;q=XNYS%3aLEG&amp;form=skydnc</v>
    <v>Learn more on Bing</v>
  </rv>
  <rv s="7">
    <v>fr-FR</v>
    <v>a1wu4c</v>
    <v>268435456</v>
    <v>1</v>
    <v>Avec Refinitiv</v>
    <v>18</v>
    <v>19</v>
    <v>LEGGETT &amp; PLATT, INCORPORATED (XNYS:LEG)</v>
    <v>3</v>
    <v>20</v>
    <v>Finance</v>
    <v>29</v>
    <v>XNYS</v>
    <v>136402800</v>
    <v>1901</v>
    <v>11.64</v>
    <v>6.69</v>
    <v>0.85140000000000005</v>
    <v>1591820676</v>
    <v>New York Stock Exchange</v>
    <v>-0.23</v>
    <v>-1.9709000000000001E-2</v>
    <v>11.99</v>
    <v>LEG</v>
    <v>46133.87025303203</v>
    <v>Leggett &amp; Platt, Incorporated est un fabricant diversifié qui conçoit et produit une variété de composants et de produits techniques que l'on peut trouver dans les maisons et les automobiles. Ses segments comprennent les produits de literie, les produits spécialisés et les meubles, les revêtements de sol et les produits textiles. Le segment des produits de literie fournit une variété de composants et de machines utilisés par les fabricants de literie, ainsi que des matelas finis de marque privée et des sommiers réglables. Ce segment est également intégré verticalement dans la production et la fourniture de produits chimiques de mousse spécialisés, de tiges d'acier et de fils d'acier étirés à ses propres opérations et à des clients externes. Le segment des produits spécialisés fournit des systèmes de soutien lombaire, des systèmes de suspension de siège, des moteurs et des actionneurs, ainsi que des câbles de commande utilisés par les constructeurs automobiles. Le segment meubles, revêtements de sol et produits textiles fournit une gamme de composants pour les fabricants de meubles résidentiels et de travail, ainsi que des lignes sélectionnées de meubles finis de marque privée.</v>
    <v>USD</v>
    <v>15900</v>
    <v>XNYS</v>
    <v>12.24</v>
    <v>13</v>
    <v>Household Goods</v>
    <v>731</v>
    <v>-2.6688999999999997E-2</v>
    <v>-0.32</v>
    <v>LEGGETT &amp; PLATT, INCORPORATED</v>
    <v>LEGGETT &amp; PLATT, INCORPORATED</v>
    <v>12.07</v>
    <v>6.9340000000000002</v>
    <v>11.67</v>
    <v>11.44</v>
    <v>No. 1 Leggett Road, CARTHAGE, MO, 64836 US</v>
    <v>Bourse</v>
    <v>LEGGETT &amp; PLATT, INCORPORATED (XNYS:LEG)</v>
    <v>3095375</v>
    <v>2942580</v>
  </rv>
  <rv s="2">
    <v>732</v>
  </rv>
  <rv s="0">
    <v>https://www.bing.com/financeapi/forcetrigger?t=buln1h&amp;q=ARCX%3aJEPI&amp;form=skydnc</v>
    <v>Learn more on Bing</v>
  </rv>
  <rv s="21">
    <v>fr-FR</v>
    <v>buln1h</v>
    <v>268435456</v>
    <v>1</v>
    <v>Avec Refinitiv</v>
    <v>59</v>
    <v>60</v>
    <v>JPMorgan:Eqty Prem Inc (ARCX:JEPI)</v>
    <v>8</v>
    <v>61</v>
    <v>Finance</v>
    <v>63</v>
    <v>ARCX</v>
    <v>57.47</v>
    <v>52.1601</v>
    <v>0.42270000000000002</v>
    <v>43964334916.989998</v>
    <v>NYSE Arca</v>
    <v>0.16</v>
    <v>2.7829999999999999E-3</v>
    <v>57.76</v>
    <v>JEPI</v>
    <v>46133.898610763281</v>
    <v>USD</v>
    <v>57.81</v>
    <v>59.9</v>
    <v>734</v>
    <v>-3.9820000000000003E-3</v>
    <v>-0.23</v>
    <v>JPMorgan:Eqty Prem Inc</v>
    <v>57.79</v>
    <v>57.53</v>
    <v>57.66</v>
    <v>3.4999999999999996E-3</v>
    <v>Fonds coté en bourse</v>
    <v>JPMorgan:Eqty Prem Inc (ARCX:JEPI)</v>
    <v>4908475</v>
    <v>5133644</v>
  </rv>
  <rv s="2">
    <v>735</v>
  </rv>
  <rv s="0">
    <v>https://www.bing.com/financeapi/forcetrigger?t=aaxkec&amp;q=XTSE%3aCNQ&amp;form=skydnc</v>
    <v>Learn more on Bing</v>
  </rv>
  <rv s="7">
    <v>fr-FR</v>
    <v>aaxkec</v>
    <v>268435456</v>
    <v>1</v>
    <v>Avec Refinitiv</v>
    <v>18</v>
    <v>19</v>
    <v>CANADIAN NATURAL RESOURCES LIMITED (XTSE:CNQ)</v>
    <v>3</v>
    <v>22</v>
    <v>Finance</v>
    <v>5</v>
    <v>XTSE</v>
    <v>2085910000</v>
    <v>2015</v>
    <v>58.96</v>
    <v>38.58</v>
    <v>0.84470000000000001</v>
    <v>126301850500</v>
    <v>Toronto Stock Exchange</v>
    <v>0</v>
    <v>0</v>
    <v>59.03</v>
    <v>CNQ</v>
    <v>46133.833333333336</v>
    <v>Ressources naturelles canadiennes limitée est une société de production de pétrole brut et de gaz naturel de premier plan. La Société exerce ses activités dans ses principaux secteurs situés dans l'Ouest canadien, la partie britannique de la mer du Nord et l'Afrique extracôtière. Son secteur exploitation minière et valorisation des sables bitumineux produit du pétrole brut synthétique par le biais des activités d'exploitation minière et de valorisation du bitume à Horizon Oil Sands (Horizon) et par l'intermédiaire de la participation directe et indirecte de la Société dans le projet des sables bitumineux d'Athabasca (AOSP). Dans l'Ouest canadien, dans le secteur du milieu et du raffinage, la Société exerce certaines activités qui comprennent l'exploitation de pipelines, un système de cogénération d'électricité et un investissement dans le North West Redwater Partnership (NWRP), une société en nom collectif formée pour améliorer et raffiner le bitume dans la province de l'Alberta. Son actif de Pelican Lake est un vaste gisement de pétrole brut moyen, contigu, peu profond. Elle produit du gaz naturel dans l'Ouest canadien et a une assise territoriale importante dans les bassins Montney et Deep.</v>
    <v>CAD</v>
    <v>10750</v>
    <v>XTSE</v>
    <v>60.64</v>
    <v>70.989999999999995</v>
    <v>Oil &amp; Gas</v>
    <v>737</v>
    <v>2.5750000000000002E-2</v>
    <v>1.52</v>
    <v>CANADIAN NATURAL RESOURCES LIMITED</v>
    <v>CANADIAN NATURAL RESOURCES LIMITED</v>
    <v>59.3</v>
    <v>11.7311</v>
    <v>60.55</v>
    <v>60.55</v>
    <v>2100, 855-2 Street Sw, CALGARY, AB, T2P 4J8 CA</v>
    <v>Bourse</v>
    <v>CANADIAN NATURAL RESOURCES LIMITED (XTSE:CNQ)</v>
    <v>19787412</v>
    <v>19473050</v>
  </rv>
  <rv s="2">
    <v>738</v>
  </rv>
  <rv s="0">
    <v>https://www.bing.com/financeapi/forcetrigger?t=a255m7&amp;q=XNYS%3aUVV&amp;form=skydnc</v>
    <v>Learn more on Bing</v>
  </rv>
  <rv s="7">
    <v>fr-FR</v>
    <v>a255m7</v>
    <v>268435456</v>
    <v>1</v>
    <v>Avec Refinitiv</v>
    <v>18</v>
    <v>19</v>
    <v>Universal (XNYS:UVV)</v>
    <v>3</v>
    <v>20</v>
    <v>Finance</v>
    <v>29</v>
    <v>XNYS</v>
    <v>24923500</v>
    <v>1918</v>
    <v>51.45</v>
    <v>49.96</v>
    <v>0.5786</v>
    <v>1292532710</v>
    <v>New York Stock Exchange</v>
    <v>-0.41</v>
    <v>-7.9059999999999998E-3</v>
    <v>51.66</v>
    <v>UVV</v>
    <v>46133.848830000003</v>
    <v>Universal Corporation is a global agricultural company engaged in supplying products and solutions to meet its customers’ evolving needs and precise specifications. The Company is engaged in the leaf tobacco business and investing in the growth of its plant-based ingredients platform. It operates through two segments: Tobacco Operations and Ingredients Operations. The Tobacco Operations segment involves procuring and processing flue-cured, burley, dark air-cured, and oriental leaf tobacco for manufacturers of consumer tobacco products and performing related services. Through its Ingredients Operations segment, it procures raw materials globally and processes the raw materials through a variety of value-added manufacturing processes to produce specialty plant-based ingredients, including fruits, vegetables, botanical extracts, and flavorings for consumer-packaged goods manufacturers, retailers, and food and beverage companies. It operates in over 30 countries on five continents.</v>
    <v>USD</v>
    <v>28500</v>
    <v>XNYS</v>
    <v>51.99</v>
    <v>67.33</v>
    <v>Food &amp; Tobacco</v>
    <v>740</v>
    <v>3.8709999999999999E-3</v>
    <v>0.2</v>
    <v>Universal</v>
    <v>Universal</v>
    <v>51.6</v>
    <v>15.3147</v>
    <v>51.86</v>
    <v>51.45</v>
    <v>Stony Point Ii Building, 9201 Forest Hill Avenue, RICHMOND, VA, 23235 US</v>
    <v>Bourse</v>
    <v>Universal (XNYS:UVV)</v>
    <v>184171</v>
    <v>206625</v>
  </rv>
  <rv s="2">
    <v>741</v>
  </rv>
  <rv s="0">
    <v>https://www.bing.com/financeapi/forcetrigger?t=a1ywzr&amp;q=XNYS%3aNWN&amp;form=skydnc</v>
    <v>Learn more on Bing</v>
  </rv>
  <rv s="7">
    <v>fr-FR</v>
    <v>a1ywzr</v>
    <v>268435456</v>
    <v>1</v>
    <v>Avec Refinitiv</v>
    <v>18</v>
    <v>19</v>
    <v>Northwest Natrl (XNYS:NWN)</v>
    <v>3</v>
    <v>20</v>
    <v>Finance</v>
    <v>21</v>
    <v>XNYS</v>
    <v>42080010</v>
    <v>2018</v>
    <v>52.15</v>
    <v>39.1</v>
    <v>0.4758</v>
    <v>2198259722</v>
    <v>New York Stock Exchange</v>
    <v>0</v>
    <v>0</v>
    <v>53.35</v>
    <v>NWN</v>
    <v>46133.894934791409</v>
    <v>Northwest Natural Holding Company, through its subsidiaries, provides critical energy and delivers water and wastewater services to nearly one million meters across seven states. The Company’s segments include NWN Gas Utility, SiEnergy, and NWN Water. The NWN Gas Utility segment is a regulated utility servicing customers in Oregon and southwest Washington and includes the portion of the Mist underground storage facility used to serve its customers, the North Mist gas storage expansion in Oregon, and NWN Gas Reserves. SiEnergy Gas Utility segment is a regulated natural gas distribution utility and serves residential and commercial customers in the greater metropolitan areas of Houston, Dallas, and Austin, Texas. SiEnergy Gas Utility also serves several transmission customers in Dallas and Austin, Texas. NWN Water Utility is a regulated water and wastewater utility serving residential and commercial customers in Oregon, Washington, Idaho, Texas, and Arizona.</v>
    <v>USD</v>
    <v>1298</v>
    <v>XNYS</v>
    <v>53.594999999999999</v>
    <v>55.99</v>
    <v>Natural Gas Utilities</v>
    <v>743</v>
    <v>-2.0806000000000002E-2</v>
    <v>-1.1100000000000001</v>
    <v>Northwest Natrl</v>
    <v>Northwest Natrl</v>
    <v>53.48</v>
    <v>18.783899999999999</v>
    <v>52.24</v>
    <v>52.21</v>
    <v>250 SW TAYLOR STREET, PORTLAND, OR, 97204 US</v>
    <v>Bourse</v>
    <v>Northwest Natrl (XNYS:NWN)</v>
    <v>158309</v>
    <v>294697</v>
  </rv>
  <rv s="2">
    <v>744</v>
  </rv>
  <rv s="0">
    <v>https://www.bing.com/financeapi/forcetrigger?t=aayza2&amp;q=XTSE%3aKEY&amp;form=skydnc</v>
    <v>Learn more on Bing</v>
  </rv>
  <rv s="7">
    <v>fr-FR</v>
    <v>aayza2</v>
    <v>268435456</v>
    <v>1</v>
    <v>Avec Refinitiv</v>
    <v>18</v>
    <v>19</v>
    <v>KEYERA CORP. (XTSE:KEY)</v>
    <v>3</v>
    <v>22</v>
    <v>Finance</v>
    <v>5</v>
    <v>XTSE</v>
    <v>282166800</v>
    <v>2011</v>
    <v>49.4</v>
    <v>40.090000000000003</v>
    <v>0.79279999999999995</v>
    <v>13998294948</v>
    <v>Toronto Stock Exchange</v>
    <v>0</v>
    <v>0</v>
    <v>49.78</v>
    <v>KEY</v>
    <v>46133.833333333336</v>
    <v>Keyera Corp. exploite une entreprise d'infrastructures énergétiques intégrées. Les activités de la Société, principalement basées sur la rémunération à l'acte, comprennent la collecte et le traitement du gaz naturel, le traitement, le transport, le stockage et la commercialisation des liquides de gaz naturel, la production et la vente d'iso-octane, ainsi qu'un système de condensats dans la région d'Edmonton/Fort Saskatchewan, en Alberta. Ses segments comprennent la collecte et le traitement, l'infrastructure des liquides et le marketing. Le secteur collecte et traitement possède et exploite des pipelines de collecte de gaz brut et des usines de traitement, qui collectent et traitent le gaz naturel brut, éliminent les déchets et séparent les composants économiques, principalement les liquides de gaz naturel (LGN). Le secteur infrastructures liquides possède et exploite un réseau d'installations pour la collecte, le traitement, le stockage et le transport des sous-produits du traitement du gaz naturel. Le segment Marketing est impliqué dans la commercialisation du propane, du butane, du condensat et de l'iso-octane, et se livre au mélange de liquides.</v>
    <v>CAD</v>
    <v>1257</v>
    <v>XTSE</v>
    <v>50.17</v>
    <v>55.35</v>
    <v>Oil &amp; Gas</v>
    <v>746</v>
    <v>-3.4150000000000001E-3</v>
    <v>-0.17</v>
    <v>KEYERA CORP.</v>
    <v>KEYERA CORP.</v>
    <v>49.98</v>
    <v>26.299900000000001</v>
    <v>49.61</v>
    <v>49.61</v>
    <v>The Ampersand, West Tower 200, 144 - 4th Avenue SW, CALGARY, AB, T2P 3N4 CA</v>
    <v>Bourse</v>
    <v>KEYERA CORP. (XTSE:KEY)</v>
    <v>719189</v>
    <v>1531360</v>
  </rv>
  <rv s="2">
    <v>747</v>
  </rv>
  <rv s="0">
    <v>https://www.bing.com/financeapi/forcetrigger?t=aaznar&amp;q=XTSE%3aPPL&amp;form=skydnc</v>
    <v>Learn more on Bing</v>
  </rv>
  <rv s="7">
    <v>fr-FR</v>
    <v>aaznar</v>
    <v>268435456</v>
    <v>1</v>
    <v>Avec Refinitiv</v>
    <v>18</v>
    <v>19</v>
    <v>PEMBINA PIPELINE CORPORATION (XTSE:PPL)</v>
    <v>3</v>
    <v>22</v>
    <v>Finance</v>
    <v>5</v>
    <v>XTSE</v>
    <v>581304600</v>
    <v>2010</v>
    <v>57.47</v>
    <v>48.74</v>
    <v>0.65800000000000003</v>
    <v>33733105938</v>
    <v>Toronto Stock Exchange</v>
    <v>0</v>
    <v>0</v>
    <v>58.11</v>
    <v>PPL</v>
    <v>46133.833333333336</v>
    <v>Pembina Pipeline Corporation est un fournisseur de services intermédiaires et de transport d'énergie. La Société possède un réseau d'actifs stratégiquement situés, y compris des hydrocarbures liquides et des pipelines de gaz naturel, des installations de collecte et de traitement du gaz, des infrastructures et des services logistiques de pétrole et de liquides de gaz naturel, ainsi qu'une entreprise de terminaux d'exportation. Elle opère par l'intermédiaire de trois divisions : la division pipelines, la division installations et la division Marketing &amp; New Ventures. La Division pipelines fournit à ses clients le transport, la terminaison et le stockage par pipelines dans des carrefours de marché clés au Canada et aux États-Unis pour le pétrole brut, les condensats, les liquides de gaz naturel et le gaz naturel. La division installations comprend une infrastructure qui fournit aux clients de Pembina des services de gaz naturel, de condensat et de LGN. La division Marketing &amp; New Ventures entreprend des activités de marketing des matières premières à valeur ajoutée, y compris l'achat et la vente de produits, l'arbitrage des matières premières et l'optimisation des possibilités de stockage.</v>
    <v>CAD</v>
    <v>2997</v>
    <v>XTSE</v>
    <v>58.31</v>
    <v>64.27</v>
    <v>Oil &amp; Gas Related Equipment and Services</v>
    <v>749</v>
    <v>-1.377E-3</v>
    <v>-0.08</v>
    <v>PEMBINA PIPELINE CORPORATION</v>
    <v>PEMBINA PIPELINE CORPORATION</v>
    <v>57.91</v>
    <v>21.801100000000002</v>
    <v>58.03</v>
    <v>58.03</v>
    <v>(Room #39-095) 4000, 585 8Th Avenue S.W., CALGARY, AB, T2P 1G1 CA</v>
    <v>Bourse</v>
    <v>PEMBINA PIPELINE CORPORATION (XTSE:PPL)</v>
    <v>1004999</v>
    <v>1800820</v>
  </rv>
  <rv s="2">
    <v>750</v>
  </rv>
  <rv s="0">
    <v>https://www.bing.com/financeapi/forcetrigger?t=aaz7m7&amp;q=XTSE%3aMG&amp;form=skydnc</v>
    <v>Learn more on Bing</v>
  </rv>
  <rv s="7">
    <v>fr-FR</v>
    <v>aaz7m7</v>
    <v>268435456</v>
    <v>1</v>
    <v>Avec Refinitiv</v>
    <v>18</v>
    <v>19</v>
    <v>Magna International Inc. (XTSE:MG)</v>
    <v>3</v>
    <v>22</v>
    <v>Finance</v>
    <v>5</v>
    <v>XTSE</v>
    <v>276429100</v>
    <v>2017</v>
    <v>84.1</v>
    <v>43.56</v>
    <v>1.8349</v>
    <v>23308501712</v>
    <v>Toronto Stock Exchange</v>
    <v>0</v>
    <v>0</v>
    <v>84.74</v>
    <v>MG</v>
    <v>46133.833333333336</v>
    <v>Magna International Inc. est une entreprise canadienne de technologie de mobilité. La Société est un fournisseur dans le secteur automobile, spécialisé dans la carrosserie et le châssis, la transmission intégrale/traction avant, les transmissions, les verrous, les rétroviseurs et l'assemblage de véhicules contractuels. Ses segments comprennent les extérieurs et structures de carrosserie, Power &amp; Vision, Seating Systems et Complete Vehicles. Le portefeuille de produits principal de la société comprend les sièges, la mécatronique, l'électronique, l'extérieur de la carrosserie et du châssis, les rétroviseurs, l'éclairage, le groupe motopropulseur et le véhicule complet. Ses produits comprennent des boîtiers de batterie, des solutions de carrosserie en blanc, des systèmes de châssis, des systèmes ADAS et de conduite automatisée, des modules de commande, de l'aérodynamique active, des systèmes et modules extérieurs, de l'éclairage, de la mécatronique, des rétroviseurs, des groupes motopropulseurs électrifiés, ingénierie complète du véhicule et autres. Son réseau mondial comprend environ 341 sites de fabrication et 106 centres de développement de produits, d'ingénierie et de vente répartis dans 28 pays.</v>
    <v>CAD</v>
    <v>164000</v>
    <v>XTSE</v>
    <v>85.99</v>
    <v>95.18</v>
    <v>Automobiles &amp; Auto Parts</v>
    <v>752</v>
    <v>-4.9559999999999995E-3</v>
    <v>-0.42</v>
    <v>Magna International Inc.</v>
    <v>Magna International Inc.</v>
    <v>84.61</v>
    <v>20.884399999999999</v>
    <v>84.32</v>
    <v>84.32</v>
    <v>337 Magna Drive, ON, L4G 7K1 CA</v>
    <v>Bourse</v>
    <v>Magna International Inc. (XTSE:MG)</v>
    <v>1014683</v>
    <v>1147730</v>
  </rv>
  <rv s="2">
    <v>753</v>
  </rv>
  <rv s="0">
    <v>https://www.bing.com/financeapi/forcetrigger?t=a218k2&amp;q=XNYS%3aPRU&amp;form=skydnc</v>
    <v>Learn more on Bing</v>
  </rv>
  <rv s="7">
    <v>fr-FR</v>
    <v>a218k2</v>
    <v>268435456</v>
    <v>1</v>
    <v>Avec Refinitiv</v>
    <v>18</v>
    <v>19</v>
    <v>PRUDENTIAL FINANCIAL, INC. (XNYS:PRU)</v>
    <v>3</v>
    <v>20</v>
    <v>Finance</v>
    <v>21</v>
    <v>XNYS</v>
    <v>347818700</v>
    <v>1999</v>
    <v>95.62</v>
    <v>91.89</v>
    <v>0.90049999999999997</v>
    <v>33545374521</v>
    <v>New York Stock Exchange</v>
    <v>0</v>
    <v>0</v>
    <v>102.6</v>
    <v>PRU</v>
    <v>46133.899213553123</v>
    <v>Prudential Financial, Inc. est un prestataire de services financiers et un gestionnaire de placements mondial. La Société offre une gamme de produits et de services financiers, dont l'assurance-vie, les rentes, les produits et services liés à la retraite, les fonds communs de placement et la gestion de placements. Elle offre ces produits et services à des clients individuels et institutionnels par le biais de ses propres réseaux de distribution et de tiers. Elle opère aux États-Unis, en Asie, en Europe et en Amérique latine. Son secteur comprend PGIM, les entreprises américaines, les entreprises internationales et les entreprises et autres activités. Le secteur PGIM fournit des services et des solutions de gestion de placements liés aux titres à revenu fixe public, aux capitaux propres publics, aux titres de créance et aux capitaux propres immobiliers, au crédit privé et à d'autres alternatives, ainsi qu'aux stratégies multi-classes d'actifs, à des clients institutionnels et de détail et à son compte général. Le segment des entreprises américaines comprend les stratégies de retraite, l'assurance collective et les produits d'assurance vie individuelle.</v>
    <v>USD</v>
    <v>36824</v>
    <v>XNYS</v>
    <v>99.75</v>
    <v>119.76</v>
    <v>Insurance</v>
    <v>755</v>
    <v>-5.9989999999999995E-2</v>
    <v>-6.1550000000000002</v>
    <v>PRUDENTIAL FINANCIAL, INC.</v>
    <v>PRUDENTIAL FINANCIAL, INC.</v>
    <v>98.5</v>
    <v>9.6390999999999991</v>
    <v>96.444999999999993</v>
    <v>96.45</v>
    <v>751 BROAD ST, NEWARK, NJ, 07102 US</v>
    <v>Bourse</v>
    <v>PRUDENTIAL FINANCIAL, INC. (XNYS:PRU)</v>
    <v>4539227</v>
    <v>2149245</v>
  </rv>
  <rv s="2">
    <v>756</v>
  </rv>
  <rv s="0">
    <v>https://www.bing.com/financeapi/forcetrigger?t=a1ojw7&amp;q=XNYS%3aBKH&amp;form=skydnc</v>
    <v>Learn more on Bing</v>
  </rv>
  <rv s="7">
    <v>fr-FR</v>
    <v>a1ojw7</v>
    <v>268435456</v>
    <v>1</v>
    <v>Avec Refinitiv</v>
    <v>18</v>
    <v>19</v>
    <v>Black Hills (XNYS:BKH)</v>
    <v>3</v>
    <v>20</v>
    <v>Finance</v>
    <v>29</v>
    <v>XNYS</v>
    <v>76054730</v>
    <v>2000</v>
    <v>73.239999999999995</v>
    <v>55.484999999999999</v>
    <v>0.73370000000000002</v>
    <v>5590783202</v>
    <v>New York Stock Exchange</v>
    <v>0</v>
    <v>0</v>
    <v>75.599999999999994</v>
    <v>BKH</v>
    <v>46133.869263668748</v>
    <v>Black Hills Corporation is a customer-focused, growth-oriented utility company. It serves 1.35 million natural gas and electric utility customers in eight states: Arkansas, Colorado, Iowa, Kansas, Montana, Nebraska, South Dakota and Wyoming. Its segments include Electric Utilities and Gas Utilities. Its Electric Utilities segment generates, transmits and distributes electricity to approximately 225,000 electric utility customers in Colorado, Montana, South Dakota, and Wyoming. Its Electric Utilities own 1,394 megawatts of generation and 9,196 miles of electric transmission and distribution lines. Its Gas Utilities segment serves over 1,128,000 natural gas utility customers in Arkansas, Colorado, Iowa, Kansas, Nebraska, and Wyoming. Its Gas Utilities own and operate 4,648 miles of intrastate gas transmission pipelines and 44,524 miles of gas distribution mains and service lines, seven natural gas storage sites, over 50,000 horsepower of compression, and 516 miles of gathering lines.</v>
    <v>USD</v>
    <v>2795</v>
    <v>XNYS</v>
    <v>75.88</v>
    <v>78.69</v>
    <v>Multiline Utilities</v>
    <v>758</v>
    <v>-2.7646E-2</v>
    <v>-2.09</v>
    <v>Black Hills</v>
    <v>Black Hills</v>
    <v>75.88</v>
    <v>18.466100000000001</v>
    <v>73.510000000000005</v>
    <v>73.510000000000005</v>
    <v>PO BOX 1400, 625 9TH STREET, RAPID CITY, SD, 57709 US</v>
    <v>Bourse</v>
    <v>Black Hills (XNYS:BKH)</v>
    <v>853573</v>
    <v>1070438</v>
  </rv>
  <rv s="2">
    <v>759</v>
  </rv>
  <rv s="0">
    <v>https://www.bing.com/financeapi/forcetrigger?t=a1tctc&amp;q=XNYS%3aFRT&amp;form=skydnc</v>
    <v>Learn more on Bing</v>
  </rv>
  <rv s="7">
    <v>fr-FR</v>
    <v>a1tctc</v>
    <v>268435456</v>
    <v>1</v>
    <v>Avec Refinitiv</v>
    <v>18</v>
    <v>19</v>
    <v>FEDERAL REALTY INVESTMENT TRUST (XNYS:FRT)</v>
    <v>3</v>
    <v>20</v>
    <v>Finance</v>
    <v>21</v>
    <v>XNYS</v>
    <v>86388210</v>
    <v>2021</v>
    <v>111.02</v>
    <v>89.99</v>
    <v>0.95209999999999995</v>
    <v>9600321777</v>
    <v>New York Stock Exchange</v>
    <v>0</v>
    <v>0</v>
    <v>112.33</v>
    <v>FRT</v>
    <v>46133.899233228905</v>
    <v>Federal Realty Investment Trust (the Trust) est une fiducie de placement immobilier en actions (FPI). La Fiducie se spécialise dans la propriété, la gestion et le réaménagement de propriétés commerciales et à usage mixte situées principalement dans les collectivités du Nord-est et du Centre-Atlantique des États-Unis, de la Californie et du Sud de la Floride. Son portefeuille comprend la vente au détail sous de nombreux formats, allant des centres commerciaux régionaux, communautaires et de quartier qui sont souvent ancrés par des épiceries aux propriétés à usage mixte qui sont centrées autour d'un élément de vente au détail, mais comprennent également des éléments résidentiels et de bureau. La Fiducie compte plus de 104 propriétés, dont environ 3 500 locataires répartis sur 27 millions de pieds carrés commerciaux, et environ 3 100 unités résidentielles. Son portefeuille de propriétés comprend Assembly Square, Andorra Shopping Center, Assembly Row, Bala Cynwyd sur City Avenue, Town Center Plaza, Town Center Crossing, Del Monte Shopping Center et autres.</v>
    <v>USD</v>
    <v>314</v>
    <v>XNYS</v>
    <v>112.41</v>
    <v>113.0899</v>
    <v>Residential &amp; Commercial REIT</v>
    <v>761</v>
    <v>-1.0683E-2</v>
    <v>-1.2</v>
    <v>FEDERAL REALTY INVESTMENT TRUST</v>
    <v>FEDERAL REALTY INVESTMENT TRUST</v>
    <v>112.29</v>
    <v>23.884499999999999</v>
    <v>111.13</v>
    <v>111.13</v>
    <v>909 Rose Avenue, Suite 200, NORTH BETHESDA, MD, 20852 US</v>
    <v>Bourse</v>
    <v>FEDERAL REALTY INVESTMENT TRUST (XNYS:FRT)</v>
    <v>686963</v>
    <v>918366</v>
  </rv>
  <rv s="2">
    <v>762</v>
  </rv>
  <rv s="0">
    <v>https://www.bing.com/financeapi/forcetrigger?t=aazsu2&amp;q=XTSE%3aQBR.B&amp;form=skydnc</v>
    <v>Learn more on Bing</v>
  </rv>
  <rv s="7">
    <v>fr-FR</v>
    <v>aazsu2</v>
    <v>268435456</v>
    <v>1</v>
    <v>Avec Refinitiv</v>
    <v>18</v>
    <v>19</v>
    <v>QUÉBECOR INC. (XTSE:QBR.B)</v>
    <v>3</v>
    <v>22</v>
    <v>Finance</v>
    <v>5</v>
    <v>XTSE</v>
    <v>225594100</v>
    <v>1994</v>
    <v>55.63</v>
    <v>35.68</v>
    <v>0.65769999999999995</v>
    <v>12594918603</v>
    <v>Toronto Stock Exchange</v>
    <v>0</v>
    <v>0</v>
    <v>56.49</v>
    <v>QBR.B</v>
    <v>46133.833333333336</v>
    <v>Quebecor Inc. est une entreprise de télécommunications et de médias. Les segments de la Société comprennent les segments télécommunications, médias et Sports et divertissement. La Société exerce ses activités dans divers secteurs d'activité : télécommunications mobiles et filaires ; accès à Internet ; télévision ; vidéo Over-the-top (OTT) ; solutions de télécommunications d'affaires; radiodiffusion ; location de scènes sonores et d'équipements ; production et distribution de contenu audiovisuel ; édition et distribution de journaux ; plateformes numériques d'information et de divertissement ; édition et distribution de livres et de magazines ; production musicale ; publicité extérieure ; exploitation et gestion d'un aréna et de lieux de divertissement ; propriété et gestion d'une équipe de la Ligue junior de hockey des Maritimes du Québec (LHJMQ) ; production de concerts, gestion et promotion d'événements sportifs et culturels. Ses marques de télécommunications comprennent Vidéotron, Fizz et Freedom Mobile. Elle gère des médias comme TVA nouvelles, Journal de Montréal et Journal de Québec.</v>
    <v>CAD</v>
    <v>10397</v>
    <v>XTSE</v>
    <v>56.97</v>
    <v>60.73</v>
    <v>Telecommunications Services</v>
    <v>764</v>
    <v>-1.1682999999999999E-2</v>
    <v>-0.66</v>
    <v>QUÉBECOR INC.</v>
    <v>QUÉBECOR INC.</v>
    <v>56.6</v>
    <v>15.0449</v>
    <v>55.83</v>
    <v>55.83</v>
    <v>612 Saint-Jacques St., MONTREAL, QC, H3C 4M8 CA</v>
    <v>Bourse</v>
    <v>QUÉBECOR INC. (XTSE:QBR.B)</v>
    <v>1077639</v>
    <v>1060360</v>
  </rv>
  <rv s="2">
    <v>765</v>
  </rv>
  <rv s="0">
    <v>https://www.bing.com/financeapi/forcetrigger?t=a22m27&amp;q=ARCX%3aSCHD&amp;form=skydnc</v>
    <v>Learn more on Bing</v>
  </rv>
  <rv s="21">
    <v>fr-FR</v>
    <v>a22m27</v>
    <v>268435456</v>
    <v>1</v>
    <v>Avec Refinitiv</v>
    <v>59</v>
    <v>60</v>
    <v>Schwab Str:US Div Eq ETF (ARCX:SCHD)</v>
    <v>8</v>
    <v>61</v>
    <v>Finance</v>
    <v>63</v>
    <v>ARCX</v>
    <v>30.94</v>
    <v>24.76</v>
    <v>0.95699999999999996</v>
    <v>84819997795.649994</v>
    <v>NYSE Arca</v>
    <v>5.74E-2</v>
    <v>1.8529999999999998E-3</v>
    <v>31.03</v>
    <v>SCHD</v>
    <v>46133.899773402343</v>
    <v>USD</v>
    <v>31.234999999999999</v>
    <v>31.95</v>
    <v>767</v>
    <v>-1.7719999999999999E-3</v>
    <v>-5.5E-2</v>
    <v>Schwab Str:US Div Eq ETF</v>
    <v>31.19</v>
    <v>30.975000000000001</v>
    <v>31.037400000000002</v>
    <v>5.9999999999999995E-4</v>
    <v>Fonds coté en bourse</v>
    <v>Schwab Str:US Div Eq ETF (ARCX:SCHD)</v>
    <v>17850230</v>
    <v>24834169</v>
  </rv>
  <rv s="2">
    <v>768</v>
  </rv>
  <rv s="0">
    <v>https://www.bing.com/financeapi/forcetrigger?t=a2gvh7&amp;q=OTCM%3aFMCB&amp;form=skydnc</v>
    <v>Learn more on Bing</v>
  </rv>
  <rv s="10">
    <v>fr-FR</v>
    <v>a2gvh7</v>
    <v>268435456</v>
    <v>1</v>
    <v>Avec Refinitiv</v>
    <v>30</v>
    <v>31</v>
    <v>Farmers &amp; Merchs (OTCM:FMCB)</v>
    <v>3</v>
    <v>64</v>
    <v>Finance</v>
    <v>50</v>
    <v>OTCM</v>
    <v>693040</v>
    <v>1999</v>
    <v>1215</v>
    <v>981</v>
    <v>6.3700000000000007E-2</v>
    <v>848974000</v>
    <v>OTC Markets</v>
    <v>1211.1099999999999</v>
    <v>FMCB</v>
    <v>46133.888888888891</v>
    <v>Farmers &amp; Merchants Bancorp is the parent company of Farmers &amp; Merchants Bank of Central California. The Company offers a range of deposit products, including checking, savings, money market, time certificates of deposit, individual retirement accounts and online banking services for both business and personal accounts. The Company provides a complement of lending products, including commercial, commercial real estate, real estate construction and others. Its commercial products include term loans, leases, lines of credit and other working capital financing and letters of credit. Its financing products for individuals include automobile financing, lines of credit, residential real estate, and others. It also offers a range of specialized services designed for the needs of its commercial accounts. These services include a credit card program for merchants, lockbox and other collection services, account reconciliation, investment sweep, online account access, and electronic funds.</v>
    <v>USD</v>
    <v>383</v>
    <v>OTCM</v>
    <v>1225</v>
    <v>1225</v>
    <v>Banking Services</v>
    <v>770</v>
    <v>1.1469E-2</v>
    <v>13.89</v>
    <v>Farmers &amp; Merchs</v>
    <v>Farmers &amp; Merchs</v>
    <v>1215</v>
    <v>9.1407000000000007</v>
    <v>1225</v>
    <v>121 West Pine St, LODI, CA, 95240-2184 US</v>
    <v>Bourse</v>
    <v>Farmers &amp; Merchs (OTCM:FMCB)</v>
    <v>199</v>
    <v>190</v>
  </rv>
  <rv s="2">
    <v>771</v>
  </rv>
  <rv s="0">
    <v>https://www.bing.com/financeapi/forcetrigger?t=a1uv7w&amp;q=XNYS%3aHRL&amp;form=skydnc</v>
    <v>Learn more on Bing</v>
  </rv>
  <rv s="7">
    <v>fr-FR</v>
    <v>a1uv7w</v>
    <v>268435456</v>
    <v>1</v>
    <v>Avec Refinitiv</v>
    <v>18</v>
    <v>19</v>
    <v>HORMEL FOODS CORPORATION (XNYS:HRL)</v>
    <v>3</v>
    <v>20</v>
    <v>Finance</v>
    <v>21</v>
    <v>XNYS</v>
    <v>550284200</v>
    <v>1928</v>
    <v>21.18</v>
    <v>20.315000000000001</v>
    <v>0.32100000000000001</v>
    <v>11699042092</v>
    <v>New York Stock Exchange</v>
    <v>0</v>
    <v>0</v>
    <v>21.33</v>
    <v>HRL</v>
    <v>46133.899234849217</v>
    <v>Hormel Foods Corporation est une entreprise alimentaire de marque mondiale.La société développe, transforme et distribue une gamme de produits alimentaires sur divers marchés. Ses segments comprennent la vente au détail, la restauration et l'international.Le secteur de la vente au détail est principalement engagé dans la transformation, le marketing et la vente de produits alimentaires vendus principalement sur le marché de la vente au détail.Ce secteur comprend également la coentreprise MegaMex Foods, LLC. Le secteur de la restauration consiste principalement en la transformation, la commercialisation et la vente de produits alimentaires aux services de restauration, aux magasins de proximité et aux clients commerciaux situés aux États-Unis. Le segment international transforme, commercialise et vend ses produits à l'échelle internationale. Ce secteur comprend également les résultats des coentreprises internationales de la société, les investissements internationaux par mise en équivalence et les accords de redevances internationaux. La société est présente sur plusieurs grands marchés internationaux, dont l'Australie, le Brésil, le Canada, la Chine et l'Angleterre.les entreprises à simplifier leur processus de chaîne d'approvisionnement en contenu grâce à des capacités d'intelligence artificielle (IA) générative et à une automatisation intelligente.</v>
    <v>USD</v>
    <v>20000</v>
    <v>XNYS</v>
    <v>21.63</v>
    <v>31.86</v>
    <v>Food &amp; Tobacco</v>
    <v>773</v>
    <v>-3.2819999999999998E-3</v>
    <v>-7.0000000000000007E-2</v>
    <v>HORMEL FOODS CORPORATION</v>
    <v>HORMEL FOODS CORPORATION</v>
    <v>21.38</v>
    <v>23.922599999999999</v>
    <v>21.26</v>
    <v>21.25</v>
    <v>1 Hormel Pl, AUSTIN, MN, 55912-3680 US</v>
    <v>Bourse</v>
    <v>HORMEL FOODS CORPORATION (XNYS:HRL)</v>
    <v>4671865</v>
    <v>4868365</v>
  </rv>
  <rv s="2">
    <v>774</v>
  </rv>
  <rv s="0">
    <v>https://www.bing.com/financeapi/forcetrigger?t=aawpa2&amp;q=XTSE%3aABX&amp;form=skydnc</v>
    <v>Learn more on Bing</v>
  </rv>
  <rv s="7">
    <v>fr-FR</v>
    <v>aawpa2</v>
    <v>268435456</v>
    <v>1</v>
    <v>Avec Refinitiv</v>
    <v>18</v>
    <v>19</v>
    <v>BARRICK MINING CORPORATION (XTSE:ABX)</v>
    <v>3</v>
    <v>22</v>
    <v>Finance</v>
    <v>5</v>
    <v>XTSE</v>
    <v>1675508000</v>
    <v>2018</v>
    <v>55.244999999999997</v>
    <v>24.29</v>
    <v>1.0916999999999999</v>
    <v>92739367800</v>
    <v>Toronto Stock Exchange</v>
    <v>0</v>
    <v>0</v>
    <v>58.7</v>
    <v>ABX</v>
    <v>46133.833333333336</v>
    <v>Barrick Mining Corporation, anciennement Barrick Gold Corporation, est un producteur d' or et de cuivre qui se consacre à la production et à la vente d’or et de cuivre ainsi qu' à des activités connexes, comme l' exploration et le développement minier. Elle détient des intérêts de propriété dans la production de mines d’or situées en Argentine, au Canada, en Côte d' Ivoire, en République Démocratique du Congo, en République Dominicaine, en Papouasie-Nouvelle-Guinée, en Tanzanie et aux États-Unis. Ses mines de cuivre sont situées en Zambie, au Chili et en Arabie Saoudite. Ses opérations comprennent les Mines d' Or du Nevada, Bulyanhulu, Hemlo, Jabal Sayid, Kibali, Loulo-Gounkoto, Lumwana, North Mara, Porgera, Pueblo Viejo, Tongon, Veladero et Zaldivar. Son exploitation de Bulyanhulu est située au nord-ouest de la Tanzanie, à plus de 55 kilomètres (km) au sud du Lac Victoria et à 150 km au sud-ouest de la ville de Mwanza. L' opération de cuivre Jabal Sayid est située à 350 km au nord-est de Djeddah, dans le Royaume d' Arabie Saoudite. La mine de cuivre de Lumwana est une exploitation à ciel ouvert classique.</v>
    <v>CAD</v>
    <v>27000</v>
    <v>XTSE</v>
    <v>58.4</v>
    <v>74</v>
    <v>Metals &amp; Mining</v>
    <v>776</v>
    <v>-5.7069999999999996E-2</v>
    <v>-3.35</v>
    <v>BARRICK MINING CORPORATION</v>
    <v>BARRICK MINING CORPORATION</v>
    <v>58.02</v>
    <v>13.710900000000001</v>
    <v>55.35</v>
    <v>55.35</v>
    <v>161 Bay Street, Suite 3700, TORONTO, ON, M5J 2S1 CA</v>
    <v>Bourse</v>
    <v>BARRICK MINING CORPORATION (XTSE:ABX)</v>
    <v>5151367</v>
    <v>3909770</v>
  </rv>
  <rv s="2">
    <v>777</v>
  </rv>
  <rv s="0">
    <v>https://www.bing.com/financeapi/forcetrigger?t=a23tw7&amp;q=XNYS%3aSWK&amp;form=skydnc</v>
    <v>Learn more on Bing</v>
  </rv>
  <rv s="7">
    <v>fr-FR</v>
    <v>a23tw7</v>
    <v>268435456</v>
    <v>1</v>
    <v>Avec Refinitiv</v>
    <v>18</v>
    <v>19</v>
    <v>STANLEY BLACK &amp; DECKER, INC. (XNYS:SWK)</v>
    <v>3</v>
    <v>20</v>
    <v>Finance</v>
    <v>21</v>
    <v>XNYS</v>
    <v>155286400</v>
    <v>1901</v>
    <v>75.45</v>
    <v>55.38</v>
    <v>1.1852</v>
    <v>11843693728</v>
    <v>New York Stock Exchange</v>
    <v>0</v>
    <v>0</v>
    <v>75.12</v>
    <v>SWK</v>
    <v>46133.899231041403</v>
    <v>Stanley Black &amp; Decker Inc. est un fournisseur mondial d'outils à main, d'outils électriques, de produits d'extérieur et d'accessoires connexes, ainsi que de solutions de fixation techniques. Les segments de la société comprennent les outils et extérieur et les fixations techniques. Le segment outils et extérieur comprend les gammes de produits Power Tools Group (PTG), HTAS (outils à main, accessoires et stockage) et Outdoor Power Equipment (Outdoor). La gamme de produits PTG comprend à la fois des produits professionnels et des produits grand public. La gamme de produits HTAS vend des outils à main, des accessoires pour outils électriques et des produits de stockage. La gamme de produits Outdoor vend principalement des produits électriques pour pelouse et jardin avec et sans fil. Le segment Engineered Fastening vend principalement des composants hautement techniques tels que des fixations, des raccords et divers produits techniques, conçus pour des applications spécifiques sur plusieurs marchés verticaux. Le portefeuille de marques de la société comprend DEWALT, CRAFTSMAN, STANLEY, BLACK+DECKER et Cub Cadet.</v>
    <v>USD</v>
    <v>43500</v>
    <v>XNYS</v>
    <v>77.36</v>
    <v>93.37</v>
    <v>Machinery, Equipment &amp; Components</v>
    <v>779</v>
    <v>1.5309E-2</v>
    <v>1.1499999999999999</v>
    <v>STANLEY BLACK &amp; DECKER, INC.</v>
    <v>STANLEY BLACK &amp; DECKER, INC.</v>
    <v>75.540000000000006</v>
    <v>28.826799999999999</v>
    <v>76.27</v>
    <v>76.25</v>
    <v>1000 Stanley Dr, PO Box 7000, NEW BRITAIN, CT, 06053-1675 US</v>
    <v>Bourse</v>
    <v>STANLEY BLACK &amp; DECKER, INC. (XNYS:SWK)</v>
    <v>3534722</v>
    <v>1975269</v>
  </rv>
  <rv s="2">
    <v>780</v>
  </rv>
  <rv s="0">
    <v>https://www.bing.com/financeapi/forcetrigger?t=a1wjz2&amp;q=XNYS%3aKMB&amp;form=skydnc</v>
    <v>Learn more on Bing</v>
  </rv>
  <rv s="7">
    <v>fr-FR</v>
    <v>a1wjz2</v>
    <v>268435456</v>
    <v>1</v>
    <v>Avec Refinitiv</v>
    <v>18</v>
    <v>19</v>
    <v>KIMBERLY-CLARK CORPORATION (XNAS:KMB)</v>
    <v>3</v>
    <v>20</v>
    <v>Finance</v>
    <v>21</v>
    <v>XNAS</v>
    <v>331925800</v>
    <v>1928</v>
    <v>96.17</v>
    <v>92.42</v>
    <v>0.31509999999999999</v>
    <v>32064032280</v>
    <v>Nasdaq Stock Market</v>
    <v>0</v>
    <v>0</v>
    <v>98.54</v>
    <v>KMB</v>
    <v>46133.899221839842</v>
    <v>Kimberly-Clark Corporation est engagée dans la fabrication et la commercialisation d'une large gamme de produits fabriqués à partir de fibres et de matériaux naturels ou synthétiques utilisant des technologies avancées dans les fibres, les non-tissés et l'absorption. Les segments de la Société comprennent l'Amérique du Nord (NA), International Personal Care (IPC) et International Family Care and Professional (IFP). Son segment NA propose des couches jetables, des pantalons d'entraînement et d'enfant, des pantalons de bain, des lingettes pour bébés et d'autres produits. Ces produits sont vendus sous les marques Huggies, Pull-ups, GoodNites, Kotex, Poise, Depend et d'autres marques. Son segment IPC se compose de trois catégories, telles que Baby &amp; Child Care, Adult Care et Feminine Care, y compris les couches jetables, et d'autres produits, et sont vendus sous les marques Huggies, Kotex, Goodfeel, Intimus, Depend et d'autres. Son segment IFP se compose de deux catégories : soins familiaux et professionnels, y compris les papiers-mouchoirs et les papiers-mouchoirs, et sont vendus sous les marques Kleenex, Scottex, Wypall et d'autres.</v>
    <v>USD</v>
    <v>36000</v>
    <v>XNAS</v>
    <v>98.54</v>
    <v>144.30500000000001</v>
    <v>Personal &amp; Household Products &amp; Services</v>
    <v>782</v>
    <v>-1.9687E-2</v>
    <v>-1.94</v>
    <v>KIMBERLY-CLARK CORPORATION</v>
    <v>KIMBERLY-CLARK CORPORATION</v>
    <v>98.37</v>
    <v>19.773599999999998</v>
    <v>96.6</v>
    <v>96.6</v>
    <v>351 Phelps Dr, IRVING, TX, 75038 US</v>
    <v>Bourse</v>
    <v>KIMBERLY-CLARK CORPORATION (XNAS:KMB)</v>
    <v>4556140</v>
    <v>4962777</v>
  </rv>
  <rv s="2">
    <v>783</v>
  </rv>
  <rv s="0">
    <v>https://www.bing.com/financeapi/forcetrigger?t=a25o5r&amp;q=ARCX%3aVYM&amp;form=skydnc</v>
    <v>Learn more on Bing</v>
  </rv>
  <rv s="21">
    <v>fr-FR</v>
    <v>a25o5r</v>
    <v>268435456</v>
    <v>1</v>
    <v>Avec Refinitiv</v>
    <v>59</v>
    <v>60</v>
    <v>Vanguard Hi Dv Yld;ETF (ARCX:VYM)</v>
    <v>8</v>
    <v>61</v>
    <v>Finance</v>
    <v>63</v>
    <v>ARCX</v>
    <v>154.1</v>
    <v>117.405</v>
    <v>0.90090000000000003</v>
    <v>72632240594</v>
    <v>NYSE Arca</v>
    <v>0.61</v>
    <v>3.9519999999999998E-3</v>
    <v>155.08000000000001</v>
    <v>VYM</v>
    <v>46133.89609302031</v>
    <v>USD</v>
    <v>155.6</v>
    <v>157.29</v>
    <v>785</v>
    <v>-4.5140000000000007E-3</v>
    <v>-0.7</v>
    <v>Vanguard Hi Dv Yld;ETF</v>
    <v>155.46</v>
    <v>154.38</v>
    <v>154.96</v>
    <v>4.0000000000000002E-4</v>
    <v>Fonds coté en bourse</v>
    <v>Vanguard Hi Dv Yld;ETF (ARCX:VYM)</v>
    <v>971584</v>
    <v>1622756</v>
  </rv>
  <rv s="2">
    <v>786</v>
  </rv>
  <rv s="0">
    <v>https://www.bing.com/financeapi/forcetrigger?t=a246z2&amp;q=XNYS%3aTGT&amp;form=skydnc</v>
    <v>Learn more on Bing</v>
  </rv>
  <rv s="7">
    <v>fr-FR</v>
    <v>a246z2</v>
    <v>268435456</v>
    <v>1</v>
    <v>Avec Refinitiv</v>
    <v>18</v>
    <v>19</v>
    <v>TARGET CORPORATION (XNYS:TGT)</v>
    <v>3</v>
    <v>20</v>
    <v>Finance</v>
    <v>21</v>
    <v>XNYS</v>
    <v>452855600</v>
    <v>1902</v>
    <v>129.69999999999999</v>
    <v>83.44</v>
    <v>1.0266999999999999</v>
    <v>59831281872</v>
    <v>New York Stock Exchange</v>
    <v>0</v>
    <v>0</v>
    <v>130.18</v>
    <v>TGT</v>
    <v>46133.899234027347</v>
    <v>Target Corporation est un détaillant de marchandises générales qui vend des produits à ses clients par l'entremise de ses magasins et de ses canaux numériques. La Société offre à ses clients, appelés invités, des articles essentiels de tous les jours et des articles à la mode et différenciés à des prix réduits. La majorité de ses magasins offrent un large assortiment de marchandises générales et d'aliments. Ses catégories de marchandises comprennent les vêtements et accessoires, les articles de beauté et les articles essentiels pour la maison, les aliments et les boissons, les biens durables, ainsi que l'ameublement et la décoration. La plupart de ses magasins ont une superficie de plus de 170 000 pieds carrés, offrent une variété de marchandises générales et une gamme complète de produits alimentaires comparables aux supermarchés traditionnels. Ses canaux numériques comprennent un large assortiment de marchandises et de produits alimentaires, y compris de nombreux articles trouvés dans ses magasins, ainsi qu'un assortiment complémentaire vendu par la Société et des tiers. Ses marques incluent A New Day, Ava &amp; VIV, Cloud Island, Favorite Day et d'autres. Il sert les clients dans près de 2 000 magasins et à Target.com.</v>
    <v>USD</v>
    <v>415000</v>
    <v>XNYS</v>
    <v>133.1</v>
    <v>133.1</v>
    <v>Diversified Retail</v>
    <v>788</v>
    <v>1.4902E-2</v>
    <v>1.94</v>
    <v>TARGET CORPORATION</v>
    <v>TARGET CORPORATION</v>
    <v>130.35</v>
    <v>16.249300000000002</v>
    <v>132.12</v>
    <v>132.1</v>
    <v>1000 Nicollet Mall, MINNEAPOLIS, MN, 55403 US</v>
    <v>Bourse</v>
    <v>TARGET CORPORATION (XNYS:TGT)</v>
    <v>5738931</v>
    <v>5527592</v>
  </rv>
  <rv s="2">
    <v>789</v>
  </rv>
  <rv s="0">
    <v>https://www.bing.com/financeapi/forcetrigger?t=aazh6h&amp;q=XTSE%3aOTEX&amp;form=skydnc</v>
    <v>Learn more on Bing</v>
  </rv>
  <rv s="7">
    <v>fr-FR</v>
    <v>aazh6h</v>
    <v>268435456</v>
    <v>1</v>
    <v>Avec Refinitiv</v>
    <v>18</v>
    <v>19</v>
    <v>Open Text Corporation (XTSE:OTEX)</v>
    <v>3</v>
    <v>22</v>
    <v>Finance</v>
    <v>5</v>
    <v>XTSE</v>
    <v>250602800</v>
    <v>2018</v>
    <v>31.6</v>
    <v>27.63</v>
    <v>0.88790000000000002</v>
    <v>7984205208</v>
    <v>Toronto Stock Exchange</v>
    <v>0</v>
    <v>0</v>
    <v>31.89</v>
    <v>OTEX</v>
    <v>46133.833333333336</v>
    <v>Open Text Corporation est une société canadienne de gestion de l'information qui fournit des logiciels et des services. Sa plate-forme et ses services complets de gestion de l'information fournissent des solutions sécurisées et évolutives aux entreprises internationales, aux petites et moyennes entreprises (PME), aux gouvernements et aux consommateurs du monde entier. Il dispose d'un portefeuille complet et intégré de solutions de gestion de l'information livrées à grande échelle dans OpenText Cloud, permettant aux organisations de maîtriser le travail moderne, d'automatiser la livraison et la modernisation des applications et d'optimiser leurs chaînes d'approvisionnement numériques en réunissant le cloud de contenu, le cloud de cybersécurité, le cloud de réseau d'entreprise, le cloud de gestion des opérations de technologie de l'information (IT), le cloud de modernisation des applications et le cloud analytique. Il accélère également la modernisation de l'information avec des outils et des services intelligents pour se débarrasser du papier, automatiser la classification et construire des lacs de données propres pour l'intelligence artificielle (IA), l'analyse et l'automatisation.</v>
    <v>CAD</v>
    <v>21400</v>
    <v>XTSE</v>
    <v>32.770000000000003</v>
    <v>56</v>
    <v>Software &amp; IT Services</v>
    <v>791</v>
    <v>-9.4070000000000004E-4</v>
    <v>-0.03</v>
    <v>Open Text Corporation</v>
    <v>Open Text Corporation</v>
    <v>31.91</v>
    <v>13.562900000000001</v>
    <v>31.86</v>
    <v>31.86</v>
    <v>275 Frank Tompa Drive, WATERLOO, ON, N2L 0A1 CA</v>
    <v>Bourse</v>
    <v>Open Text Corporation (XTSE:OTEX)</v>
    <v>715535</v>
    <v>1252810</v>
  </rv>
  <rv s="2">
    <v>792</v>
  </rv>
  <rv s="0">
    <v>https://www.bing.com/financeapi/forcetrigger?t=a1ygfr&amp;q=XNYS%3aNFG&amp;form=skydnc</v>
    <v>Learn more on Bing</v>
  </rv>
  <rv s="7">
    <v>fr-FR</v>
    <v>a1ygfr</v>
    <v>268435456</v>
    <v>1</v>
    <v>Avec Refinitiv</v>
    <v>18</v>
    <v>19</v>
    <v>NATIONAL FUEL GAS COMPANY (XNYS:NFG)</v>
    <v>3</v>
    <v>20</v>
    <v>Finance</v>
    <v>29</v>
    <v>XNYS</v>
    <v>95026420</v>
    <v>1902</v>
    <v>85.94</v>
    <v>75.73</v>
    <v>0.46160000000000001</v>
    <v>8196978989</v>
    <v>New York Stock Exchange</v>
    <v>1.64</v>
    <v>1.9012000000000001E-2</v>
    <v>86.67</v>
    <v>NFG</v>
    <v>46133.877322128908</v>
    <v>La National Fuel Gas Company est une société énergétique diversifiée et intégrée qui possède une combinaison complémentaire d'actifs de gaz naturel. Elle s'occupe de la production, de la collecte, du transport, du stockage et de la distribution du gaz naturel. Ses segments comprennent l'exploration et la production, les pipelines et le stockage, la collecte et les services publics. Le secteur exploration et production est engagé dans l'exploration, la mise en valeur et la production de gaz naturel principalement dans la région des Appalaches, aux États-Unis. Le secteur Pipeline and Storage fournit des services de transport de gaz naturel inter-états à des sociétés affiliées et non affiliées grâce à des réseaux intégrés de gazoducs en Pennsylvanie et à New York. Le segment rassemblement construit, possède et exploite des installations de rassemblement dans la région des Appalaches. Le secteur des services publics fournit des services publics de gaz naturel à environ 755 000 clients par l'intermédiaire d'un réseau de distribution local situé dans l'ouest de New York et le nord-ouest de la Pennsylvanie.</v>
    <v>USD</v>
    <v>2322</v>
    <v>XNYS</v>
    <v>87.35</v>
    <v>97.06</v>
    <v>Natural Gas Utilities</v>
    <v>794</v>
    <v>-4.731E-3</v>
    <v>-0.41</v>
    <v>NATIONAL FUEL GAS COMPANY</v>
    <v>NATIONAL FUEL GAS COMPANY</v>
    <v>87.08</v>
    <v>12.031700000000001</v>
    <v>86.26</v>
    <v>87.9</v>
    <v>6363 Main St, WILLIAMSVILLE, NY, 14221-5887 US</v>
    <v>Bourse</v>
    <v>NATIONAL FUEL GAS COMPANY (XNYS:NFG)</v>
    <v>835258</v>
    <v>770702</v>
  </rv>
  <rv s="2">
    <v>795</v>
  </rv>
  <rv s="0">
    <v>https://www.bing.com/financeapi/forcetrigger?t=a1mpqh&amp;q=XNYS%3aABBV&amp;form=skydnc</v>
    <v>Learn more on Bing</v>
  </rv>
  <rv s="7">
    <v>fr-FR</v>
    <v>a1mpqh</v>
    <v>268435456</v>
    <v>1</v>
    <v>Avec Refinitiv</v>
    <v>18</v>
    <v>19</v>
    <v>ABBVIE INC. (XNYS:ABBV)</v>
    <v>3</v>
    <v>20</v>
    <v>Finance</v>
    <v>21</v>
    <v>XNYS</v>
    <v>1768762000</v>
    <v>2012</v>
    <v>200.92</v>
    <v>168.54</v>
    <v>0.29370000000000002</v>
    <v>362826149060</v>
    <v>New York Stock Exchange</v>
    <v>0</v>
    <v>0</v>
    <v>203.71</v>
    <v>ABBV</v>
    <v>46133.89922585625</v>
    <v>AbbVie Inc. est une société biopharmaceutique mondiale diversifiée axée sur la recherche. Elle est engagée dans la recherche et le développement, la fabrication, la commercialisation et la vente de médicaments et de thérapies. Son portefeuille de produits comprend l'immunologie, l'oncologie, l'esthétique, les neurosciences, les soins oculaires et d'autres produits clés. Les produits d'immunologie comprennent la rhumatologie, la dermatologie et la gastro-entérologie. Les produits oncologiques comprennent Imbruvica, Venclexta/Venclyxto, Elahere et Epkinly. Le portefeuille esthétique comprend des produits injectables pour le visage, des plastiques et de la médecine régénératrice, des produits de contour du corps et des produits de soins de la peau. Ses produits de neurosciences comprennent Botox Therapeutic, Vraylar, Duopa et Duodopa, Ubrelvy et Qulipta. Les produits de soins oculaires comprennent Ozurdex, Lumigan/Ganfort, Alphagan/Combigan, Restasis, et d'autres soins oculaires. Les autres produits clés incluent Mavyret/Maviret, Creon et Linzess/Constella. Son candidat expérimental, la brétisilocine, est destiné au traitement des patients atteints de trouble dépressif majeur (TDM) modéré à sévère.</v>
    <v>USD</v>
    <v>57000</v>
    <v>XNYS</v>
    <v>206.2</v>
    <v>244.81</v>
    <v>Pharmaceuticals</v>
    <v>797</v>
    <v>6.9710000000000006E-3</v>
    <v>1.42</v>
    <v>ABBVIE INC.</v>
    <v>ABBVIE INC.</v>
    <v>204.01</v>
    <v>86.9084</v>
    <v>205.13</v>
    <v>205.12</v>
    <v>1 N Waukegan Rd, NORTH CHICAGO, IL, 60064 US</v>
    <v>Bourse</v>
    <v>ABBVIE INC. (XNYS:ABBV)</v>
    <v>7771336</v>
    <v>7084887</v>
  </rv>
  <rv s="2">
    <v>798</v>
  </rv>
  <rv s="0">
    <v>https://www.bing.com/financeapi/forcetrigger?t=a269ec&amp;q=XNYS%3aXOM&amp;form=skydnc</v>
    <v>Learn more on Bing</v>
  </rv>
  <rv s="7">
    <v>fr-FR</v>
    <v>a269ec</v>
    <v>268435456</v>
    <v>1</v>
    <v>Avec Refinitiv</v>
    <v>18</v>
    <v>19</v>
    <v>EXXON MOBIL CORPORATION (XNYS:XOM)</v>
    <v>3</v>
    <v>20</v>
    <v>Finance</v>
    <v>21</v>
    <v>XNYS</v>
    <v>4156560000</v>
    <v>1882</v>
    <v>146.24</v>
    <v>101.185</v>
    <v>0.17560000000000001</v>
    <v>616875069600</v>
    <v>New York Stock Exchange</v>
    <v>0.19600000000000001</v>
    <v>1.3209999999999999E-3</v>
    <v>147.68</v>
    <v>XOM</v>
    <v>46133.899991515624</v>
    <v>Exxon Mobil Corporation est un fournisseur d'énergie et un fabricant de produits chimiques. Les activités principales de la Société consistent à explorer et à produire du pétrole brut et du gaz naturel ; à fabriquer, à commercialiser, à transporter et à vendre du pétrole brut, du gaz naturel, des produits pétroliers, des produits pétrochimiques et une grande variété de produits spécialisés ; et à rechercher des occasions d'affaires à faibles émissions et d'autres nouvelles occasions d'affaires, y compris le captage et le stockage du carbone, l'hydrogène, les carburants à faibles émissions, les systèmes Proxxima, les matériaux carbonés, et lithium. Son segment amont explore et produit du pétrole brut et du gaz naturel. Les segments produits énergétiques, produits chimiques et produits spécialisés fabriquent et vendent des produits pétroliers et pétrochimiques. Le segment des produits énergétiques comprend les combustibles, les aromatiques, les catalyseurs et les licences. Le segment des produits chimiques comprend les oléfines, les polyoléfines et les intermédiaires. Le segment des produits de spécialité comprend les lubrifiants finis, les huiles de base et les cires, les synthétiques, les élastomères et les résines.</v>
    <v>USD</v>
    <v>58000</v>
    <v>XNYS</v>
    <v>148.8099</v>
    <v>176.41</v>
    <v>Oil &amp; Gas</v>
    <v>800</v>
    <v>4.9430000000000003E-3</v>
    <v>0.73</v>
    <v>EXXON MOBIL CORPORATION</v>
    <v>EXXON MOBIL CORPORATION</v>
    <v>147.37</v>
    <v>22.215399999999999</v>
    <v>148.41</v>
    <v>148.55600000000001</v>
    <v>22777 SPRINGWOODS VILLAGE PARKWAY, SPRING, TX, 77389-1425 US</v>
    <v>Bourse</v>
    <v>EXXON MOBIL CORPORATION (XNYS:XOM)</v>
    <v>17501511</v>
    <v>24799356</v>
  </rv>
  <rv s="2">
    <v>801</v>
  </rv>
  <rv s="0">
    <v>https://www.bing.com/financeapi/forcetrigger?t=aazubh&amp;q=XTSE%3aQSR&amp;form=skydnc</v>
    <v>Learn more on Bing</v>
  </rv>
  <rv s="7">
    <v>fr-FR</v>
    <v>aazubh</v>
    <v>268435456</v>
    <v>1</v>
    <v>Avec Refinitiv</v>
    <v>18</v>
    <v>19</v>
    <v>Restaurant Brands International Inc. (XTSE:QSR)</v>
    <v>3</v>
    <v>65</v>
    <v>Finance</v>
    <v>5</v>
    <v>XTSE</v>
    <v>346504200</v>
    <v>2014</v>
    <v>106.875</v>
    <v>84.78</v>
    <v>0.53139999999999998</v>
    <v>22704270000</v>
    <v>Toronto Stock Exchange</v>
    <v>0</v>
    <v>0</v>
    <v>107.73</v>
    <v>QSR</v>
    <v>46133.833333333336</v>
    <v>Restaurant Brands International Inc. est une entreprise de restauration rapide. Elle franchise et exploite des restaurants à service rapide servant du café et d'autres boissons et produits alimentaires. Ses segments comprennent Tim Hortons (TH), Burger King (BK), Popeyes Louisiana Kitchen (PLK), Firehouse Subs (FHS), International (INTL) et Restaurant Holdings. Tim Hortons est une chaîne de restaurants de café et de pâtisseries en Amérique du Nord. Les restaurants Tim Hortons servent également une variété de boissons chaudes et froides de spécialité ainsi que des plats pour le petit-déjeuner, le déjeuner et le dîner, y compris des sandwichs, des roulés, des pizzas au pain plat et plus encore. Burger King est une chaîne de restaurants hamburgers à service rapide et est la maison du Whopper. Les restaurants Burger King proposent des hamburgers grillés à la flamme, du poulet et d'autres sandwichs de spécialité. Popeyes est un concept de poulet à service rapide, et offre aux clients un menu de style Louisiane comprenant du poulet frit avec os, des sandwiches au poulet, des filets de poulet, des ailes, des crevettes frites et des plats régionaux.</v>
    <v>CAD</v>
    <v>53500</v>
    <v>XTSE</v>
    <v>108.05</v>
    <v>109.33499999999999</v>
    <v>Hotels &amp; Entertainment Services</v>
    <v>803</v>
    <v>-1.021E-3</v>
    <v>-0.11</v>
    <v>Restaurant Brands International Inc.</v>
    <v>Restaurant Brands International Inc.</v>
    <v>107.55</v>
    <v>29.909700000000001</v>
    <v>107.62</v>
    <v>107.62</v>
    <v>5707 Blue Lagoon Drive, MIAMI, FL, 33126 US</v>
    <v>Bourse</v>
    <v>Restaurant Brands International Inc. (XTSE:QSR)</v>
    <v>307608</v>
    <v>2646330</v>
  </rv>
  <rv s="2">
    <v>804</v>
  </rv>
  <rv s="0">
    <v>https://www.bing.com/financeapi/forcetrigger?t=a22k9c&amp;q=XNAS%3aSBUX&amp;form=skydnc</v>
    <v>Learn more on Bing</v>
  </rv>
  <rv s="7">
    <v>fr-FR</v>
    <v>a22k9c</v>
    <v>268435456</v>
    <v>1</v>
    <v>Avec Refinitiv</v>
    <v>18</v>
    <v>19</v>
    <v>STARBUCKS CORPORATION (XNAS:SBUX)</v>
    <v>3</v>
    <v>20</v>
    <v>Finance</v>
    <v>21</v>
    <v>XNAS</v>
    <v>1139300000</v>
    <v>1985</v>
    <v>96.85</v>
    <v>75.5</v>
    <v>0.96140000000000003</v>
    <v>111423540000</v>
    <v>Nasdaq Stock Market</v>
    <v>0</v>
    <v>0</v>
    <v>98.95</v>
    <v>SBUX</v>
    <v>46133.899233796095</v>
    <v>Starbucks Corporations est un torréfacteur, un distributeur et un détaillant de café de spécialité dans le monde entier. Son segment Amérique du Nord comprend les États-Unis et le Canada. Son segment International comprend la Chine, le Japon, l'Asie-Pacifique, l'Europe, le moyen-Orient et l'Afrique, l'Amérique latine et les Caraïbes. Ses segments Amérique du Nord et International comprennent à la fois des magasins exploités par la Société et des magasins autorisés. Le segment Channel Development comprend les cafés en grains torréfiés et moulus, les produits en une seule portion de marque Starbucks, une variété de boissons prêtes à boire, telles que le Frappuccino et le Starbucks Doubleshot, les produits de restauration et d'autres produits de marque vendus en dehors des magasins exploités par l'entreprise et sous licence. Une grande partie de son activité Channel Development fonctionne sous le modèle de la Global Coffee Alliance avec Nestlé, tandis que ses activités mondiales de prêt-à-boire opèrent dans le cadre de relations de collaboration avec PepsiCo, Inc., Tingyi-Ashi Beverages Holding Co., Ltd., Arla Foods amba, Nestlé et d'autres.</v>
    <v>USD</v>
    <v>381000</v>
    <v>XNAS</v>
    <v>99.16</v>
    <v>104.82</v>
    <v>Hotels &amp; Entertainment Services</v>
    <v>806</v>
    <v>-1.1621999999999999E-2</v>
    <v>-1.1499999999999999</v>
    <v>STARBUCKS CORPORATION</v>
    <v>STARBUCKS CORPORATION</v>
    <v>99</v>
    <v>81.472800000000007</v>
    <v>97.8</v>
    <v>97.8</v>
    <v>2401 Utah Ave S, Ms: S-La1, SEATTLE, WA, 98134 US</v>
    <v>Bourse</v>
    <v>STARBUCKS CORPORATION (XNAS:SBUX)</v>
    <v>4563170</v>
    <v>7366194</v>
  </rv>
  <rv s="2">
    <v>807</v>
  </rv>
  <rv s="0">
    <v>https://www.bing.com/financeapi/forcetrigger?t=a23wlh&amp;q=XNYS%3aSYY&amp;form=skydnc</v>
    <v>Learn more on Bing</v>
  </rv>
  <rv s="7">
    <v>fr-FR</v>
    <v>a23wlh</v>
    <v>268435456</v>
    <v>1</v>
    <v>Avec Refinitiv</v>
    <v>18</v>
    <v>19</v>
    <v>SYSCO CORPORATION (XNYS:SYY)</v>
    <v>3</v>
    <v>20</v>
    <v>Finance</v>
    <v>21</v>
    <v>XNYS</v>
    <v>478178300</v>
    <v>1969</v>
    <v>74.75</v>
    <v>68</v>
    <v>0.68530000000000002</v>
    <v>35777300406</v>
    <v>New York Stock Exchange</v>
    <v>0</v>
    <v>0</v>
    <v>76.260000000000005</v>
    <v>SYY</v>
    <v>46133.899230439063</v>
    <v>Sysco Corporation vend, commercialise et distribue des produits alimentaires aux restaurants, aux établissements de santé et d'enseignement, aux établissements d'hébergement et à d'autres clients qui préparent des repas loin de chez eux. Il fournit également une variété d'articles non alimentaires. Ses segments comprennent les opérations de services alimentaires aux États-Unis, les opérations de services alimentaires internationaux, SYGMA et autres. Le secteur exploitation des services alimentaires aux États-Unis comprend les activités Broadline aux États-Unis et les activités spécialisées aux États-Unis. Les opérations internationales de services alimentaires comprennent les opérations à l'extérieur des États-Unis. Le segment SYGMA comprend ses opérations de distribution personnalisée aux États-Unis desservant les emplacements des clients de la chaîne de restauration rapide. Le segment autres comprend principalement ses activités de fournitures hôtelières, Guest Worldwide. Elle distribue divers produits, tels que des aliments surgelés, des viandes fraîches et des fruits de mer, des produits laitiers, des boissons, des spécialités importées et des produits frais. Elle exploite environ 340 installations de distribution dans le monde entier.</v>
    <v>USD</v>
    <v>75000</v>
    <v>XNYS</v>
    <v>76.900000000000006</v>
    <v>91.844999999999999</v>
    <v>Food &amp; Drug Retailing</v>
    <v>809</v>
    <v>-1.8883E-2</v>
    <v>-1.44</v>
    <v>SYSCO CORPORATION</v>
    <v>SYSCO CORPORATION</v>
    <v>76.790000000000006</v>
    <v>20.122599999999998</v>
    <v>74.819999999999993</v>
    <v>74.790000000000006</v>
    <v>1390 Enclave Pkwy, HOUSTON, TX, 77077 US</v>
    <v>Bourse</v>
    <v>SYSCO CORPORATION (XNYS:SYY)</v>
    <v>3492350</v>
    <v>6090191</v>
  </rv>
  <rv s="2">
    <v>810</v>
  </rv>
  <rv s="0">
    <v>https://www.bing.com/financeapi/forcetrigger?t=a1u4fr&amp;q=XNYS%3aGPC&amp;form=skydnc</v>
    <v>Learn more on Bing</v>
  </rv>
  <rv s="7">
    <v>fr-FR</v>
    <v>a1u4fr</v>
    <v>268435456</v>
    <v>1</v>
    <v>Avec Refinitiv</v>
    <v>18</v>
    <v>19</v>
    <v>GENUINE PARTS COMPANY (XNYS:GPC)</v>
    <v>3</v>
    <v>20</v>
    <v>Finance</v>
    <v>21</v>
    <v>XNYS</v>
    <v>139122100</v>
    <v>1928</v>
    <v>110.8725</v>
    <v>96.08</v>
    <v>0.75629999999999997</v>
    <v>15999041500</v>
    <v>New York Stock Exchange</v>
    <v>0</v>
    <v>0</v>
    <v>112.59</v>
    <v>GPC</v>
    <v>46133.899227198439</v>
    <v>Genuine parts Company est un fournisseur mondial de pièces de rechange automobiles et industrielles et de solutions à valeur ajoutée. Les segments de la Société comprennent Automotive parts Group (Automotive) et Industrial parts Group (Industrial). Le segment automobile distribue des pièces de rechange (autres que les pièces de collision) pour toutes les marques et tous les modèles d'automobiles, de camions et d'autres véhicules en Amérique du Nord, en Europe et en Australasie. Ses principaux clients automobiles sont les ateliers de réparation et d'entretien, et ses principaux clients industriels sont les entreprises exploitant des équipements de distribution, de fabrication et de production. Le secteur industriel distribue une grande variété de roulements industriels, d'équipements de transmission mécanique et hydraulique, y compris des produits hydrauliques et pneumatiques, des composants de manutention et des pièces et fournitures connexes. Son activité industrielle offre des pièces de rechange et des solutions aux clients de maintenance, réparation et exploitation (MRO) et aux clients des fabricants d'équipement d'origine (OEM).</v>
    <v>USD</v>
    <v>65000</v>
    <v>XNYS</v>
    <v>116.77</v>
    <v>151.57</v>
    <v>Automobiles &amp; Auto Parts</v>
    <v>812</v>
    <v>2.1404999999999997E-2</v>
    <v>2.41</v>
    <v>GENUINE PARTS COMPANY</v>
    <v>GENUINE PARTS COMPANY</v>
    <v>114.75</v>
    <v>242.82089999999999</v>
    <v>115</v>
    <v>115</v>
    <v>2999 Wildwood Parkway, ATLANTA, GA, 30339 US</v>
    <v>Bourse</v>
    <v>GENUINE PARTS COMPANY (XNYS:GPC)</v>
    <v>2864230</v>
    <v>2235378</v>
  </rv>
  <rv s="2">
    <v>813</v>
  </rv>
  <rv s="0">
    <v>https://www.bing.com/financeapi/forcetrigger?t=aaycf2&amp;q=XTSE%3aFTT&amp;form=skydnc</v>
    <v>Learn more on Bing</v>
  </rv>
  <rv s="7">
    <v>fr-FR</v>
    <v>aaycf2</v>
    <v>268435456</v>
    <v>1</v>
    <v>Avec Refinitiv</v>
    <v>18</v>
    <v>19</v>
    <v>FINNING INTERNATIONAL INC. (XTSE:FTT)</v>
    <v>3</v>
    <v>22</v>
    <v>Finance</v>
    <v>5</v>
    <v>XTSE</v>
    <v>130635100</v>
    <v>1986</v>
    <v>95.6</v>
    <v>37.43</v>
    <v>1.3059000000000001</v>
    <v>12595836342</v>
    <v>Toronto Stock Exchange</v>
    <v>0</v>
    <v>0</v>
    <v>95.82</v>
    <v>FTT</v>
    <v>46133.833333333336</v>
    <v>Finning International Inc. est un concessionnaire caterpillar basé au Canada. La Société fournit des équipements, des pièces, des services et des solutions de performance caterpillar dans l'Ouest canadien, au Chili, en Argentine, en Bolivie, au Royaume-Uni, et l'Irlande. La Société dessert diverses industries, y compris l'agriculture, la construction, la foresterie, le gouvernement, exploitation minière, pavage, pipelines, systèmes d'alimentation et équipement d'aménagement paysager. Ses catégories de produits comprennent des produits neufs, d'occasion, de location, des équipements compacts Cat et des promotions. ITS offre divers équipements, y compris les finisseurs d'asphalte, les chargeuses-pelleteuses, les compacteurs, les bulldozers, les foreuses, gerbeurs de grumes, pelles pour manutention, chargeuses à chaînes, chargeuses sur pneus et autres. Ses systèmes d'alimentation comprennent des groupes électrogènes mobiles et des groupes électrogènes fixes. Les pièces Cat de la société comprennent des pièces Cat neuves, un catalogue de pièces de finition, un suivi des pièces et des pièces remanufacturées. Ses services comprennent des contrats de valeur client, du financement, des options de maintenance, d'autres services, des rénovations, locations, services de réparation et garantie.</v>
    <v>CAD</v>
    <v>15279</v>
    <v>XTSE</v>
    <v>99.49</v>
    <v>99.49</v>
    <v>Machinery, Equipment &amp; Components</v>
    <v>815</v>
    <v>6.2620000000000002E-3</v>
    <v>0.6</v>
    <v>FINNING INTERNATIONAL INC.</v>
    <v>FINNING INTERNATIONAL INC.</v>
    <v>97</v>
    <v>25.6584</v>
    <v>96.42</v>
    <v>96.42</v>
    <v>19100 94th Ave, VANCOUVER, BC, V4N 5C3 CA</v>
    <v>Bourse</v>
    <v>FINNING INTERNATIONAL INC. (XTSE:FTT)</v>
    <v>447455</v>
    <v>419250</v>
  </rv>
  <rv s="2">
    <v>816</v>
  </rv>
  <rv s="0">
    <v>https://www.bing.com/financeapi/forcetrigger?t=a231kr&amp;q=XNYS%3aSJW&amp;form=skydnc</v>
    <v>Learn more on Bing</v>
  </rv>
  <rv s="7">
    <v>fr-FR</v>
    <v>a231kr</v>
    <v>268435456</v>
    <v>1</v>
    <v>Avec Refinitiv</v>
    <v>18</v>
    <v>19</v>
    <v>H2O AMERICA (XNAS:HTO)</v>
    <v>3</v>
    <v>20</v>
    <v>Finance</v>
    <v>21</v>
    <v>XNAS</v>
    <v>41839540</v>
    <v>2015</v>
    <v>59.01</v>
    <v>43.75</v>
    <v>0.39910000000000001</v>
    <v>2481084722</v>
    <v>Nasdaq Stock Market</v>
    <v>0</v>
    <v>0</v>
    <v>60.16</v>
    <v>HTO</v>
    <v>46133.896530508595</v>
    <v>H2O America, anciennement SJW Group, est un réseau national de services publics d’eau et d’eaux usées appartenant à des investisseurs afin de fournir de l’eau propre et de qualité aux collectivités. La Société possède quatre services d’eau régionaux, tels que Connecticut Water, Maine Water, San Jose Water et Texas Water. La Société dessert environ 1,6 million de personnes dans tout le pays.</v>
    <v>USD</v>
    <v>837</v>
    <v>XNAS</v>
    <v>60.4</v>
    <v>60.68</v>
    <v>Water Utilities</v>
    <v>818</v>
    <v>-1.4295E-2</v>
    <v>-0.86</v>
    <v>H2O AMERICA</v>
    <v>H2O AMERICA</v>
    <v>60.16</v>
    <v>20.356999999999999</v>
    <v>59.3</v>
    <v>59.3</v>
    <v>110 W. TAYLOR STREET, SAN JOSE, CA, 95110 US</v>
    <v>Bourse</v>
    <v>H2O AMERICA (XNAS:HTO)</v>
    <v>603443</v>
    <v>630426</v>
  </rv>
  <rv s="2">
    <v>819</v>
  </rv>
  <rv s="0">
    <v>https://www.bing.com/financeapi/forcetrigger?t=ab14p2&amp;q=XTSE%3aSAP&amp;form=skydnc</v>
    <v>Learn more on Bing</v>
  </rv>
  <rv s="7">
    <v>fr-FR</v>
    <v>ab14p2</v>
    <v>268435456</v>
    <v>1</v>
    <v>Avec Refinitiv</v>
    <v>18</v>
    <v>19</v>
    <v>SAPUTO INC. (XTSE:SAP)</v>
    <v>3</v>
    <v>22</v>
    <v>Finance</v>
    <v>5</v>
    <v>XTSE</v>
    <v>405168800</v>
    <v>1992</v>
    <v>38.200000000000003</v>
    <v>25.17</v>
    <v>7.8700000000000006E-2</v>
    <v>15538223480</v>
    <v>Toronto Stock Exchange</v>
    <v>0</v>
    <v>0</v>
    <v>38.479999999999997</v>
    <v>SAP</v>
    <v>46133.846759259257</v>
    <v>Saputo Inc. est un transformateur laitier canadien qui produit, commercialise et distribue une gamme de produits laitiers, notamment du fromage, du lait de consommation, du lait et des produits de crème à durée de conservation prolongée, des produits de culture et des ingrédients laitiers. Ses secteurs géographiques comprennent le Canada, les États-Unis, l'international et l'Europe. Le secteur Canada comprend la Division des produits laitiers (Canada). Par l'entremise de la Division des produits laitiers (Canada), elle produit, commercialise et distribue au Canada une variété de fromages, dont la mozzarella et le cheddar, des fromages de spécialité, des fromages fins et d'autres fromages. Le secteur des États-Unis comprend la Division des produits laitiers (États-Unis). Par l'intermédiaire de la Division laitière (USA), elle produit, commercialise et distribue un assortiment de fromages, dont une large gamme de mozzarella, de fromages américains et de spécialités comme la ricotta, le provolone, le bleu, le parmesan, le fromage de chèvre et le romano. Le secteur international comprend la Division des produits laitiers (Australie) et la Division des produits laitiers (Argentine). Le secteur Europe comprend la Division produits laitiers (Royaume-Uni).</v>
    <v>CAD</v>
    <v>19400</v>
    <v>XTSE</v>
    <v>38.64</v>
    <v>45.09</v>
    <v>Food &amp; Tobacco</v>
    <v>821</v>
    <v>-3.3779999999999999E-3</v>
    <v>-0.13</v>
    <v>SAPUTO INC.</v>
    <v>SAPUTO INC.</v>
    <v>38.39</v>
    <v>24.693300000000001</v>
    <v>38.35</v>
    <v>38.35</v>
    <v>Suite 2900, 1000 de la Gauchetiere St. W., MONTREAL, QC, H3B 4W5 CA</v>
    <v>Bourse</v>
    <v>SAPUTO INC. (XTSE:SAP)</v>
    <v>1353319</v>
    <v>1222780</v>
  </rv>
  <rv s="2">
    <v>822</v>
  </rv>
  <rv s="0">
    <v>https://www.bing.com/financeapi/forcetrigger?t=a1vv8m&amp;q=XNYS%3aITW&amp;form=skydnc</v>
    <v>Learn more on Bing</v>
  </rv>
  <rv s="7">
    <v>fr-FR</v>
    <v>a1vv8m</v>
    <v>268435456</v>
    <v>1</v>
    <v>Avec Refinitiv</v>
    <v>18</v>
    <v>19</v>
    <v>ILLINOIS TOOL WORKS INC. (XNYS:ITW)</v>
    <v>3</v>
    <v>20</v>
    <v>Finance</v>
    <v>21</v>
    <v>XNYS</v>
    <v>288078100</v>
    <v>1961</v>
    <v>270.02</v>
    <v>224.9</v>
    <v>1.1173999999999999</v>
    <v>78089330567</v>
    <v>New York Stock Exchange</v>
    <v>0</v>
    <v>0</v>
    <v>272.68</v>
    <v>ITW</v>
    <v>46133.899216435158</v>
    <v>Illinois Tool Works Inc. est un fabricant mondial d'une gamme diversifiée de produits et d'équipements industriels. Les segments de la société comprennent les constructeurs automobiles, les équipements alimentaires, les tests et mesures et l'électronique, le soudage, les polymères et fluides, les produits de construction et les produits spécialisés. Le segment OEM automobile produit des composants et des fixations pour des applications liées à l'automobile. Le secteur de l'équipement alimentaire produit du matériel de lavage de vaisselle, du matériel de cuisson, du matériel de réfrigération, du matériel de transformation des aliments, des systèmes de ventilation et de contrôle de la pollution, et d'autres. Son segment soudage produit des équipements de soudage à l'arc, des consommables de soudage à l'arc métallique et des accessoires connexes. Le segment de la construction est un fournisseur de systèmes et de solutions de fixation techniques. Le segment des produits de spécialité comprend les systèmes de convoyage et l'automatisation des lignes pour les industries agroalimentaires ; les consommables en plastique tels que les boîtes et bouteilles multipacks et les équipements connexes ; les composants pour dispositifs médicaux, etc.</v>
    <v>USD</v>
    <v>43000</v>
    <v>XNYS</v>
    <v>274.36</v>
    <v>303.15499999999997</v>
    <v>Consumer Goods Conglomerates</v>
    <v>824</v>
    <v>-5.9040000000000004E-3</v>
    <v>-1.61</v>
    <v>ILLINOIS TOOL WORKS INC.</v>
    <v>ILLINOIS TOOL WORKS INC.</v>
    <v>272.32</v>
    <v>25.837399999999999</v>
    <v>271.07</v>
    <v>271.05</v>
    <v>155 Harlem Avenue, GLENVIEW, IL, 60025 US</v>
    <v>Bourse</v>
    <v>ILLINOIS TOOL WORKS INC. (XNYS:ITW)</v>
    <v>816499</v>
    <v>1238258</v>
  </rv>
  <rv s="2">
    <v>825</v>
  </rv>
  <rv s="0">
    <v>https://www.bing.com/financeapi/forcetrigger?t=a1pqur&amp;q=XNAS%3aCINF&amp;form=skydnc</v>
    <v>Learn more on Bing</v>
  </rv>
  <rv s="7">
    <v>fr-FR</v>
    <v>a1pqur</v>
    <v>268435456</v>
    <v>1</v>
    <v>Avec Refinitiv</v>
    <v>18</v>
    <v>19</v>
    <v>CINCINNATI FINANCIAL CORPORATION (XNAS:CINF)</v>
    <v>3</v>
    <v>20</v>
    <v>Finance</v>
    <v>21</v>
    <v>XNAS</v>
    <v>155686200</v>
    <v>1992</v>
    <v>164.9</v>
    <v>126.45</v>
    <v>0.61819999999999997</v>
    <v>25915524852</v>
    <v>Nasdaq Stock Market</v>
    <v>0</v>
    <v>0</v>
    <v>165.99</v>
    <v>CINF</v>
    <v>46133.899229316405</v>
    <v>Cincinnati Financial Corporation offre principalement des assurances d'affaires, habitation et automobile, son activité principale, par l'intermédiaire de la Cincinnati Insurance Company et de ses deux sociétés de dommages sur le marché standard. Ses segments comprennent l'assurance des lignes commerciales, l'assurance des lignes personnelles, l'assurance des lignes excédentaires et excédentaires, l'assurance vie et les placements. Les activités du secteur de l'assurance des lignes commerciales comprennent les risques divers commerciaux, les biens commerciaux, l'automobile commerciale, l'indemnisation des accidents du travail et d'autres lignes commerciales. Les activités du secteur assurance de biens personnels comprennent l'automobile personnelle, le propriétaire d'habitation et d'autres biens personnels. Le secteur assurance assurances assurances excédentaires couvre les risques divers et les biens commerciaux. Les activités du secteur de l'assurance vie comprennent l'assurance vie temporaire, les produits de chantier, l'assurance vie entière et l'assurance vie universelle. Le secteur investissements investit les liquidités qu'il génère des activités d'assurance dans des placements à échéance fixe, des placements en actions et des placements à court terme.</v>
    <v>USD</v>
    <v>5705</v>
    <v>XNAS</v>
    <v>167.73</v>
    <v>174.27</v>
    <v>Insurance</v>
    <v>827</v>
    <v>2.8310000000000002E-3</v>
    <v>0.47</v>
    <v>CINCINNATI FINANCIAL CORPORATION</v>
    <v>CINCINNATI FINANCIAL CORPORATION</v>
    <v>166.44</v>
    <v>10.941599999999999</v>
    <v>166.46</v>
    <v>166.46</v>
    <v>6200 S Gilmore Rd, FAIRFIELD, OH, 45014 US</v>
    <v>Bourse</v>
    <v>CINCINNATI FINANCIAL CORPORATION (XNAS:CINF)</v>
    <v>640755</v>
    <v>809559</v>
  </rv>
  <rv s="2">
    <v>828</v>
  </rv>
  <rv s="0">
    <v>https://www.bing.com/financeapi/forcetrigger?t=a214h7&amp;q=XNYS%3aPPG&amp;form=skydnc</v>
    <v>Learn more on Bing</v>
  </rv>
  <rv s="7">
    <v>fr-FR</v>
    <v>a214h7</v>
    <v>268435456</v>
    <v>1</v>
    <v>Avec Refinitiv</v>
    <v>18</v>
    <v>19</v>
    <v>PPG INDUSTRIES, INC. (XNYS:PPG)</v>
    <v>3</v>
    <v>20</v>
    <v>Finance</v>
    <v>21</v>
    <v>XNYS</v>
    <v>223798600</v>
    <v>1883</v>
    <v>110.69</v>
    <v>93.385000000000005</v>
    <v>1.1124000000000001</v>
    <v>24828216684</v>
    <v>New York Stock Exchange</v>
    <v>0</v>
    <v>0</v>
    <v>114.73</v>
    <v>PPG</v>
    <v>46133.899223089844</v>
    <v>PPG Industries, Inc. fabrique et distribue une large gamme de peintures, de revêtements et de produits spécialisés. Ses segments comprennent Global architectural Coatings, performance Coatings et Industrial Coatings. Le segment Global architectural Coatings comprend les segments d'exploitation architectural Coatings EMEA et architectural Coatings Amérique latine et Asie-Pacifique. Ce secteur fournit principalement des peintures, des teintures pour bois, des adhésifs, des mastics et des articles divers achetés. Le segment revêtements de performance comprend les segments d'exploitation des revêtements de finition automobile, des revêtements aérospatiaux, des revêtements de protection et marins et des solutions de trafic. Ce segment fournit principalement une variété de revêtements, solvants, adhésifs, mastics, mousses et finitions, ainsi que les produits de marquage de chaussée, les transparents et les films de peinture. Le segment revêtements industriels fournit une variété de revêtements et de finitions protecteurs et décoratifs ainsi que des adhésifs, des mastics, des produits de prétraitement des métaux et d'autres produits spécialisés.</v>
    <v>USD</v>
    <v>43500</v>
    <v>XNYS</v>
    <v>115.14</v>
    <v>133.43</v>
    <v>Chemicals</v>
    <v>830</v>
    <v>-3.3034000000000001E-2</v>
    <v>-3.79</v>
    <v>PPG INDUSTRIES, INC.</v>
    <v>PPG INDUSTRIES, INC.</v>
    <v>114.38</v>
    <v>16.042899999999999</v>
    <v>110.94</v>
    <v>110.92</v>
    <v>One Ppg Pl 40 East, PITTSBURGH, PA, 15272 US</v>
    <v>Bourse</v>
    <v>PPG INDUSTRIES, INC. (XNYS:PPG)</v>
    <v>2064763</v>
    <v>2255275</v>
  </rv>
  <rv s="2">
    <v>831</v>
  </rv>
  <rv s="0">
    <v>https://www.bing.com/financeapi/forcetrigger?t=a1xza2&amp;q=XNAS%3aMSEX&amp;form=skydnc</v>
    <v>Learn more on Bing</v>
  </rv>
  <rv s="7">
    <v>fr-FR</v>
    <v>a1xza2</v>
    <v>268435456</v>
    <v>1</v>
    <v>Avec Refinitiv</v>
    <v>18</v>
    <v>19</v>
    <v>MIDDLESEX WATER COMPANY (XNAS:MSEX)</v>
    <v>3</v>
    <v>20</v>
    <v>Finance</v>
    <v>29</v>
    <v>XNAS</v>
    <v>18581510</v>
    <v>1896</v>
    <v>52.85</v>
    <v>44.17</v>
    <v>0.82889999999999997</v>
    <v>982032803</v>
    <v>Nasdaq Stock Market</v>
    <v>0</v>
    <v>0</v>
    <v>53.72</v>
    <v>MSEX</v>
    <v>46133.847223089841</v>
    <v>Middlesex Water Company est une entreprise de services d'eau. La Société possède et exploite des services publics d'eau et des systèmes d'assainissement réglementés principalement dans le New Jersey et le Delaware. Elle exploite également des systèmes d'eau et d'assainissement sous contrat pour le compte de clients municipaux et privés, principalement dans le New Jersey et le Delaware. Elle opère sur deux segments : réglementé et non réglementé. Le secteur réglementé est engagé dans la collecte, le traitement et la distribution d'eau au détail et en gros à des clients résidentiels, commerciaux, industriels et de protection contre les incendies dans certaines parties du New Jersey et du Delaware, et comprend Middlesex, Tidewater, Pinelands Water et Southern Shores. Le segment non réglementé comprend principalement des services contractuels non réglementés pour l'exploitation et l'entretien de systèmes d'eau et d'assainissement municipaux et privés au New Jersey et au Delaware, et comprend les États-Unis, USA-PA et White Marsh. Dans l'ensemble de ses réseaux de services publics réglementés, elle dessert environ 128 000 clients.</v>
    <v>USD</v>
    <v>395</v>
    <v>XNAS</v>
    <v>54.305</v>
    <v>63.795000000000002</v>
    <v>Water Utilities</v>
    <v>833</v>
    <v>-1.6195000000000001E-2</v>
    <v>-0.87</v>
    <v>MIDDLESEX WATER COMPANY</v>
    <v>MIDDLESEX WATER COMPANY</v>
    <v>53.67</v>
    <v>22.346699999999998</v>
    <v>52.85</v>
    <v>52.85</v>
    <v>P O Box 1500, 1500 Ronson Rd, ISELIN, NJ, 08830 US</v>
    <v>Bourse</v>
    <v>MIDDLESEX WATER COMPANY (XNAS:MSEX)</v>
    <v>140747</v>
    <v>192018</v>
  </rv>
  <rv s="2">
    <v>834</v>
  </rv>
  <rv s="0">
    <v>https://www.bing.com/financeapi/forcetrigger?t=a1ry3m&amp;q=XNYS%3aEMR&amp;form=skydnc</v>
    <v>Learn more on Bing</v>
  </rv>
  <rv s="7">
    <v>fr-FR</v>
    <v>a1ry3m</v>
    <v>268435456</v>
    <v>1</v>
    <v>Avec Refinitiv</v>
    <v>18</v>
    <v>19</v>
    <v>EMERSON ELECTRIC CO. (XNYS:EMR)</v>
    <v>3</v>
    <v>20</v>
    <v>Finance</v>
    <v>21</v>
    <v>XNYS</v>
    <v>562000000</v>
    <v>1890</v>
    <v>144.30500000000001</v>
    <v>95.31</v>
    <v>1.3065</v>
    <v>81388840000</v>
    <v>New York Stock Exchange</v>
    <v>0</v>
    <v>0</v>
    <v>146.77000000000001</v>
    <v>EMR</v>
    <v>46133.899234178127</v>
    <v>Emerson Electric Co. Est une société mondiale de technologie et de logiciels qui fournit des solutions à des clients dans un large éventail de marchés finaux à travers le monde. La Société opère dans sept secteurs sous deux groupes d'activités, tels que les dispositifs intelligents et les logiciels et contrôle. Son activité dispositifs intelligents comprend le contrôle final, la mesure et l'analyse, l'automatisation discrète et la sécurité et la productivité. Les activités de logiciels et de contrôle comprennent les systèmes et logiciels de contrôle, test et mesure, et AspenTech. Son segment final Control est un fournisseur mondial de vannes de régulation, vannes d'isolement, vannes d'arrêt, soupapes de surpression, soupapes de sécurité, actionneurs et régulateurs pour les industries de process et hybrides. Son segment Measurement &amp; Analytical est un fournisseur d'instrumentation intelligente mesurant les propriétés physiques de liquides ou de gaz. Le segment AspenTech fournit des logiciels d'optimisation des actifs qui permettent aux fabricants industriels de concevoir, d'exploiter et de maintenir leurs opérations.</v>
    <v>USD</v>
    <v>71000</v>
    <v>XNYS</v>
    <v>148.49</v>
    <v>165.15</v>
    <v>Machinery, Equipment &amp; Components</v>
    <v>836</v>
    <v>-1.3285999999999999E-2</v>
    <v>-1.95</v>
    <v>EMERSON ELECTRIC CO.</v>
    <v>EMERSON ELECTRIC CO.</v>
    <v>147.06</v>
    <v>35.508200000000002</v>
    <v>144.82</v>
    <v>144.83000000000001</v>
    <v>8027 Forsyth Boulevard,, ST. LOUIS, MO, 63105 US</v>
    <v>Bourse</v>
    <v>EMERSON ELECTRIC CO. (XNYS:EMR)</v>
    <v>1706415</v>
    <v>3014731</v>
  </rv>
  <rv s="2">
    <v>837</v>
  </rv>
  <rv s="0">
    <v>https://www.bing.com/financeapi/forcetrigger?t=a22oc7&amp;q=XNYS%3aSCL&amp;form=skydnc</v>
    <v>Learn more on Bing</v>
  </rv>
  <rv s="7">
    <v>fr-FR</v>
    <v>a22oc7</v>
    <v>268435456</v>
    <v>1</v>
    <v>Avec Refinitiv</v>
    <v>18</v>
    <v>19</v>
    <v>Stepan (XNYS:SCL)</v>
    <v>3</v>
    <v>20</v>
    <v>Finance</v>
    <v>29</v>
    <v>XNYS</v>
    <v>22690380</v>
    <v>1959</v>
    <v>50.6</v>
    <v>41.82</v>
    <v>0.98560000000000003</v>
    <v>1162881975</v>
    <v>New York Stock Exchange</v>
    <v>0</v>
    <v>0</v>
    <v>51.56</v>
    <v>SCL</v>
    <v>46133.840336805471</v>
    <v>Stepan Company produces and sells intermediate chemicals that are used in a variety of applications. Its segment includes Surfactants, Polymers and Specialty Products. Surfactants are used in various consumer and industrial cleaning and disinfection products, such as detergents for washing clothes, dishes, floors and walls. Its other applications include fabric softeners, germicidal quaternary compounds, disinfectants, lubricating ingredients, emulsifiers for spreading agricultural products and industrial applications, such as latex systems, plastics and composites. Polymers include polyurethane polyols, polyester resins and phthalic anhydride. Polyurethane polyols are used in the manufacture of rigid foam for thermal insulation in the construction industry and are also a base raw material for coatings, adhesives, sealants and elastomers. Specialty Products include flavors, emulsifiers and solubilizers used in food, flavoring, nutritional supplements and pharmaceutical applications.</v>
    <v>USD</v>
    <v>2328</v>
    <v>XNYS</v>
    <v>52.2</v>
    <v>68</v>
    <v>Chemicals</v>
    <v>839</v>
    <v>-6.012E-3</v>
    <v>-0.31</v>
    <v>Stepan</v>
    <v>Stepan</v>
    <v>51.66</v>
    <v>25.014600000000002</v>
    <v>51.25</v>
    <v>51.25</v>
    <v>Edens &amp; Winnetka Road, NORTHFIELD, IL, 60093 US</v>
    <v>Bourse</v>
    <v>Stepan (XNYS:SCL)</v>
    <v>114239</v>
    <v>163404</v>
  </rv>
  <rv s="2">
    <v>840</v>
  </rv>
  <rv s="0">
    <v>https://www.bing.com/financeapi/forcetrigger?t=a1o1p2&amp;q=XNYS%3aAWR&amp;form=skydnc</v>
    <v>Learn more on Bing</v>
  </rv>
  <rv s="7">
    <v>fr-FR</v>
    <v>a1o1p2</v>
    <v>268435456</v>
    <v>1</v>
    <v>Avec Refinitiv</v>
    <v>18</v>
    <v>19</v>
    <v>Am States Water (XNYS:AWR)</v>
    <v>3</v>
    <v>20</v>
    <v>Finance</v>
    <v>29</v>
    <v>XNYS</v>
    <v>39192540</v>
    <v>1998</v>
    <v>77.75</v>
    <v>69.45</v>
    <v>0.63639999999999997</v>
    <v>3050355388</v>
    <v>New York Stock Exchange</v>
    <v>0</v>
    <v>0</v>
    <v>78.72</v>
    <v>AWR</v>
    <v>46133.843984664061</v>
    <v>American States Water Company is a holding company. Its segments include water, electric and contracted services. Within the segments, the Company has three principal business units: water and electric service utility operations conducted through its regulated utilities, Golden State Water Company (GSWC) and Bear Valley Electric Service, Inc. (BVES), respectively, and contracted services conducted through American States Utility Services, Inc. (ASUS) and its subsidiaries. GSWC is a public water utility engaged in the purchase, production, distribution and sale of water in 11 counties in the state of California and provides wastewater collection and treatment services. BVES is a public electric utility that distributes electricity in several San Bernardino County Mountain communities in California. ASUS operates, maintains and performs construction activities (including renewal and replacement capital work) on water and/or wastewater systems at various United States military bases.</v>
    <v>USD</v>
    <v>900</v>
    <v>XNYS</v>
    <v>79.19</v>
    <v>82.94</v>
    <v>Water Utilities</v>
    <v>842</v>
    <v>-1.1306E-2</v>
    <v>-0.89</v>
    <v>Am States Water</v>
    <v>Am States Water</v>
    <v>78.709999999999994</v>
    <v>23.123100000000001</v>
    <v>77.83</v>
    <v>77.83</v>
    <v>630 E Foothill Blvd, SAN DIMAS, CA, 91773-1212 US</v>
    <v>Bourse</v>
    <v>Am States Water (XNYS:AWR)</v>
    <v>340005</v>
    <v>331697</v>
  </rv>
  <rv s="2">
    <v>843</v>
  </rv>
  <rv s="0">
    <v>https://www.bing.com/financeapi/forcetrigger?t=aaxkh7&amp;q=XTSE%3aCNR&amp;form=skydnc</v>
    <v>Learn more on Bing</v>
  </rv>
  <rv s="7">
    <v>fr-FR</v>
    <v>aaxkh7</v>
    <v>268435456</v>
    <v>1</v>
    <v>Avec Refinitiv</v>
    <v>18</v>
    <v>19</v>
    <v>Compagnie des chemins de fer nationaux du Canada (XTSE:CNR)</v>
    <v>3</v>
    <v>22</v>
    <v>Finance</v>
    <v>5</v>
    <v>XTSE</v>
    <v>611400000</v>
    <v>1995</v>
    <v>150.31</v>
    <v>126.11</v>
    <v>0.98680000000000001</v>
    <v>92217462000</v>
    <v>Toronto Stock Exchange</v>
    <v>0</v>
    <v>0</v>
    <v>151.82</v>
    <v>CNR</v>
    <v>46133.833333333336</v>
    <v>La Compagnie des chemins de fer nationaux du Canada est une entreprise de transport et de logistique. Les services de la Société comprennent les services ferroviaires, intermodaux, de camionnage et de chaîne d'approvisionnement. Les services ferroviaires de la Société offrent de l'équipement, des services de courtage en douane, de transbordement et de distribution, d'entreposage de wagons privés et autres. Ses services de conteneurs intermodaux aident les expéditeurs à étendre leur portée sur le marché porte-à-porte avec environ 23 terminaux intermodaux stratégiquement placés. Ses services intermodaux comprennent le fret à température contrôlée, les partenariats portuaires, le parc logistique, le courtage en douane, le transbordement et la distribution, et autres. Ses services de camionnage comprennent le service porte-à-porte, le transport par camion d'importation et d'exportation, les services interlignes et les services spécialisés. Ses services de chaîne d'approvisionnement offrent des services complets dans toute une gamme d'industries et de types de produits. La Société transporte plus de 300 millions de tonnes de ressources naturelles, de produits manufacturés et de produits finis partout en Amérique du Nord chaque année.</v>
    <v>CAD</v>
    <v>23839</v>
    <v>XTSE</v>
    <v>152.86000000000001</v>
    <v>154.63</v>
    <v>Freight &amp; Logistics Services</v>
    <v>845</v>
    <v>-6.5209999999999999E-3</v>
    <v>-0.99</v>
    <v>Compagnie des chemins de fer nationaux du Canada</v>
    <v>Compagnie des chemins de fer nationaux du Canada</v>
    <v>151.97</v>
    <v>19.930700000000002</v>
    <v>150.83000000000001</v>
    <v>150.83000000000001</v>
    <v>935 de la Gauchetiere Street West, MONTREAL, QC, H3B 2M9 CA</v>
    <v>Bourse</v>
    <v>Compagnie des chemins de fer nationaux du Canada (XTSE:CNR)</v>
    <v>1200617</v>
    <v>1289180</v>
  </rv>
  <rv s="2">
    <v>846</v>
  </rv>
  <rv s="0">
    <v>https://www.bing.com/financeapi/forcetrigger?t=a1qn27&amp;q=XNYS%3aCWT&amp;form=skydnc</v>
    <v>Learn more on Bing</v>
  </rv>
  <rv s="7">
    <v>fr-FR</v>
    <v>a1qn27</v>
    <v>268435456</v>
    <v>1</v>
    <v>Avec Refinitiv</v>
    <v>18</v>
    <v>19</v>
    <v>CALIFORNIA WATER SERVICE GROUP (XNYS:CWT)</v>
    <v>3</v>
    <v>20</v>
    <v>Finance</v>
    <v>21</v>
    <v>XNYS</v>
    <v>59844250</v>
    <v>1999</v>
    <v>46.145000000000003</v>
    <v>41.29</v>
    <v>0.59189999999999998</v>
    <v>2764804350</v>
    <v>New York Stock Exchange</v>
    <v>0</v>
    <v>0</v>
    <v>46.85</v>
    <v>CWT</v>
    <v>46133.89653125</v>
    <v>California Water Service Group est une société holding qui fournit des services publics d'eau et d'autres services connexes en Californie, à Washington, au Nouveau-Mexique, à Hawaï et au Texas par l'intermédiaire de ses filiales. Ses activités sont exercées par l'intermédiaire de ses filiales d'exploitation et fournissent des services publics. Son activité consiste en la production, l'achat, le stockage, le traitement, les essais, distribution et vente d'eau à des fins domestiques, industrielles, publiques et d'irrigation, et prestation de services de protection contre les incendies domestiques et municipaux. Elle fournit des services de collecte et de traitement des eaux usées, y compris un traitement qui permet le recyclage de l'eau. Elle fournit également des services liés à l'eau non réglementés en vertu d'ententes avec des municipalités et d'autres entreprises privées. Les services non réglementés comprennent l'exploitation complète du réseau d'eau, la lecture des compteurs et les services de facturation. Les activités non réglementées comprennent également la location de sites d'antennes de communication, les services de laboratoire et la promotion d'autres services non réglementés.</v>
    <v>USD</v>
    <v>1336</v>
    <v>XNYS</v>
    <v>47.25</v>
    <v>51.63</v>
    <v>Water Utilities</v>
    <v>848</v>
    <v>-1.3873999999999999E-2</v>
    <v>-0.65</v>
    <v>CALIFORNIA WATER SERVICE GROUP</v>
    <v>CALIFORNIA WATER SERVICE GROUP</v>
    <v>46.88</v>
    <v>21.455400000000001</v>
    <v>46.2</v>
    <v>46.2</v>
    <v>C/O CALIFORNIA WATER SERVICE CO, 1720 N FIRST ST, SAN JOSE, CA, 95112 US</v>
    <v>Bourse</v>
    <v>CALIFORNIA WATER SERVICE GROUP (XNYS:CWT)</v>
    <v>456038</v>
    <v>511844</v>
  </rv>
  <rv s="2">
    <v>849</v>
  </rv>
  <rv s="0">
    <v>https://www.bing.com/financeapi/forcetrigger?t=a1u65r&amp;q=XNYS%3aGRC&amp;form=skydnc</v>
    <v>Learn more on Bing</v>
  </rv>
  <rv s="7">
    <v>fr-FR</v>
    <v>a1u65r</v>
    <v>268435456</v>
    <v>1</v>
    <v>Avec Refinitiv</v>
    <v>18</v>
    <v>19</v>
    <v>Gorman- Rupp (XNYS:GRC)</v>
    <v>3</v>
    <v>20</v>
    <v>Finance</v>
    <v>29</v>
    <v>XNYS</v>
    <v>26312840</v>
    <v>1934</v>
    <v>65.040000000000006</v>
    <v>32.17</v>
    <v>1.2322</v>
    <v>1762170894</v>
    <v>New York Stock Exchange</v>
    <v>0.35</v>
    <v>5.2259999999999997E-3</v>
    <v>65.64</v>
    <v>GRC</v>
    <v>46133.859623414064</v>
    <v>The Gorman-Rupp Company designs, manufactures, and sells pumps and pump systems for use in water, wastewater, construction, dewatering, industrial, petroleum, original equipment, agriculture, fire suppression, heating, ventilating and air conditioning (HVAC), military and other liquid-handling applications. The Company’s product line consists of pump models ranging in size from 1/4 to nearly 15 feet and ranging in rated capacity from less than one gallon per minute to nearly one million gallons per minute. The types of pumps which the Company produces include self-priming centrifugal, standard centrifugal, magnetic drive centrifugal, axial and mixed-flow, vertical turbine line shaft, submersible, high-pressure booster, rotary gear, rotary vein, diaphragm, bellows and oscillating. Its pumps have driven that range from fractional horsepower electric motors up to larger electric motors or internal combustion engines capable of producing several thousand horsepower.</v>
    <v>USD</v>
    <v>1415</v>
    <v>XNYS</v>
    <v>67.135000000000005</v>
    <v>73.239999999999995</v>
    <v>Machinery, Equipment &amp; Components</v>
    <v>851</v>
    <v>2.0261999999999999E-2</v>
    <v>1.33</v>
    <v>Gorman- Rupp</v>
    <v>Gorman- Rupp</v>
    <v>65.569999999999993</v>
    <v>33.217599999999997</v>
    <v>66.97</v>
    <v>67.319999999999993</v>
    <v>PO Box 1217, 600 S Airport Rd, MANSFIELD, OH, 44901 US</v>
    <v>Bourse</v>
    <v>Gorman- Rupp (XNYS:GRC)</v>
    <v>155445</v>
    <v>203506</v>
  </rv>
  <rv s="2">
    <v>852</v>
  </rv>
  <rv s="0">
    <v>https://www.bing.com/financeapi/forcetrigger?t=a1mrar&amp;q=XNYS%3aABT&amp;form=skydnc</v>
    <v>Learn more on Bing</v>
  </rv>
  <rv s="7">
    <v>fr-FR</v>
    <v>a1mrar</v>
    <v>268435456</v>
    <v>1</v>
    <v>Avec Refinitiv</v>
    <v>18</v>
    <v>19</v>
    <v>ABBOTT LABORATORIES (XNYS:ABT)</v>
    <v>3</v>
    <v>20</v>
    <v>Finance</v>
    <v>21</v>
    <v>XNYS</v>
    <v>1737675000</v>
    <v>1900</v>
    <v>92.655000000000001</v>
    <v>92.655000000000001</v>
    <v>0.70940000000000003</v>
    <v>161151979500</v>
    <v>New York Stock Exchange</v>
    <v>0</v>
    <v>0</v>
    <v>96</v>
    <v>ABT</v>
    <v>46133.899227036716</v>
    <v>Abbott Laboratories est une société mondiale de soins de santé. L'activité principale de la Société est la découverte, le développement, la fabrication et la vente d'une gamme étendue et diversifiée de produits de santé. Ses segments comprennent les produits pharmaceutiques établis, les produits de diagnostic, les produits nutritionnels et les dispositifs médicaux. Le segment des produits pharmaceutiques établis est engagé dans les ventes internationales d'une large gamme de produits pharmaceutiques génériques de marque. Le segment produits de diagnostic est impliqué dans la vente mondiale de systèmes et de tests de diagnostic pour les banques de sang, les hôpitaux, les laboratoires commerciaux et les sites de tests de soins alternatifs. Le segment produits nutritionnels est engagé dans la vente mondiale d'une large gamme de produits nutritionnels pour adultes et enfants. Medical Devices est impliqué dans les ventes mondiales de gestion du rythme, électrophysiologie, insuffisance cardiaque, vasculaire, cardiaque structurelle, neuromodulation et produits de soins du diabète. Il sert des personnes dans plus de 160 pays.</v>
    <v>USD</v>
    <v>115000</v>
    <v>XNYS</v>
    <v>95.91</v>
    <v>139.06</v>
    <v>Healthcare Equipment &amp; Supplies</v>
    <v>854</v>
    <v>-3.3958000000000002E-2</v>
    <v>-3.26</v>
    <v>ABBOTT LABORATORIES</v>
    <v>ABBOTT LABORATORIES</v>
    <v>95.6</v>
    <v>25.83</v>
    <v>92.74</v>
    <v>92.72</v>
    <v>100 Abbott Park Road, Abbot Park, ABBOTT PARK, IL, 60064-3500 US</v>
    <v>Bourse</v>
    <v>ABBOTT LABORATORIES (XNYS:ABT)</v>
    <v>17136668</v>
    <v>13379831</v>
  </rv>
  <rv s="2">
    <v>855</v>
  </rv>
  <rv s="0">
    <v>https://www.bing.com/financeapi/forcetrigger?t=aaxzc7&amp;q=XTSE%3aEMP.A&amp;form=skydnc</v>
    <v>Learn more on Bing</v>
  </rv>
  <rv s="7">
    <v>fr-FR</v>
    <v>aaxzc7</v>
    <v>268435456</v>
    <v>1</v>
    <v>Avec Refinitiv</v>
    <v>18</v>
    <v>19</v>
    <v>EMPIRE COMPANY LIMITED (XTSE:EMP.A)</v>
    <v>3</v>
    <v>22</v>
    <v>Finance</v>
    <v>5</v>
    <v>XTSE</v>
    <v>225354100</v>
    <v>1963</v>
    <v>47.35</v>
    <v>43.81</v>
    <v>0.34179999999999999</v>
    <v>10805729095</v>
    <v>Toronto Stock Exchange</v>
    <v>0</v>
    <v>0</v>
    <v>47.43</v>
    <v>EMP.A</v>
    <v>46133.846747685187</v>
    <v>Empire Company Limited exerce ses activités dans le domaine de la vente au détail de produits alimentaires, par l'entremise de sa filiale en propriété exclusive Sobeys Inc (Sobeys), et de l'immobilier connexe. Les secteurs de la Société comprennent la vente au détail de produits alimentaires, les placements et autres activités. Sobeys possède, est affiliée ou franchise plus de 1 600 magasins dans les 10 provinces sous des bannières de vente au détail, dont Sobeys, Safeway, IGA, Foodland, FreshCo, Thrifty Foods, Farm Boy, Longo's et Lawtons Drugs, exploite le commerce électronique d'épicerie sous les bannières Voila, Voila par IGA et ThriftyFoods.com, et exploite et/ou approvisionne plus de 350 points de vente au détail de carburant. Le secteur investissements et autres activités comprend des investissements dans Crombie FPI, des partenariats immobiliers et diverses autres activités d'entreprise. Crombie REIT se concentre sur la propriété, l'exploitation et le développement d'un portefeuille de centres commerciaux ancrés dans l'épicerie et la pharmacie, de magasins autonomes et de développements à usage mixte principalement dans les marchés urbains et suburbains du Canada.</v>
    <v>CAD</v>
    <v>67000</v>
    <v>XTSE</v>
    <v>48.23</v>
    <v>58.32</v>
    <v>Food &amp; Drug Retailing</v>
    <v>857</v>
    <v>1.0964E-2</v>
    <v>0.52</v>
    <v>EMPIRE COMPANY LIMITED</v>
    <v>EMPIRE COMPANY LIMITED</v>
    <v>47.51</v>
    <v>73.923900000000003</v>
    <v>47.95</v>
    <v>47.95</v>
    <v>115 King Street, STELLARTON, NS, B0K 1S0 CA</v>
    <v>Bourse</v>
    <v>EMPIRE COMPANY LIMITED (XTSE:EMP.A)</v>
    <v>484660</v>
    <v>575440</v>
  </rv>
  <rv s="2">
    <v>858</v>
  </rv>
  <rv s="0">
    <v>https://www.bing.com/financeapi/forcetrigger?t=aayw6h&amp;q=XTSE%3aIMO&amp;form=skydnc</v>
    <v>Learn more on Bing</v>
  </rv>
  <rv s="7">
    <v>fr-FR</v>
    <v>aayw6h</v>
    <v>268435456</v>
    <v>1</v>
    <v>Avec Refinitiv</v>
    <v>18</v>
    <v>19</v>
    <v>COMPAGNIE PETROLIERE IMPERIALE LTEE (XTSE:IMO)</v>
    <v>3</v>
    <v>22</v>
    <v>Finance</v>
    <v>5</v>
    <v>XTSE</v>
    <v>483592700</v>
    <v>1978</v>
    <v>167.06</v>
    <v>87.69</v>
    <v>0.79800000000000004</v>
    <v>81833556694</v>
    <v>Toronto Stock Exchange</v>
    <v>0</v>
    <v>0</v>
    <v>167.54</v>
    <v>IMO</v>
    <v>46133.833333333336</v>
    <v>La Compagnie pétrolière Impériale limitée est une entreprise énergétique intégrée établie au Canada. Les activités principales de la Société consistent à explorer et à produire du pétrole brut et du gaz naturel ; à fabriquer, à échanger, à transporter et à vendre du pétrole brut, du gaz naturel, des produits pétroliers, des produits pétrochimiques et divers produits spécialisés ; et à exploiter des occasions d'affaires à faibles émissions, notamment le captage et le stockage du carbone, l'hydrogène, les combustibles à faibles émissions et le lithium. Ses segments comprennent l'amont, l'aval et les produits chimiques. Le segment amont est organisé et exploité pour explorer et produire du pétrole brut et son équivalent, ainsi que du gaz naturel. Le segment aval est organisé et fonctionne pour raffiner le pétrole brut en produits pétroliers et pour distribuer et commercialiser ces produits. Le segment chimie est organisé et opère pour fabriquer et commercialiser des produits chimiques et chimiques à base d'hydrocarbures. Les activités de la Société comprennent les raffineries de Cold Lake, Kearl, Syncrude, Nanticoke, Sarnia et Strathcona.</v>
    <v>CAD</v>
    <v>5000</v>
    <v>XTSE</v>
    <v>169.73</v>
    <v>185.73</v>
    <v>Oil &amp; Gas</v>
    <v>860</v>
    <v>1.0026999999999999E-2</v>
    <v>1.68</v>
    <v>COMPAGNIE PETROLIERE IMPERIALE LTEE</v>
    <v>COMPAGNIE PETROLIERE IMPERIALE LTEE</v>
    <v>168.18</v>
    <v>26.215399999999999</v>
    <v>169.22</v>
    <v>169.22</v>
    <v>505 Quarry Park Boulevard S.E., CALGARY, AB, T2C 5N1 CA</v>
    <v>Bourse</v>
    <v>COMPAGNIE PETROLIERE IMPERIALE LTEE (XTSE:IMO)</v>
    <v>741290</v>
    <v>684900</v>
  </rv>
  <rv s="2">
    <v>861</v>
  </rv>
  <rv s="0">
    <v>https://www.bing.com/financeapi/forcetrigger?t=a1x2ur&amp;q=XNYS%3aLOW&amp;form=skydnc</v>
    <v>Learn more on Bing</v>
  </rv>
  <rv s="7">
    <v>fr-FR</v>
    <v>a1x2ur</v>
    <v>268435456</v>
    <v>1</v>
    <v>Avec Refinitiv</v>
    <v>18</v>
    <v>19</v>
    <v>LOWE'S COMPANIES, INC. (XNYS:LOW)</v>
    <v>3</v>
    <v>20</v>
    <v>Finance</v>
    <v>21</v>
    <v>XNYS</v>
    <v>560062900</v>
    <v>1952</v>
    <v>250.67</v>
    <v>210.33</v>
    <v>0.96399999999999997</v>
    <v>140682199851</v>
    <v>New York Stock Exchange</v>
    <v>0</v>
    <v>0</v>
    <v>253.29</v>
    <v>LOW</v>
    <v>46133.899231631251</v>
    <v>Lowe's Companies, Inc. est une entreprise de rénovation domiciliaire. La Société offre une gamme complète de produits pour la construction, l'entretien, la réparation, le remodelage et la décoration. Il offre des produits d'amélioration de la maison dans diverses catégories, y compris les appareils électroménagers, la vie saisonnière et extérieure, le bois d'œuvre, la pelouse et le jardin, les cuisines et la salle de bain, la quincaillerie, matériaux de construction, menuiserie, peinture, plomberie brute, outils, électricité, plancher et décoration. Elle se concentre sur l'offre d'une large sélection de marchandises de marque nationale complétée par sa sélection de marques privées. Ses services comprennent la vente d'installations, les plans de protection et les services de réparation de Lowe's. La Société offre des services d'installation par l'intermédiaire d'entrepreneurs indépendants dans plusieurs de ses catégories de produits. Il offre des plans de protection étendus pour certains produits dans les appareils, cuisines et salle de bain, décoration, menuiserie, plomberie rugueuse, catégorie électrique, saisonnière et extérieure, outils et quincaillerie. Elle exploite plus de 1 700 magasins de rénovation domiciliaire.</v>
    <v>USD</v>
    <v>167000</v>
    <v>XNYS</v>
    <v>257.10000000000002</v>
    <v>293.06</v>
    <v>Specialty Retailers</v>
    <v>863</v>
    <v>-8.2909999999999998E-3</v>
    <v>-2.1</v>
    <v>LOWE'S COMPANIES, INC.</v>
    <v>LOWE'S COMPANIES, INC.</v>
    <v>254.17</v>
    <v>21.197500000000002</v>
    <v>251.19</v>
    <v>251.19</v>
    <v>1000 Lowes Blvd, MOORESVILLE, NC, 28117-8520 US</v>
    <v>Bourse</v>
    <v>LOWE'S COMPANIES, INC. (XNYS:LOW)</v>
    <v>2493214</v>
    <v>2648776</v>
  </rv>
  <rv s="2">
    <v>864</v>
  </rv>
  <rv s="0">
    <v>https://www.bing.com/financeapi/forcetrigger?t=a1wqlh&amp;q=XNAS%3aLANC&amp;form=skydnc</v>
    <v>Learn more on Bing</v>
  </rv>
  <rv s="7">
    <v>fr-FR</v>
    <v>a1wqlh</v>
    <v>268435456</v>
    <v>1</v>
    <v>Avec Refinitiv</v>
    <v>18</v>
    <v>19</v>
    <v>Marzetti (XNAS:MZTI)</v>
    <v>3</v>
    <v>20</v>
    <v>Finance</v>
    <v>29</v>
    <v>XNAS</v>
    <v>27423000</v>
    <v>1991</v>
    <v>126.425</v>
    <v>126.425</v>
    <v>0.42459999999999998</v>
    <v>3486285990</v>
    <v>Nasdaq Stock Market</v>
    <v>0</v>
    <v>0</v>
    <v>133.25</v>
    <v>MZTI</v>
    <v>46133.840336157031</v>
    <v>The Marzetti Company, formerly Lancaster Colony Corporation, is a manufacturer and seller of specialty food products. The Company’s retail brands Marzetti, New York Bakery, and Sister Schubert’s, Olive Garden, dressings, Chick-fil-A sauces and dressings, Buffalo Wild Wings sauces, Arby’s sauces, Subway sauces, Texas Roadhouse steak sauces, and frozen rolls. Its foodservice business supplies many restaurant chains in the United States with dressings, sauces, breads and frozen pastas.</v>
    <v>USD</v>
    <v>3700</v>
    <v>XNAS</v>
    <v>133.745</v>
    <v>193.4</v>
    <v>Food &amp; Tobacco</v>
    <v>866</v>
    <v>-4.5929000000000005E-2</v>
    <v>-6.12</v>
    <v>Marzetti</v>
    <v>Marzetti</v>
    <v>133.11000000000001</v>
    <v>19.430199999999999</v>
    <v>127.13</v>
    <v>127.13</v>
    <v>380 Polaris Parkway, Suite 400, WESTERVILLE, OH, 43082 US</v>
    <v>Bourse</v>
    <v>Marzetti (XNAS:MZTI)</v>
    <v>422331</v>
    <v>344344</v>
  </rv>
  <rv s="2">
    <v>867</v>
  </rv>
  <rv s="0">
    <v>https://www.bing.com/financeapi/forcetrigger?t=a1pba2&amp;q=XNAS%3aCBSH&amp;form=skydnc</v>
    <v>Learn more on Bing</v>
  </rv>
  <rv s="7">
    <v>fr-FR</v>
    <v>a1pba2</v>
    <v>268435456</v>
    <v>1</v>
    <v>Avec Refinitiv</v>
    <v>18</v>
    <v>19</v>
    <v>Coml Bancshares (XNAS:CBSH)</v>
    <v>3</v>
    <v>20</v>
    <v>Finance</v>
    <v>29</v>
    <v>XNAS</v>
    <v>146879300</v>
    <v>1966</v>
    <v>50.012</v>
    <v>46.985900000000001</v>
    <v>0.59650000000000003</v>
    <v>7430623787</v>
    <v>Nasdaq Stock Market</v>
    <v>0</v>
    <v>0</v>
    <v>51.4</v>
    <v>CBSH</v>
    <v>46133.840334513283</v>
    <v>Commerce Bancshares, Inc. is a regional bank holding company offering banking, payment solutions, wealth management and securities brokerage through its subsidiaries. The Company’s subsidiary, Commerce Bank (the Bank), operates full-service banking facilities across the Midwest, including the St. Louis and Kansas City metropolitan areas, Springfield, Central Missouri, Central Illinois, Wichita, Tulsa, Oklahoma City, and Denver. It also maintains commercial offices in Dallas, Houston, Cincinnati, Nashville, Des Moines, Indianapolis, and Grand Rapids and wealth offices in Dallas, Houston, Naples, Arizona and South Carolina. Its segments include Commercial, Consumer, and Wealth. The Commercial segment provides corporate lending, leasing, and international services, along with business and governmental deposit products and commercial cash management services. The Consumer segment consists of various consumer loan and deposit products offered through its retail branch networks.</v>
    <v>USD</v>
    <v>4577</v>
    <v>XNAS</v>
    <v>51.79</v>
    <v>63.185699999999997</v>
    <v>Banking Services</v>
    <v>869</v>
    <v>-1.5759000000000002E-2</v>
    <v>-0.81</v>
    <v>Coml Bancshares</v>
    <v>Coml Bancshares</v>
    <v>51.32</v>
    <v>12.5313</v>
    <v>50.59</v>
    <v>50.59</v>
    <v>1000 Walnut, KANSAS CITY, MO, 64106 US</v>
    <v>Bourse</v>
    <v>Coml Bancshares (XNAS:CBSH)</v>
    <v>2022200</v>
    <v>1247827</v>
  </rv>
  <rv s="2">
    <v>870</v>
  </rv>
  <rv s="0">
    <v>https://www.bing.com/financeapi/forcetrigger?t=a1mqsm&amp;q=XNYS%3aABM&amp;form=skydnc</v>
    <v>Learn more on Bing</v>
  </rv>
  <rv s="7">
    <v>fr-FR</v>
    <v>a1mqsm</v>
    <v>268435456</v>
    <v>1</v>
    <v>Avec Refinitiv</v>
    <v>18</v>
    <v>19</v>
    <v>ABM Industries (XNYS:ABM)</v>
    <v>3</v>
    <v>20</v>
    <v>Finance</v>
    <v>29</v>
    <v>XNYS</v>
    <v>58532820</v>
    <v>1985</v>
    <v>40.07</v>
    <v>36.962000000000003</v>
    <v>0.73429999999999995</v>
    <v>2356531333</v>
    <v>New York Stock Exchange</v>
    <v>0</v>
    <v>0</v>
    <v>40.340000000000003</v>
    <v>ABM</v>
    <v>46133.857926608594</v>
    <v>ABM Industries Inc is a provider of integrated facility, engineering, and infrastructure solutions. The Company’s segments include Business &amp; Industry (B&amp;I), Manufacturing &amp; Distribution (M&amp;D), Education, Aviation, and Technical Solutions. The B&amp;I segment encompasses janitorial, facilities engineering, and parking services for commercial real estate properties, sports and entertainment venues, and other facilities. The M&amp;D segment provides integrated facility services, engineering, janitorial, and other specialized services. The Education segment delivers janitorial, custodial, landscaping and grounds, facilities engineering, and parking services. The Aviation segment supports airlines and airports with services ranging from parking and janitorial to passenger assistance, catering logistics, air cabin maintenance, and transportation. The Technical Solutions segment specializes in facility infrastructure, mechanical and electrical services.</v>
    <v>USD</v>
    <v>113000</v>
    <v>XNYS</v>
    <v>40.82</v>
    <v>52.94</v>
    <v>Professional &amp; Commercial Services</v>
    <v>872</v>
    <v>-1.983E-3</v>
    <v>-0.08</v>
    <v>ABM Industries</v>
    <v>ABM Industries</v>
    <v>40.32</v>
    <v>15.857900000000001</v>
    <v>40.26</v>
    <v>40.26</v>
    <v>One Liberty Plaza, 7Th Floor, NEW YORK, NY, 10006 US</v>
    <v>Bourse</v>
    <v>ABM Industries (XNYS:ABM)</v>
    <v>562525</v>
    <v>622683</v>
  </rv>
  <rv s="2">
    <v>873</v>
  </rv>
  <rv s="0">
    <v>https://www.bing.com/financeapi/forcetrigger?t=a1ock2&amp;q=XNYS%3aBDX&amp;form=skydnc</v>
    <v>Learn more on Bing</v>
  </rv>
  <rv s="7">
    <v>fr-FR</v>
    <v>a1ock2</v>
    <v>268435456</v>
    <v>1</v>
    <v>Avec Refinitiv</v>
    <v>18</v>
    <v>19</v>
    <v>BECTON, DICKINSON AND COMPANY (XNYS:BDX)</v>
    <v>3</v>
    <v>20</v>
    <v>Finance</v>
    <v>21</v>
    <v>XNYS</v>
    <v>284741800</v>
    <v>1906</v>
    <v>156.69</v>
    <v>127.5364</v>
    <v>0.28139999999999998</v>
    <v>44630429732</v>
    <v>New York Stock Exchange</v>
    <v>0</v>
    <v>0</v>
    <v>158.63999999999999</v>
    <v>BDX</v>
    <v>46133.899216654689</v>
    <v>Becton, Dickinson and Company est une entreprise mondiale de technologie médicale. La Société est engagée dans le développement, la fabrication et la vente d'une vaste gamme de fournitures médicales, d'appareils, d'équipements de laboratoire et de produits de diagnostic utilisés par les établissements de santé, les médecins, les chercheurs en sciences de la vie, les laboratoires cliniques, et plus encore. Son segment BD Medical produit une gamme de technologies et de dispositifs médicaux qui sont utilisés pour aider à améliorer la prestation des soins de santé dans une gamme de contextes. Le segment BD Medical comprend diverses unités commerciales, notamment des solutions d'administration de médicaments, des solutions de gestion des médicaments, des systèmes de surveillance avancée et des systèmes pharmaceutiques. Son segment BD Life Sciences fournit des produits pour la collecte et le transport d'échantillons de diagnostic, ainsi que des instruments et des systèmes de réactifs pour détecter une gamme de maladies infectieuses, d'infections associées aux soins de santé et de cancers. Son segment BD interventionnel propose des produits spécialisés en chirurgie vasculaire, urologique, oncologique et chirurgicale.</v>
    <v>USD</v>
    <v>72000</v>
    <v>XNYS</v>
    <v>159.61000000000001</v>
    <v>187.35</v>
    <v>Healthcare Equipment &amp; Supplies</v>
    <v>875</v>
    <v>-1.1977E-2</v>
    <v>-1.9</v>
    <v>BECTON, DICKINSON AND COMPANY</v>
    <v>BECTON, DICKINSON AND COMPANY</v>
    <v>159.6</v>
    <v>25.622399999999999</v>
    <v>156.74</v>
    <v>156.69</v>
    <v>One Becton Drive, FRANKLIN LAKES, NJ, 07417-1880 US</v>
    <v>Bourse</v>
    <v>BECTON, DICKINSON AND COMPANY (XNYS:BDX)</v>
    <v>3214262</v>
    <v>2513473</v>
  </rv>
  <rv s="2">
    <v>876</v>
  </rv>
  <rv s="0">
    <v>https://www.bing.com/financeapi/forcetrigger?t=a1ythw&amp;q=XNYS%3aNUE&amp;form=skydnc</v>
    <v>Learn more on Bing</v>
  </rv>
  <rv s="7">
    <v>fr-FR</v>
    <v>a1ythw</v>
    <v>268435456</v>
    <v>1</v>
    <v>Avec Refinitiv</v>
    <v>18</v>
    <v>19</v>
    <v>NUCOR CORPORATION (XNYS:NUE)</v>
    <v>3</v>
    <v>20</v>
    <v>Finance</v>
    <v>21</v>
    <v>XNYS</v>
    <v>227735600</v>
    <v>1958</v>
    <v>202.66</v>
    <v>105.92010000000001</v>
    <v>1.7949999999999999</v>
    <v>47396333072</v>
    <v>New York Stock Exchange</v>
    <v>0</v>
    <v>0</v>
    <v>202.26</v>
    <v>NUE</v>
    <v>46133.899223147659</v>
    <v>Nucor Corporation est un fabricant d'acier et de produits sidérurgiques qui possède des installations aux États-Unis, au Canada et au Mexique. La Société produit et achète également des matériaux ferreux et non ferreux principalement destinés à ses activités de fabrication d'acier. Ses segments comprennent les aciéries, les produits sidérurgiques et les matières premières. Ses produits comprennent l'acier au carbone et l'acier allié dans les barres, les poutres, la tôle et la plaque ; tubes de section structurelle creuse ; conduit électrique ; rayonnage en acier ; pieux en acier ; solives en acier et poutres de solives ; tablier en acier ; acier d'armature en béton fabriqué ; acier fini à froid ; moulages de précision ; attaches en acier ; systèmes de construction en métal; panneaux métalliques isolés ; portes basculantes ; caillebotis en acier ; fils et treillis métalliques ; et structures de services publics. La Société, par l'intermédiaire de la David J. Joseph Company et de ses filiales, négocie également en métaux ferreux et non ferreux, en fonte brute et en fer briqueté à chaud / fer réduit directement ; fournit des ferro-alliages ; et traite les déchets ferreux et non ferreux.</v>
    <v>USD</v>
    <v>33000</v>
    <v>XNYS</v>
    <v>210.16499999999999</v>
    <v>210.16499999999999</v>
    <v>Metals &amp; Mining</v>
    <v>878</v>
    <v>2.8972999999999999E-2</v>
    <v>5.86</v>
    <v>NUCOR CORPORATION</v>
    <v>NUCOR CORPORATION</v>
    <v>202.66</v>
    <v>27.6248</v>
    <v>208.12</v>
    <v>208.06</v>
    <v>1915 REXFORD RD, CHARLOTTE, NC, 28211 US</v>
    <v>Bourse</v>
    <v>NUCOR CORPORATION (XNYS:NUE)</v>
    <v>1941177</v>
    <v>1407429</v>
  </rv>
  <rv s="2">
    <v>879</v>
  </rv>
  <rv s="0">
    <v>https://www.bing.com/financeapi/forcetrigger?t=ab1sgh&amp;q=XTSE%3aWFG&amp;form=skydnc</v>
    <v>Learn more on Bing</v>
  </rv>
  <rv s="7">
    <v>fr-FR</v>
    <v>ab1sgh</v>
    <v>268435456</v>
    <v>1</v>
    <v>Avec Refinitiv</v>
    <v>18</v>
    <v>19</v>
    <v>West Fraser Timber Co. Ltd. (XTSE:WFG)</v>
    <v>3</v>
    <v>22</v>
    <v>Finance</v>
    <v>5</v>
    <v>XTSE</v>
    <v>78303820</v>
    <v>1954</v>
    <v>89.62</v>
    <v>80.819999999999993</v>
    <v>1.0878000000000001</v>
    <v>7109203817</v>
    <v>Toronto Stock Exchange</v>
    <v>0</v>
    <v>0</v>
    <v>89.61</v>
    <v>WFG</v>
    <v>46133.833333333336</v>
    <v>West Fraser Timber Co. Ltd. est une entreprise canadienne de produits du bois diversifiés. La Société fabrique, vend, commercialise et distribue du bois d'œuvre, des produits de bois d'ingénierie tels que le panneau à copeaux orientés (OSB), le bois de placage laminé (LVL), le panneau de fibres de densité moyenne (MDF), le contreplaqué, le panneau de particules, la pâte à papier, papier journal, copeaux de bois et autres résidus. Ses produits sont utilisés dans la construction, la réparation et le remodelage de maisons, les applications industrielles, le papier et le tissu. Ses segments comprennent le bois d'œuvre, les produits du bois d'ingénierie nord-américains (NA EWP), les pâtes et papiers et l'Europe EWP. Les activités de la Société comprennent des scieries, des installations OSB, des installations de contreplaqué, des installations MDF, des installations de panneaux de particules, installations LVL, installations de placage et usines de pâtes et papiers. La Société exploite environ 58 installations au Canada, aux États-Unis, au Royaume-Uni et en Europe.</v>
    <v>CAD</v>
    <v>9600</v>
    <v>XTSE</v>
    <v>91.59</v>
    <v>108.83</v>
    <v>Paper &amp; Forest Products</v>
    <v>881</v>
    <v>1.3167999999999999E-2</v>
    <v>1.18</v>
    <v>West Fraser Timber Co. Ltd.</v>
    <v>West Fraser Timber Co. Ltd.</v>
    <v>89.68</v>
    <v>0</v>
    <v>90.79</v>
    <v>90.79</v>
    <v>885 West Georgia Street, Suite 1500, VANCOUVER, BC, V6C 3E8 CA</v>
    <v>Bourse</v>
    <v>West Fraser Timber Co. Ltd. (XTSE:WFG)</v>
    <v>134294</v>
    <v>127890</v>
  </rv>
  <rv s="2">
    <v>882</v>
  </rv>
  <rv s="0">
    <v>https://www.bing.com/financeapi/forcetrigger?t=aaza2w&amp;q=XTSE%3aMRU&amp;form=skydnc</v>
    <v>Learn more on Bing</v>
  </rv>
  <rv s="7">
    <v>fr-FR</v>
    <v>aaza2w</v>
    <v>268435456</v>
    <v>1</v>
    <v>Avec Refinitiv</v>
    <v>18</v>
    <v>19</v>
    <v>METRO INC. (XTSE:MRU)</v>
    <v>3</v>
    <v>22</v>
    <v>Finance</v>
    <v>5</v>
    <v>XTSE</v>
    <v>211097100</v>
    <v>1994</v>
    <v>91.81</v>
    <v>89.64</v>
    <v>0.36649999999999999</v>
    <v>19606698648</v>
    <v>Toronto Stock Exchange</v>
    <v>0</v>
    <v>0</v>
    <v>92.2</v>
    <v>MRU</v>
    <v>46133.846759259257</v>
    <v>METRO INC Est une entreprise canadienne qui se spécialise dans l'alimentation et la pharmacie au Québec et en Ontario. En tant que détaillant, franchiseur, distributeur, fabricant et fournisseur de services de commerce électronique, la Société exploite ou dessert un réseau d'environ 995 magasins d'alimentation sous plusieurs bannières, dont Metro, Metro plus, Super C, Food Basics, Adonis et Premiere Moisson, et quelque 640 pharmacies principalement sous les bannières Jean Coutu, Brunet, Metro Pharmacy et Food Basics Pharmacy. Sous le concept de Marche et dépôt, la bannière Super C offre aux consommateurs un accès à une gamme de produits d'épicerie. Food Basics est un magasin de rabais qui offre des produits de qualité à bas prix à des clients à la recherche de valeur partout en Ontario. L'engagement de Brunet est d'offrir aux Québécois des conseils et des services personnalisés en lien avec leur santé. Food Basics Pharmacy est une pharmacie à service complet et offre à ses clients des services professionnels tels que des rappels de santé, la surveillance de la pression artérielle, l'élimination des médicaments et des seringues, et d'autres.</v>
    <v>CAD</v>
    <v>31074</v>
    <v>XTSE</v>
    <v>93.56</v>
    <v>109.2</v>
    <v>Food &amp; Drug Retailing</v>
    <v>884</v>
    <v>7.3750000000000005E-3</v>
    <v>0.68</v>
    <v>METRO INC.</v>
    <v>METRO INC.</v>
    <v>91.81</v>
    <v>20.5167</v>
    <v>92.88</v>
    <v>92.88</v>
    <v>11011 Maurice-Duplessis, MONTREAL, QC, H1C 1V6 CA</v>
    <v>Bourse</v>
    <v>METRO INC. (XTSE:MRU)</v>
    <v>443845</v>
    <v>568900</v>
  </rv>
  <rv s="2">
    <v>885</v>
  </rv>
  <rv s="0">
    <v>https://www.bing.com/financeapi/forcetrigger?t=a25hm7&amp;q=ARCX%3aVOO&amp;form=skydnc</v>
    <v>Learn more on Bing</v>
  </rv>
  <rv s="21">
    <v>fr-FR</v>
    <v>a25hm7</v>
    <v>268435456</v>
    <v>1</v>
    <v>Avec Refinitiv</v>
    <v>59</v>
    <v>60</v>
    <v>Vanguard 500 Idx;ETF (ARCX:VOO)</v>
    <v>8</v>
    <v>61</v>
    <v>Finance</v>
    <v>63</v>
    <v>ARCX</v>
    <v>645.94039999999995</v>
    <v>467.33</v>
    <v>1.0001</v>
    <v>817465796475</v>
    <v>NYSE Arca</v>
    <v>2.4449999999999998</v>
    <v>3.7780000000000001E-3</v>
    <v>651.54</v>
    <v>VOO</v>
    <v>46133.900099999999</v>
    <v>USD</v>
    <v>653.86</v>
    <v>654.88</v>
    <v>887</v>
    <v>-6.5230000000000002E-3</v>
    <v>-4.25</v>
    <v>Vanguard 500 Idx;ETF</v>
    <v>652.94000000000005</v>
    <v>647.29</v>
    <v>649.69500000000005</v>
    <v>2.9999999999999997E-4</v>
    <v>Fonds coté en bourse</v>
    <v>Vanguard 500 Idx;ETF (ARCX:VOO)</v>
    <v>8488461</v>
    <v>10493314</v>
  </rv>
  <rv s="2">
    <v>888</v>
  </rv>
  <rv s="0">
    <v>https://www.bing.com/financeapi/forcetrigger?t=aaxdp2&amp;q=XTSE%3aCCL.B&amp;form=skydnc</v>
    <v>Learn more on Bing</v>
  </rv>
  <rv s="7">
    <v>fr-FR</v>
    <v>aaxdp2</v>
    <v>268435456</v>
    <v>1</v>
    <v>Avec Refinitiv</v>
    <v>18</v>
    <v>19</v>
    <v>CCL INDUSTRIES INC. (XTSE:CCL.B)</v>
    <v>3</v>
    <v>22</v>
    <v>Finance</v>
    <v>5</v>
    <v>XTSE</v>
    <v>172670200</v>
    <v>1992</v>
    <v>86.3</v>
    <v>67.680000000000007</v>
    <v>0.62429999999999997</v>
    <v>14953239319</v>
    <v>Toronto Stock Exchange</v>
    <v>0</v>
    <v>0</v>
    <v>86.51</v>
    <v>CCL.B</v>
    <v>46133.846747685187</v>
    <v>CCL Industries Inc. est une entreprise canadienne qui est principalement impliquée dans la fabrication d'étiquettes, de produits de supports imprimables grand public, de solutions d'étiquettes axées sur la technologie, de substrats polymères pour billets de banque et de films spéciaux. Les segments de la Société comprennent CCL, Avery, Checkpoint et INNOVIA. CCL segment est un convertisseur de matériaux de film extrudé sensibles à la pression et spécialisés pour une gamme d'applications décoratives, pédagogiques, fonctionnelles et de sécurité. Avery segment est un fournisseur d'étiquettes, de supports convertis spécialisés et de solutions logicielles pour les applications d'impression numérique à court tirage pour les entreprises et les consommateurs. Checkpoint segment est un développeur de systèmes technologiques RF et RFID pour les applications de prévention des pertes et de gestion des stocks, y compris les solutions d'étiquetage et d'étiquetage, pour les industries de la vente au détail et de l'habillement dans le monde entier. INNOVIA segment est un producteur de films spéciaux, haute performance, multicouches, conçus pour des applications d'ingénierie de surface, d'emballage et de sécurité.</v>
    <v>CAD</v>
    <v>16400</v>
    <v>XTSE</v>
    <v>87.61</v>
    <v>94.995000000000005</v>
    <v>Containers &amp; Packaging</v>
    <v>890</v>
    <v>1.0399999999999999E-3</v>
    <v>0.09</v>
    <v>CCL INDUSTRIES INC.</v>
    <v>CCL INDUSTRIES INC.</v>
    <v>86.51</v>
    <v>18.975999999999999</v>
    <v>86.6</v>
    <v>86.6</v>
    <v>111 Gordon Baker Road, Suite 801, TORONTO, ON, M2H 3R1 CA</v>
    <v>Bourse</v>
    <v>CCL INDUSTRIES INC. (XTSE:CCL.B)</v>
    <v>273086</v>
    <v>284860</v>
  </rv>
  <rv s="2">
    <v>891</v>
  </rv>
  <rv s="0">
    <v>https://www.bing.com/financeapi/forcetrigger?t=ab1fsm&amp;q=XTSE%3aTIH&amp;form=skydnc</v>
    <v>Learn more on Bing</v>
  </rv>
  <rv s="7">
    <v>fr-FR</v>
    <v>ab1fsm</v>
    <v>268435456</v>
    <v>1</v>
    <v>Avec Refinitiv</v>
    <v>18</v>
    <v>19</v>
    <v>INDUSTRIES TOROMONT LTEE (XTSE:TIH)</v>
    <v>3</v>
    <v>22</v>
    <v>Finance</v>
    <v>5</v>
    <v>XTSE</v>
    <v>81532490</v>
    <v>1997</v>
    <v>205.02</v>
    <v>108.51</v>
    <v>0.97340000000000004</v>
    <v>16744327471</v>
    <v>Toronto Stock Exchange</v>
    <v>0</v>
    <v>0</v>
    <v>207.18</v>
    <v>TIH</v>
    <v>46133.833333333336</v>
    <v>Toromont Industries Ltd. Est une entreprise canadienne qui répond aux besoins d'équipement spécialisé et de soutien aux produits d'une clientèle diversifiée. Ses unités commerciales comprennent Toromont Cat, Toromont Material Handling, SITECH, Battlefield Equipment Rentals-The Cat Rental Store, Jobsite Industrial Rental services et CIMCO. Son segment comprend le groupe Equipment et CIMCO. Le segment Equipment Group comprend une concession Caterpillar par chiffre d'affaires et territoire géographique, couvrant les provinces canadiennes de Terre-Neuve-et-Labrador, de la Nouvelle-Écosse, du Nouveau-Brunswick, de l'Île-du-Prince-Édouard, du Québec, Ontario et Manitoba, en plus de divers territoires du Nunavut. Son entreprise comprend également des activités de location de matériel lourd et une entreprise de manutention de matériaux. Le secteur CIMCO est engagé dans la conception, l'ingénierie, la fabrication et l'installation de systèmes de réfrigération industriels et récréatifs. Elle s'occupe également de la conception et de la fabrication d'enceintes de production et de stockage d'énergie.</v>
    <v>CAD</v>
    <v>7300</v>
    <v>XTSE</v>
    <v>209.29</v>
    <v>215.58</v>
    <v>Machinery, Equipment &amp; Components</v>
    <v>893</v>
    <v>-8.7360000000000007E-3</v>
    <v>-1.81</v>
    <v>INDUSTRIES TOROMONT LTEE</v>
    <v>INDUSTRIES TOROMONT LTEE</v>
    <v>207.5</v>
    <v>34.078299999999999</v>
    <v>205.37</v>
    <v>205.37</v>
    <v>3131 Highway 7 West, P.O. Box 5511, CONCORD, ON, L4K 1B7 CA</v>
    <v>Bourse</v>
    <v>INDUSTRIES TOROMONT LTEE (XTSE:TIH)</v>
    <v>250835</v>
    <v>233850</v>
  </rv>
  <rv s="2">
    <v>894</v>
  </rv>
  <rv s="0">
    <v>https://www.bing.com/financeapi/forcetrigger?t=a24g7w&amp;q=XNYS%3aTR&amp;form=skydnc</v>
    <v>Learn more on Bing</v>
  </rv>
  <rv s="7">
    <v>fr-FR</v>
    <v>a24g7w</v>
    <v>268435456</v>
    <v>1</v>
    <v>Avec Refinitiv</v>
    <v>18</v>
    <v>19</v>
    <v>Tootsie Roll (XNYS:TR)</v>
    <v>3</v>
    <v>20</v>
    <v>Finance</v>
    <v>29</v>
    <v>XNYS</v>
    <v>73923690</v>
    <v>1919</v>
    <v>41.28</v>
    <v>30.2621</v>
    <v>0.45810000000000001</v>
    <v>3098881084</v>
    <v>New York Stock Exchange</v>
    <v>0</v>
    <v>0</v>
    <v>41.73</v>
    <v>TR</v>
    <v>46133.840337175781</v>
    <v>Tootsie Roll Industries, Inc., is engaged in the manufacturing and sale of confectionery products. The Company's products are marketed in a variety of packages designed to be suitable for display and sale in different types of retail outlets. They are sold through food and grocery brokers or directly by the Company itself to customers throughout the United States, Canada and Mexico. Its customers include wholesale distributors of candy, food and groceries, supermarkets, variety stores, dollar stores, chain grocers, drug chains, discount chains, cooperative grocery associations, mass merchandisers, warehouse and membership club stores, and e-commerce merchants. Its products are sold under the registered trademarks, which include TOOTSIE ROLL, TOOTSIE FRUIT ROLLS, TOOTSIE POPS, TOOTSIE MINI POPS, CHILD’S PLAY, CARAMEL APPLE POPS, CHARMS, BLOW-POP, CHARMS MINI POPS, SUGAR DADDY, CELLA’S, DOTS, SUGAR BABIES, ANDES, FLUFFY STUFF, DUBBLE BUBBLE, RAZZLES, CRY BABY, and TUTSI POP (Mexico).</v>
    <v>USD</v>
    <v>2100</v>
    <v>XNYS</v>
    <v>42.2</v>
    <v>45.06</v>
    <v>Food &amp; Tobacco</v>
    <v>896</v>
    <v>4.5529999999999998E-3</v>
    <v>0.19</v>
    <v>Tootsie Roll</v>
    <v>Tootsie Roll</v>
    <v>41.53</v>
    <v>31.4573</v>
    <v>41.92</v>
    <v>41.92</v>
    <v>7401 S CICERO AVE, CHICAGO, IL, 60629 US</v>
    <v>Bourse</v>
    <v>Tootsie Roll (XNYS:TR)</v>
    <v>98985</v>
    <v>128727</v>
  </rv>
  <rv s="2">
    <v>897</v>
  </rv>
  <rv s="0">
    <v>https://www.bing.com/financeapi/forcetrigger?t=a24cjc&amp;q=XNYS%3aTNC&amp;form=skydnc</v>
    <v>Learn more on Bing</v>
  </rv>
  <rv s="7">
    <v>fr-FR</v>
    <v>a24cjc</v>
    <v>268435456</v>
    <v>1</v>
    <v>Avec Refinitiv</v>
    <v>18</v>
    <v>19</v>
    <v>Tennant Company (XNYS:TNC)</v>
    <v>3</v>
    <v>20</v>
    <v>Finance</v>
    <v>29</v>
    <v>XNYS</v>
    <v>18007430</v>
    <v>1909</v>
    <v>78.760000000000005</v>
    <v>60.174999999999997</v>
    <v>1.0688</v>
    <v>1418625335</v>
    <v>New York Stock Exchange</v>
    <v>0</v>
    <v>0</v>
    <v>78.900000000000006</v>
    <v>TNC</v>
    <v>46133.857922997653</v>
    <v>Tennant Company est engagée dans la conception, la fabrication et la commercialisation de solutions. Les produits de la Société comprennent des équipements d'entretien et de nettoyage des sols, des technologies de nettoyage sans détergent et autres technologies de nettoyage durables, des pièces de rechange et des consommables, des services d'entretien et de réparation des équipements et des solutions de gestion des actifs. Ses produits sont utilisés dans les usines et les entrepôts ; Les centres de distribution; Immeubles de bureaux; les lieux publics, tels que les arènes et les stades ; écoles et universités; hôpitaux et cliniques et autres. La Société commercialise ses offres sous différentes marques : Tennant, Nobles, Alfa Uma Empresa Tennant, IRIS, VLX, les marques IPC, les marques Gaomei et Rongen, ainsi que des marques maison. La Société possède des sites de fabrication et opère dans trois zones géographiques, notamment les Amériques, l'Europe, le Moyen-Orient et l'Afrique (EMEA) et l'Asie-Pacifique (APAC).</v>
    <v>USD</v>
    <v>4484</v>
    <v>XNYS</v>
    <v>80.325000000000003</v>
    <v>85.905000000000001</v>
    <v>Machinery, Equipment &amp; Components</v>
    <v>899</v>
    <v>-1.5210000000000002E-3</v>
    <v>-0.12</v>
    <v>Tennant Company</v>
    <v>Tennant Company</v>
    <v>79.59</v>
    <v>33.770600000000002</v>
    <v>78.78</v>
    <v>78.78</v>
    <v>104000 Clean Street, EDEN PRAIRIE, MN, 55344 US</v>
    <v>Bourse</v>
    <v>Tennant Company (XNYS:TNC)</v>
    <v>182982</v>
    <v>289088</v>
  </rv>
  <rv s="2">
    <v>900</v>
  </rv>
  <rv s="0">
    <v>https://www.bing.com/financeapi/forcetrigger?t=a1r8ur&amp;q=XNYS%3aDOV&amp;form=skydnc</v>
    <v>Learn more on Bing</v>
  </rv>
  <rv s="7">
    <v>fr-FR</v>
    <v>a1r8ur</v>
    <v>268435456</v>
    <v>1</v>
    <v>Avec Refinitiv</v>
    <v>18</v>
    <v>19</v>
    <v>DOVER CORPORATION (XNYS:DOV)</v>
    <v>3</v>
    <v>20</v>
    <v>Finance</v>
    <v>21</v>
    <v>XNYS</v>
    <v>134796400</v>
    <v>1947</v>
    <v>219.715</v>
    <v>155.44999999999999</v>
    <v>1.2151000000000001</v>
    <v>29688907100</v>
    <v>New York Stock Exchange</v>
    <v>0</v>
    <v>0</v>
    <v>221.9</v>
    <v>DOV</v>
    <v>46133.899228842187</v>
    <v>Dover Corporation est un fabricant mondial diversifié et fournisseur de solutions. Son segment Engineered Products fournit une gamme d'équipements, de composants, de logiciels, de solutions et de services pour le marché secondaire des véhicules, l'aérospatiale et la défense, entre autres. Son segment énergie propre et ravitaillement fournit des composants, des équipements et des solutions et services logiciels. Elle conçoit, fabrique et fournit également des systèmes de tuyauterie isolés sous vide pour une variété de gaz liquéfiés comme l'azote, l'oxygène, le dioxyde de carbone et d'autres gaz industriels. Son segment Imaging &amp; identification fournit des équipements de marquage et de codage de précision, de traçabilité des produits, de protection de la marque et d'impression textile numérique. Son segment pompes et solutions de process fabrique des pompes spécialisées et des débitmètres, des connecteurs de transfert de fluides, des composants de précision, des instruments et des commandes numériques. Son segment Climate &amp; Sustainability technologies est un fournisseur d'équipements, de composants et de pièces écoénergétiques.</v>
    <v>USD</v>
    <v>24000</v>
    <v>XNYS</v>
    <v>224.10499999999999</v>
    <v>237.54</v>
    <v>Machinery, Equipment &amp; Components</v>
    <v>902</v>
    <v>-7.4360000000000008E-3</v>
    <v>-1.65</v>
    <v>DOVER CORPORATION</v>
    <v>DOVER CORPORATION</v>
    <v>221.77</v>
    <v>27.647400000000001</v>
    <v>220.25</v>
    <v>220.28</v>
    <v>3005 Highland Parkway, Suite 200, DOWNERS GROVE, IL, 60515 US</v>
    <v>Bourse</v>
    <v>DOVER CORPORATION (XNYS:DOV)</v>
    <v>922825</v>
    <v>1055600</v>
  </rv>
  <rv s="2">
    <v>903</v>
  </rv>
  <rv s="0">
    <v>https://www.bing.com/financeapi/forcetrigger?t=a1ydqh&amp;q=XNAS%3aNDSN&amp;form=skydnc</v>
    <v>Learn more on Bing</v>
  </rv>
  <rv s="7">
    <v>fr-FR</v>
    <v>a1ydqh</v>
    <v>268435456</v>
    <v>1</v>
    <v>Avec Refinitiv</v>
    <v>18</v>
    <v>19</v>
    <v>NORDSON CORPORATION (XNAS:NDSN)</v>
    <v>3</v>
    <v>20</v>
    <v>Finance</v>
    <v>21</v>
    <v>XNAS</v>
    <v>55783600</v>
    <v>1935</v>
    <v>282.58</v>
    <v>174.59</v>
    <v>0.99150000000000005</v>
    <v>15771139392</v>
    <v>Nasdaq Stock Market</v>
    <v>0</v>
    <v>0</v>
    <v>283.08</v>
    <v>NDSN</v>
    <v>46133.899237916405</v>
    <v>Nordson Corporation est une société de technologie de précision. La Société conçoit, fabrique et commercialise des produits et des systèmes différenciés utilisés pour la distribution de précision, l'application et le contrôle des adhésifs, revêtements, polymères, mastics, biomatériaux, et autres liquides, pour tester et inspecter la qualité, et pour traiter et durcir les surfaces et divers produits médicaux. Ses segments comprennent les solutions industrielles de précision, les solutions médicales et fluides et les solutions technologiques avancées. Le segment Industrial Precision solutions fournit des technologies de distribution et de traitement des matériaux à divers marchés finaux. Ce segment dessert les marchés des biens de consommation durables, non durables, agricoles et industriels. Le segment solutions médicales et fluides comprend des solutions de gestion des fluides pour les marchés médicaux, industriels de haute technologie et autres marchés finaux diversifiés. Le segment Advanced Technology solutions de la Société intègre ses technologies de produits aux étapes progressives des processus de production d'un client.</v>
    <v>USD</v>
    <v>8200</v>
    <v>XNAS</v>
    <v>287.04000000000002</v>
    <v>305.27999999999997</v>
    <v>Machinery, Equipment &amp; Components</v>
    <v>905</v>
    <v>-1.2720000000000001E-3</v>
    <v>-0.36</v>
    <v>NORDSON CORPORATION</v>
    <v>NORDSON CORPORATION</v>
    <v>283.5</v>
    <v>30.5564</v>
    <v>282.72000000000003</v>
    <v>282.72000000000003</v>
    <v>28601 Clemens Road, WESTLAKE, OH, 44145-4551 US</v>
    <v>Bourse</v>
    <v>NORDSON CORPORATION (XNAS:NDSN)</v>
    <v>517005</v>
    <v>344712</v>
  </rv>
  <rv s="2">
    <v>906</v>
  </rv>
  <rv s="0">
    <v>https://www.bing.com/financeapi/forcetrigger?t=ab1ic7&amp;q=XTSE%3aTRI&amp;form=skydnc</v>
    <v>Learn more on Bing</v>
  </rv>
  <rv s="7">
    <v>fr-FR</v>
    <v>ab1ic7</v>
    <v>268435456</v>
    <v>1</v>
    <v>Avec Refinitiv</v>
    <v>18</v>
    <v>19</v>
    <v>THOMSON REUTERS CORPORATION (XTSE:TRI)</v>
    <v>3</v>
    <v>22</v>
    <v>Finance</v>
    <v>5</v>
    <v>XTSE</v>
    <v>442962400</v>
    <v>2010</v>
    <v>128.34</v>
    <v>109.2</v>
    <v>0.21160000000000001</v>
    <v>58665940256</v>
    <v>Toronto Stock Exchange</v>
    <v>0</v>
    <v>0</v>
    <v>129.68</v>
    <v>TRI</v>
    <v>46133.833333333336</v>
    <v>Thomson Reuters Corporation est une société de contenu et de technologie. Le segment des professionnels du droit sert les cabinets d'avocats et les gouvernements avec des produits de recherche et de flux de travail alimentés par des technologies, y compris l'intelligence artificielle générative (IA). Le segment entreprises sert des entreprises allant des petites entreprises aux multinationales avec une gamme complète de produits axés sur le contenu, alimentés par des technologies, y compris l'IA générative. Le segment professionnels de la fiscalité et de la comptabilité sert les cabinets de fiscalité, d'audit et de comptabilité avec des produits de recherche et de flux de travail alimentés par des technologies, y compris l'IA générative. Le segment nouvelles de Reuters fournit des informations et des données commerciales, financières et mondiales aux médias, aux professionnels et aux consommateurs de nouvelles par le biais de l'agence de presse Reuters, Reuters.com, Reuters Events, Thomson Reuters Products et aux sociétés financières exclusivement par le biais des produits LSEG. Le segment Global Print fournit des informations juridiques et fiscales ainsi que des services d'impression commerciale.</v>
    <v>CAD</v>
    <v>27100</v>
    <v>XTSE</v>
    <v>133.94999999999999</v>
    <v>299.24</v>
    <v>Professional &amp; Commercial Services</v>
    <v>908</v>
    <v>2.1283E-2</v>
    <v>2.76</v>
    <v>THOMSON REUTERS CORPORATION</v>
    <v>THOMSON REUTERS CORPORATION</v>
    <v>129</v>
    <v>29.339700000000001</v>
    <v>132.44</v>
    <v>132.44</v>
    <v>19 Duncan Street, ON, M5H 3H1 CA</v>
    <v>Bourse</v>
    <v>THOMSON REUTERS CORPORATION (XTSE:TRI)</v>
    <v>954076</v>
    <v>659360</v>
  </rv>
  <rv s="2">
    <v>909</v>
  </rv>
  <rv s="0">
    <v>https://www.bing.com/financeapi/forcetrigger?t=a1xym7&amp;q=XNYS%3aMSA&amp;form=skydnc</v>
    <v>Learn more on Bing</v>
  </rv>
  <rv s="7">
    <v>fr-FR</v>
    <v>a1xym7</v>
    <v>268435456</v>
    <v>1</v>
    <v>Avec Refinitiv</v>
    <v>18</v>
    <v>19</v>
    <v>MSA Safety Incorporated (XNYS:MSA)</v>
    <v>3</v>
    <v>20</v>
    <v>Finance</v>
    <v>21</v>
    <v>XNYS</v>
    <v>38793050</v>
    <v>2013</v>
    <v>170.9</v>
    <v>141.52000000000001</v>
    <v>1.0144</v>
    <v>6663094268</v>
    <v>New York Stock Exchange</v>
    <v>0</v>
    <v>0</v>
    <v>173.5</v>
    <v>MSA</v>
    <v>46133.896531631253</v>
    <v>MSA Safety Incorporated fournit des produits, des technologies et des solutions de sécurité avancés. La gamme de produits de la Société est utilisée pour protéger les travailleurs et les infrastructures des installations. Ses catégories de produits sont les services d'incendie, la détection et les équipements de protection individuelle (EPI) industriels. Ses produits pour les services d'incendie comprennent des appareils respiratoires autonomes (ARA), des vêtements de protection et des casques ; ses produits pour la détection comprennent des systèmes fixes de détection de gaz et de flamme et des instruments portables de détection de gaz ; et ses produits pour les EPI industriels comprennent des dispositifs industriels de protection de la tête et de protection contre les chutes. Ses segments comprennent Amériques, International et Corporate. La Société dessert ses marchés à travers les Amériques avec des installations de fabrication aux États-Unis, au Mexique et au Brésil. Le segment International comprend des entreprises en Europe, au moyen-Orient et en Afrique, ainsi que dans la région Asie-Pacifique. Il offre une gamme complète de protection de la tête industrielle et d'accessoires qui comprend la marque de casque V-Gard.</v>
    <v>USD</v>
    <v>5300</v>
    <v>XNYS</v>
    <v>176.01</v>
    <v>208.92</v>
    <v>Professional &amp; Commercial Services</v>
    <v>911</v>
    <v>-1.0029E-2</v>
    <v>-1.74</v>
    <v>MSA Safety Incorporated</v>
    <v>MSA Safety Incorporated</v>
    <v>173.49</v>
    <v>24.2438</v>
    <v>171.76</v>
    <v>171.81</v>
    <v>1000 Cranberry Woods Dr, CRANBERRY TOWNSHIP, PA, 16066 US</v>
    <v>Bourse</v>
    <v>MSA Safety Incorporated (XNYS:MSA)</v>
    <v>143600</v>
    <v>243218</v>
  </rv>
  <rv s="2">
    <v>912</v>
  </rv>
  <rv s="0">
    <v>https://www.bing.com/financeapi/forcetrigger?t=aazuyc&amp;q=XTSE%3aRBA&amp;form=skydnc</v>
    <v>Learn more on Bing</v>
  </rv>
  <rv s="7">
    <v>fr-FR</v>
    <v>aazuyc</v>
    <v>268435456</v>
    <v>1</v>
    <v>Avec Refinitiv</v>
    <v>18</v>
    <v>19</v>
    <v>RB Global, Inc. (XTSE:RBA)</v>
    <v>3</v>
    <v>22</v>
    <v>Finance</v>
    <v>5</v>
    <v>XTSE</v>
    <v>185924900</v>
    <v>1997</v>
    <v>141.55000000000001</v>
    <v>129.44</v>
    <v>0.1145</v>
    <v>26377165563</v>
    <v>Toronto Stock Exchange</v>
    <v>0</v>
    <v>0</v>
    <v>142.62</v>
    <v>RBA</v>
    <v>46133.833333333336</v>
    <v>RB Global, Inc. est un marché omnicanal qui fournit des informations, des services et des solutions de transaction à valeur ajoutée pour les acheteurs et les vendeurs d'actifs commerciaux et de véhicules dans le monde entier. Grâce à son réseau mondial de sites de vente aux enchères et à sa plate-forme numérique, la Société sert des clients dans le monde entier dans une variété de classes d'actifs, y compris l'automobile, la construction, le transport commercial, les surplus gouvernementaux, levage et manutention, énergie, exploitation minière et agriculture. Les solutions de marché de bout en bout de la société comprennent Ritchie Bros, IAA, Rouse services, SmartEquip et VeriTread. Rouse services fournit un système complet de gestion des actifs de bout en bout, d'intelligence basée sur les données et d'analyse comparative des performances. SmartEquip est une plate-forme technologique qui soutient la gestion du cycle de vie des équipements par les clients et intègre l'approvisionnement en pièces à la fois chez les fabricants d'équipements d'origine et les concessionnaires. VeriTread est une place de marché en ligne pour le transport lourd.</v>
    <v>CAD</v>
    <v>8000</v>
    <v>XTSE</v>
    <v>143.96</v>
    <v>164.85</v>
    <v>Professional &amp; Commercial Services</v>
    <v>914</v>
    <v>-5.2590000000000007E-3</v>
    <v>-0.75</v>
    <v>RB Global, Inc.</v>
    <v>RB Global, Inc.</v>
    <v>142.80000000000001</v>
    <v>50.600499999999997</v>
    <v>141.87</v>
    <v>141.87</v>
    <v>Two Westbrook Corporate Center, Suite 500, WESTCHESTER, IL, 60154 US</v>
    <v>Bourse</v>
    <v>RB Global, Inc. (XTSE:RBA)</v>
    <v>159113</v>
    <v>208720</v>
  </rv>
  <rv s="2">
    <v>915</v>
  </rv>
  <rv s="0">
    <v>https://www.bing.com/financeapi/forcetrigger?t=a1thpr&amp;q=XNYS%3aFUL&amp;form=skydnc</v>
    <v>Learn more on Bing</v>
  </rv>
  <rv s="7">
    <v>fr-FR</v>
    <v>a1thpr</v>
    <v>268435456</v>
    <v>1</v>
    <v>Avec Refinitiv</v>
    <v>18</v>
    <v>19</v>
    <v>H.B. Fuller Co (XNYS:FUL)</v>
    <v>3</v>
    <v>20</v>
    <v>Finance</v>
    <v>29</v>
    <v>XNYS</v>
    <v>54487290</v>
    <v>1915</v>
    <v>62.6</v>
    <v>48.71</v>
    <v>1.016</v>
    <v>3444141600</v>
    <v>New York Stock Exchange</v>
    <v>0</v>
    <v>0</v>
    <v>64.86</v>
    <v>FUL</v>
    <v>46133.847223066405</v>
    <v>H.B. Fuller Company is a pureplay adhesives company. It operates as a formulator, manufacturer and marketer of adhesives, sealants and other specialty chemical products. Its Hygiene, Health and Consumable Adhesives segment manufactures and supplies adhesive products in the assembly, packaging, converting, nonwoven and hygiene, health and beauty, graphic arts and envelope markets. Its Engineering Adhesives segment produces and supplies industrial adhesives, such as reactive, light cure, two-part liquids, polyurethane, silicone, film and fast cure products. The Company's Construction Adhesives segment manufactures and provides specialty adhesives, sealants, mortars, grouts, and application devices for commercial building roofing systems, heavy infrastructure projects, road/highway/airport transportation applications, building envelope applications, heating, ventilation, and air conditioning (HVAC) insulation systems for both residential and commercial flooring underlayment solutions.</v>
    <v>USD</v>
    <v>7100</v>
    <v>XNYS</v>
    <v>65.45</v>
    <v>68.63</v>
    <v>Chemicals</v>
    <v>917</v>
    <v>-2.5439E-2</v>
    <v>-1.65</v>
    <v>H.B. Fuller Co</v>
    <v>H.B. Fuller Co</v>
    <v>64.900000000000006</v>
    <v>22.9604</v>
    <v>63.21</v>
    <v>63.21</v>
    <v>1200 Willow Lake Boulevard, P.O. Box 64683, SAINT PAUL, MN, 55164-0683 US</v>
    <v>Bourse</v>
    <v>H.B. Fuller Co (XNYS:FUL)</v>
    <v>589006</v>
    <v>748251</v>
  </rv>
  <rv s="2">
    <v>918</v>
  </rv>
  <rv s="0">
    <v>https://www.bing.com/financeapi/forcetrigger?t=a1ztzr&amp;q=XNYS%3aPH&amp;form=skydnc</v>
    <v>Learn more on Bing</v>
  </rv>
  <rv s="7">
    <v>fr-FR</v>
    <v>a1ztzr</v>
    <v>268435456</v>
    <v>1</v>
    <v>Avec Refinitiv</v>
    <v>18</v>
    <v>19</v>
    <v>PARKER-HANNIFIN CORPORATION (XNYS:PH)</v>
    <v>3</v>
    <v>20</v>
    <v>Finance</v>
    <v>21</v>
    <v>XNYS</v>
    <v>126216500</v>
    <v>1938</v>
    <v>964.8</v>
    <v>538.08000000000004</v>
    <v>1.2742</v>
    <v>122851568110</v>
    <v>New York Stock Exchange</v>
    <v>0</v>
    <v>0</v>
    <v>996.44</v>
    <v>PH</v>
    <v>46133.899230856252</v>
    <v>Parker-Hannifin Corporation est spécialisée dans les technologies de mouvement et de contrôle. La société conçoit, fabrique et fournit un support après-vente pour des solutions hautement techniques. Ses segments comprennent les systèmes industriels et aérospatiaux diversifiés. Le segment industriel diversifié, qui est un regroupement de plusieurs unités commerciales, vend des produits différenciés hautement techniques aux fabricants d'équipement d'origine (OEM) et aux distributeurs qui desservent les marchés de remplacement du marché secondaire. Ce segment dessert divers marchés, y compris l'aérospatiale et la défense, les équipements hors route, les équipements industriels et en usine, l'énergie, les transports et les systèmes de CVC et de réfrigération. Aerospace Systems segment vend des composants et des systèmes de cellule et de moteur hautement sophistiqués et différenciés aux équipementiers et des pièces de rechange et de maintenance directement aux utilisateurs finaux, principalement dans les marchés verticaux de l'aérospatiale commerciale et de la défense. Ses produits comprennent le contrôle actif et passif des vibrations, l'avionique, les systèmes de contrôle de vol et d'autres.</v>
    <v>USD</v>
    <v>57950</v>
    <v>XNYS</v>
    <v>1001.28</v>
    <v>1034.96</v>
    <v>Machinery, Equipment &amp; Components</v>
    <v>920</v>
    <v>-2.3182999999999999E-2</v>
    <v>-23.1</v>
    <v>PARKER-HANNIFIN CORPORATION</v>
    <v>PARKER-HANNIFIN CORPORATION</v>
    <v>998.63</v>
    <v>35.500799999999998</v>
    <v>973.34</v>
    <v>972.69</v>
    <v>6035 Parkland Boulevard, CLEVELAND, OH, 44124-4141 US</v>
    <v>Bourse</v>
    <v>PARKER-HANNIFIN CORPORATION (XNYS:PH)</v>
    <v>576311</v>
    <v>688683</v>
  </rv>
  <rv s="2">
    <v>921</v>
  </rv>
  <rv s="0">
    <v>https://www.bing.com/financeapi/forcetrigger?t=ab1f2w&amp;q=XTSE%3aTFII&amp;form=skydnc</v>
    <v>Learn more on Bing</v>
  </rv>
  <rv s="7">
    <v>fr-FR</v>
    <v>ab1f2w</v>
    <v>268435456</v>
    <v>1</v>
    <v>Avec Refinitiv</v>
    <v>18</v>
    <v>19</v>
    <v>TFI International Inc. (XTSE:TFII)</v>
    <v>3</v>
    <v>22</v>
    <v>Finance</v>
    <v>5</v>
    <v>XTSE</v>
    <v>82186030</v>
    <v>2008</v>
    <v>183.18</v>
    <v>103.29</v>
    <v>1.4592000000000001</v>
    <v>15200306248</v>
    <v>Toronto Stock Exchange</v>
    <v>0</v>
    <v>0</v>
    <v>185.52</v>
    <v>TFII</v>
    <v>46133.833333333336</v>
    <v>TFI International Inc est une entreprise canadienne de transport et de logistique. La Société exerce ses activités aux États-Unis, au Canada et au Mexique par l'intermédiaire de ses filiales. Les segments de la société comprennent les chargements inférieurs (LTL), les chargements par camion (TL) et la logistique. Le segment des charges inférieures à un chargement par camion permet le ramassage, le regroupement, le transport et la livraison de charges plus petites. Le segment Truckload fournit des chargements complets transportés directement du client à la destination à l'aide d'une fourgonnette fermée ou d'un équipement spécialisé pour répondre aux besoins spécifiques des clients. Le segment TL comprend le transport accéléré, le plateau, le conteneur-citerne et les services dédiés ainsi que le courtage TL. Le segment logistique offre une large gamme de services logistiques légers, y compris le courtage, l'expédition de fret et la gestion du transport, ainsi que la livraison de petits colis.</v>
    <v>CAD</v>
    <v>25875</v>
    <v>XTSE</v>
    <v>189.13</v>
    <v>189.13</v>
    <v>Freight &amp; Logistics Services</v>
    <v>923</v>
    <v>-3.0719999999999996E-3</v>
    <v>-0.56999999999999995</v>
    <v>TFI International Inc.</v>
    <v>TFI International Inc.</v>
    <v>185.41</v>
    <v>36.159399999999998</v>
    <v>184.95</v>
    <v>184.95</v>
    <v>8801 Rte Transcanadienne Suite 500, SAINT-LAURENT, QC, H4S 1Z6 CA</v>
    <v>Bourse</v>
    <v>TFI International Inc. (XTSE:TFII)</v>
    <v>204304</v>
    <v>226400</v>
  </rv>
  <rv s="2">
    <v>924</v>
  </rv>
  <rv s="0">
    <v>https://www.bing.com/financeapi/forcetrigger?t=a1udz2&amp;q=XNYS%3aGWW&amp;form=skydnc</v>
    <v>Learn more on Bing</v>
  </rv>
  <rv s="7">
    <v>fr-FR</v>
    <v>a1udz2</v>
    <v>268435456</v>
    <v>1</v>
    <v>Avec Refinitiv</v>
    <v>18</v>
    <v>19</v>
    <v>W.W. GRAINGER, INC. (XNYS:GWW)</v>
    <v>3</v>
    <v>20</v>
    <v>Finance</v>
    <v>21</v>
    <v>XNYS</v>
    <v>47329990</v>
    <v>1928</v>
    <v>1160.0899999999999</v>
    <v>906.52</v>
    <v>1.0602</v>
    <v>55420105190</v>
    <v>New York Stock Exchange</v>
    <v>0</v>
    <v>0</v>
    <v>1163.0999999999999</v>
    <v>GWW</v>
    <v>46133.899232916403</v>
    <v>W.W. Grainger, Inc. est un distributeur broadline de produits d'entretien, de réparation et d'exploitation (MRO) au service des entreprises et des institutions. Les segments de la société comprennent High-Touch solutions North America (High-Touch solutions N.A.) et Endless Assortissement. Le segment High-Touch solutions N.A. de la société fournit des solutions MRO à valeur ajoutée. Ce segment comprend principalement les activités de marque Grainger aux États-Unis, au Canada, au Mexique et à Porto Rico. Le segment des assortiments sans fin de la société fournit une plateforme en ligne avec un guichet unique pour divers produits. Le segment des assortiments sans fin comprend les canaux en ligne de la société Zoro Tools, Inc (Zoro) et MonotaRO Co., Ltd. (MonotaRO) qui opèrent principalement aux États-Unis et au Japon. L'offre de produits de la Société est regroupée en plusieurs grandes catégories, dont la sûreté et la sécurité, la manutention et l'entreposage des matériaux, les pompes et l'équipement de plomberie, le nettoyage et l'entretien, le travail des métaux et les outils à main.</v>
    <v>USD</v>
    <v>22100</v>
    <v>XNYS</v>
    <v>1176.48</v>
    <v>1218.6300000000001</v>
    <v>Machinery, Equipment &amp; Components</v>
    <v>926</v>
    <v>6.7320000000000001E-3</v>
    <v>7.83</v>
    <v>W.W. GRAINGER, INC.</v>
    <v>W.W. GRAINGER, INC.</v>
    <v>1162.81</v>
    <v>32.955399999999997</v>
    <v>1170.93</v>
    <v>1171.03</v>
    <v>100 Grainger Parkway, LAKE FOREST, IL, 60045-5201 US</v>
    <v>Bourse</v>
    <v>W.W. GRAINGER, INC. (XNYS:GWW)</v>
    <v>180943</v>
    <v>239074</v>
  </rv>
  <rv s="2">
    <v>927</v>
  </rv>
  <rv s="0">
    <v>https://www.bing.com/financeapi/forcetrigger?t=aaxl52&amp;q=XTSE%3aCP&amp;form=skydnc</v>
    <v>Learn more on Bing</v>
  </rv>
  <rv s="7">
    <v>fr-FR</v>
    <v>aaxl52</v>
    <v>268435456</v>
    <v>1</v>
    <v>Avec Refinitiv</v>
    <v>18</v>
    <v>19</v>
    <v>Canadien Pacifique Kansas City Limitée (XTSE:CP)</v>
    <v>3</v>
    <v>22</v>
    <v>Finance</v>
    <v>5</v>
    <v>XTSE</v>
    <v>897303700</v>
    <v>2001</v>
    <v>111.63</v>
    <v>96.5</v>
    <v>1.1837</v>
    <v>101206884323</v>
    <v>Toronto Stock Exchange</v>
    <v>0</v>
    <v>0</v>
    <v>111.54</v>
    <v>CP</v>
    <v>46133.833333333336</v>
    <v>Le canadien Pacifique Kansas City Limited (CPKC) est un chemin de fer transnational à ligne unique reliant le Canada, les États-Unis et le Mexique, avec un accès inégalé aux principaux ports de Vancouver au Canada atlantique, à la côte du golfe du Mexique et à Lazaro Cardenas, au Mexique. La Société exploite plus de 20 000 milles de route et offre à ses clients nord-américains un service ferroviaire et une portée de réseau inégalés sur les marchés clés du continent. Elle offre des solutions intégrées de transport de marchandises, de logistique et de chaîne d'approvisionnement partout en Amérique du Nord. Son réseau soutient le mouvement des marchandises en vrac, du fret intermodal et des marchandises. Elle offre une gamme de services de transport de marchandises, de solutions logistiques et d'expertise en chaîne d'approvisionnement. Elle dessert des secteurs tels que les céréales (Canada et États-Unis), l'automobile, les produits intermodaux, forestiers et industriels, l'énergie, les produits chimiques, les plastiques et le transbordement. Le réseau relie également les usines d'assemblage automobile, les fournisseurs de pièces détachées et les centres de distribution, soutenant la chaîne d'approvisionnement automobile.</v>
    <v>CAD</v>
    <v>19967</v>
    <v>XTSE</v>
    <v>113.01</v>
    <v>122.25</v>
    <v>Freight &amp; Logistics Services</v>
    <v>929</v>
    <v>1.1207E-2</v>
    <v>1.25</v>
    <v>Canadien Pacifique Kansas City Limitée</v>
    <v>Canadien Pacifique Kansas City Limitée</v>
    <v>111.64</v>
    <v>24.9711</v>
    <v>112.79</v>
    <v>112.79</v>
    <v>7550 OGDEN DALE ROAD S.E., CALGARY, AB, T2C 4X9 CA</v>
    <v>Bourse</v>
    <v>Canadien Pacifique Kansas City Limitée (XTSE:CP)</v>
    <v>1166243</v>
    <v>1162800</v>
  </rv>
  <rv s="2">
    <v>930</v>
  </rv>
  <rv s="0">
    <v>https://www.bing.com/financeapi/forcetrigger?t=aawuw7&amp;q=XTSE%3aATD&amp;form=skydnc</v>
    <v>Learn more on Bing</v>
  </rv>
  <rv s="7">
    <v>fr-FR</v>
    <v>aawuw7</v>
    <v>268435456</v>
    <v>1</v>
    <v>Avec Refinitiv</v>
    <v>18</v>
    <v>19</v>
    <v>ALIMENTATION COUCHE-TARD INC. (XTSE:ATD)</v>
    <v>3</v>
    <v>22</v>
    <v>Finance</v>
    <v>5</v>
    <v>XTSE</v>
    <v>918230100</v>
    <v>1994</v>
    <v>79.08</v>
    <v>66.930000000000007</v>
    <v>0.75490000000000002</v>
    <v>72953381445</v>
    <v>Toronto Stock Exchange</v>
    <v>0</v>
    <v>0</v>
    <v>79.28</v>
    <v>ATD</v>
    <v>46133.846736111111</v>
    <v>Alimentation couche-tard Inc. est engagée dans la commodité et la mobilité, opérant dans 29 pays et territoires, avec plus de 17 000 magasins, dont près de 13 000 offrent du carburant pour le transport routier. Avec ses bannières couche-tard et Circle K bien connues, elle est un exploitant indépendant de dépanneurs aux États-Unis et elle est engagée dans l'industrie des dépanneurs et la vente au détail de carburant pour le transport routier au Canada, en Scandinavie, dans les pays baltes, ainsi qu'en Irlande. Elle est également présente en Pologne et dans la région administrative spéciale de Hong Kong de la République populaire de Chine et s'est étendue à la Belgique, à l'Allemagne, au Luxembourg et aux pays-Bas. Son réseau nord-américain comprend 17 unités d'affaires, dont 14 aux États-Unis, couvrant 47 états et trois au Canada, couvrant les 10 provinces. La Société exploite sa chaîne de dépanneurs sous diverses bannières, dont Circle K, couche-tard, Holiday, GetGo et Ingo.</v>
    <v>CAD</v>
    <v>146000</v>
    <v>XTSE</v>
    <v>80.36</v>
    <v>85.59</v>
    <v>Oil &amp; Gas</v>
    <v>932</v>
    <v>2.1440000000000001E-3</v>
    <v>0.17</v>
    <v>ALIMENTATION COUCHE-TARD INC.</v>
    <v>ALIMENTATION COUCHE-TARD INC.</v>
    <v>79.239999999999995</v>
    <v>20.148299999999999</v>
    <v>79.45</v>
    <v>79.45</v>
    <v>c/o Customer Relations 4204 Industrial Blvd, LAVAL, QC, H7L 0E3 CA</v>
    <v>Bourse</v>
    <v>ALIMENTATION COUCHE-TARD INC. (XTSE:ATD)</v>
    <v>1404048</v>
    <v>1053480</v>
  </rv>
  <rv s="2">
    <v>933</v>
  </rv>
  <rv s="0">
    <v>https://www.bing.com/financeapi/forcetrigger?t=ab1b2w&amp;q=XTSE%3aSTN&amp;form=skydnc</v>
    <v>Learn more on Bing</v>
  </rv>
  <rv s="7">
    <v>fr-FR</v>
    <v>ab1b2w</v>
    <v>268435456</v>
    <v>1</v>
    <v>Avec Refinitiv</v>
    <v>18</v>
    <v>19</v>
    <v>Stantec Inc. (XTSE:STN)</v>
    <v>3</v>
    <v>22</v>
    <v>Finance</v>
    <v>5</v>
    <v>XTSE</v>
    <v>114067000</v>
    <v>1994</v>
    <v>122.87</v>
    <v>114.84</v>
    <v>0.72350000000000003</v>
    <v>14088415170</v>
    <v>Toronto Stock Exchange</v>
    <v>0</v>
    <v>0</v>
    <v>125.78</v>
    <v>STN</v>
    <v>46133.833333333336</v>
    <v>Stantec Inc. est une entreprise canadienne qui offre des services de conseil en ingénierie durable, en architecture et en environnement. La Société est concepteur, ingénieur, scientifique, gestionnaire de projet et conseiller stratégique. Son expertise comprend les bâtiments ; le développement communautaire ; l'énergie ; l'environnement ; le gouvernement fédéral; exploitation minière, minéraux et métaux ; transport ; eau, gestion des programmes et de la construction. Ses unités opérationnelles comprennent les infrastructures, l'eau, les services environnementaux, les bâtiments et l'énergie et les ressources. Ses services comprennent l'ingénierie, l'architecture, le design d'intérieur, l'architecture paysagère, l'arpentage, sciences de l'environnement, gestion de projet et économie de projet, de la conception et de la planification initiales du projet jusqu'à la conception, l'administration de la construction, la mise en service, l'entretien, le déclassement, et remédiation. Il fournit une gamme de services de permis, de conservation, de restauration des écosystèmes, de sciences de la santé et de stratégie ESG. Ses segments sont le Canada, les États-Unis et Global.</v>
    <v>CAD</v>
    <v>34000</v>
    <v>XTSE</v>
    <v>125.91</v>
    <v>160.05000000000001</v>
    <v>Construction &amp; Engineering</v>
    <v>935</v>
    <v>-1.8047000000000001E-2</v>
    <v>-2.27</v>
    <v>Stantec Inc.</v>
    <v>Stantec Inc.</v>
    <v>125.86</v>
    <v>29.387599999999999</v>
    <v>123.51</v>
    <v>123.51</v>
    <v>300 10220 103 Avenue Nw, Edmonton Alberta T5j 0K4, EDMONTON, AB CA</v>
    <v>Bourse</v>
    <v>Stantec Inc. (XTSE:STN)</v>
    <v>383535</v>
    <v>425940</v>
  </rv>
  <rv s="2">
    <v>936</v>
  </rv>
  <rv s="0">
    <v>https://www.bing.com/financeapi/forcetrigger?t=aayb1h&amp;q=XTSE%3aFSV&amp;form=skydnc</v>
    <v>Learn more on Bing</v>
  </rv>
  <rv s="7">
    <v>fr-FR</v>
    <v>aayb1h</v>
    <v>268435456</v>
    <v>1</v>
    <v>Avec Refinitiv</v>
    <v>18</v>
    <v>19</v>
    <v>FIRSTSERVICE CORPORATION (XTSE:FSV)</v>
    <v>3</v>
    <v>22</v>
    <v>Finance</v>
    <v>5</v>
    <v>XTSE</v>
    <v>45981760</v>
    <v>2014</v>
    <v>200.29</v>
    <v>182.98</v>
    <v>0.95140000000000002</v>
    <v>9225320508</v>
    <v>Toronto Stock Exchange</v>
    <v>0</v>
    <v>0</v>
    <v>204.72</v>
    <v>FSV</v>
    <v>46133.833333333336</v>
    <v>FirstService Corporation est un fournisseur de services de gestion de propriétés résidentielles et d'autres services immobiliers essentiels aux clients résidentiels et commerciaux. Ses segments comprennent les marques FirstService Residential et FirstService. FirstService Residential est un gestionnaire immobilier à service complet et, dans de nombreux marchés, fournit une gamme complète de services auxiliaires principalement dans les domaines suivants : personnel sur place, y compris ingénierie et entretien du bâtiment, gestion des commodités à service complet, sécurité, conciergerie et personnel de réception, produits bancaires et d'assurance exclusifs, et solutions de conservation et de gestion de l'énergie. FirstService Brands offre une gamme de services immobiliers essentiels à des clients résidentiels et commerciaux en Amérique du Nord par le biais de ses propres emplacements et réseaux de franchises. Ses principales marques comprennent First Onsite Property Restoration, Paul Davis Restoration, Roofing Corp of America, Century Fire protection, California Closets, CertaPro Painters et Pillar to Post Home Inspectors.</v>
    <v>CAD</v>
    <v>31000</v>
    <v>XTSE</v>
    <v>206.04</v>
    <v>290.33999999999997</v>
    <v>Real Estate Operations</v>
    <v>938</v>
    <v>-1.9979E-2</v>
    <v>-4.09</v>
    <v>FIRSTSERVICE CORPORATION</v>
    <v>FIRSTSERVICE CORPORATION</v>
    <v>204.95</v>
    <v>46.165399999999998</v>
    <v>200.63</v>
    <v>200.63</v>
    <v>1255 Bay Street, Suite 600, TORONTO, ON, M5R 2A9 CA</v>
    <v>Bourse</v>
    <v>FIRSTSERVICE CORPORATION (XTSE:FSV)</v>
    <v>90337</v>
    <v>83660</v>
  </rv>
  <rv s="2">
    <v>939</v>
  </rv>
  <rv s="0">
    <v>https://www.bing.com/financeapi/forcetrigger?t=aaxtur&amp;q=XTSE%3aDOL&amp;form=skydnc</v>
    <v>Learn more on Bing</v>
  </rv>
  <rv s="7">
    <v>fr-FR</v>
    <v>aaxtur</v>
    <v>268435456</v>
    <v>1</v>
    <v>Avec Refinitiv</v>
    <v>18</v>
    <v>19</v>
    <v>DOLLARAMA INC. (XTSE:DOL)</v>
    <v>3</v>
    <v>22</v>
    <v>Finance</v>
    <v>5</v>
    <v>XTSE</v>
    <v>272753600</v>
    <v>2009</v>
    <v>171.48</v>
    <v>160.38999999999999</v>
    <v>0.36830000000000002</v>
    <v>46812700368</v>
    <v>Toronto Stock Exchange</v>
    <v>0</v>
    <v>0</v>
    <v>175.31</v>
    <v>DOL</v>
    <v>46133.846747685187</v>
    <v>Dollarama Inc. est un détaillant de valeur établi au Canada qui offre un assortiment de produits consommables, de marchandises générales et d'articles saisonniers en magasin et en ligne. Avec des magasins dans toutes les provinces canadiennes et dans deux territoires, ses quelque 1 638 emplacements à travers le Canada offrent à ses clients une valeur attrayante dans des endroits pratiques, y compris les régions métropolitaines, les villes moyennes et les petites villes. Sa marchandise est vendue à des prix fixes sélectionnés jusqu'à concurrence de 5,00 $. Elle détient également une participation de 60 % dans Central American Retail Sourcing, Inc. (CARS), la société mère des entités exploitant Dollarcity, un détaillant de valeur latino-américain. Dollarcity offre un assortiment de produits consommables, de marchandises générales et d'articles saisonniers à des prix fixes sélectionnés jusqu'à concurrence de 4,00 $ US (ou l'équivalent en devise locale) dans environ 644 magasins bien situés en Colombie, au Guatemala, au Salvador et au Pérou. La Société exploite également des magasins de détaillants à prix réduits sous la marque Reject Shop en Australie.</v>
    <v>CAD</v>
    <v>10175</v>
    <v>XTSE</v>
    <v>174.76</v>
    <v>209.96</v>
    <v>Diversified Retail</v>
    <v>941</v>
    <v>-2.0990999999999999E-2</v>
    <v>-3.68</v>
    <v>DOLLARAMA INC.</v>
    <v>DOLLARAMA INC.</v>
    <v>174.75</v>
    <v>36.2502</v>
    <v>171.63</v>
    <v>171.63</v>
    <v>5805 Royalmount Ave, MONT-ROYAL, QC, H4P 0A1 CA</v>
    <v>Bourse</v>
    <v>DOLLARAMA INC. (XTSE:DOL)</v>
    <v>915954</v>
    <v>797640</v>
  </rv>
  <rv s="2">
    <v>942</v>
  </rv>
  <rv s="5">
    <fb>45768</fb>
    <v>66</v>
  </rv>
  <rv s="5">
    <fb>45769</fb>
    <v>66</v>
  </rv>
  <rv s="5">
    <fb>45770</fb>
    <v>66</v>
  </rv>
  <rv s="5">
    <fb>45771</fb>
    <v>66</v>
  </rv>
  <rv s="5">
    <fb>45772</fb>
    <v>66</v>
  </rv>
  <rv s="5">
    <fb>45775</fb>
    <v>66</v>
  </rv>
  <rv s="5">
    <fb>45776</fb>
    <v>66</v>
  </rv>
  <rv s="5">
    <fb>45777</fb>
    <v>66</v>
  </rv>
  <rv s="5">
    <fb>45778</fb>
    <v>66</v>
  </rv>
  <rv s="5">
    <fb>45779</fb>
    <v>66</v>
  </rv>
  <rv s="5">
    <fb>45782</fb>
    <v>66</v>
  </rv>
  <rv s="5">
    <fb>45783</fb>
    <v>66</v>
  </rv>
  <rv s="5">
    <fb>45784</fb>
    <v>66</v>
  </rv>
  <rv s="5">
    <fb>45785</fb>
    <v>66</v>
  </rv>
  <rv s="5">
    <fb>45786</fb>
    <v>66</v>
  </rv>
  <rv s="5">
    <fb>45789</fb>
    <v>66</v>
  </rv>
  <rv s="5">
    <fb>45790</fb>
    <v>66</v>
  </rv>
  <rv s="5">
    <fb>45791</fb>
    <v>66</v>
  </rv>
  <rv s="5">
    <fb>45792</fb>
    <v>66</v>
  </rv>
  <rv s="5">
    <fb>45793</fb>
    <v>66</v>
  </rv>
  <rv s="5">
    <fb>45797</fb>
    <v>66</v>
  </rv>
  <rv s="5">
    <fb>45798</fb>
    <v>66</v>
  </rv>
  <rv s="5">
    <fb>45799</fb>
    <v>66</v>
  </rv>
  <rv s="5">
    <fb>45800</fb>
    <v>66</v>
  </rv>
  <rv s="5">
    <fb>45803</fb>
    <v>66</v>
  </rv>
  <rv s="5">
    <fb>45804</fb>
    <v>66</v>
  </rv>
  <rv s="5">
    <fb>45805</fb>
    <v>66</v>
  </rv>
  <rv s="5">
    <fb>45806</fb>
    <v>66</v>
  </rv>
  <rv s="5">
    <fb>45807</fb>
    <v>66</v>
  </rv>
  <rv s="5">
    <fb>45810</fb>
    <v>66</v>
  </rv>
  <rv s="5">
    <fb>45811</fb>
    <v>66</v>
  </rv>
  <rv s="5">
    <fb>45812</fb>
    <v>66</v>
  </rv>
  <rv s="5">
    <fb>45813</fb>
    <v>66</v>
  </rv>
  <rv s="5">
    <fb>45814</fb>
    <v>66</v>
  </rv>
  <rv s="5">
    <fb>45817</fb>
    <v>66</v>
  </rv>
  <rv s="5">
    <fb>45818</fb>
    <v>66</v>
  </rv>
  <rv s="5">
    <fb>45819</fb>
    <v>66</v>
  </rv>
  <rv s="5">
    <fb>45820</fb>
    <v>66</v>
  </rv>
  <rv s="5">
    <fb>45821</fb>
    <v>66</v>
  </rv>
  <rv s="5">
    <fb>45824</fb>
    <v>66</v>
  </rv>
  <rv s="5">
    <fb>45825</fb>
    <v>66</v>
  </rv>
  <rv s="5">
    <fb>45826</fb>
    <v>66</v>
  </rv>
  <rv s="5">
    <fb>45827</fb>
    <v>66</v>
  </rv>
  <rv s="5">
    <fb>45828</fb>
    <v>66</v>
  </rv>
  <rv s="5">
    <fb>45831</fb>
    <v>66</v>
  </rv>
  <rv s="5">
    <fb>45832</fb>
    <v>66</v>
  </rv>
  <rv s="5">
    <fb>45833</fb>
    <v>66</v>
  </rv>
  <rv s="5">
    <fb>45834</fb>
    <v>66</v>
  </rv>
  <rv s="5">
    <fb>45835</fb>
    <v>66</v>
  </rv>
  <rv s="5">
    <fb>45838</fb>
    <v>66</v>
  </rv>
  <rv s="5">
    <fb>45840</fb>
    <v>66</v>
  </rv>
  <rv s="5">
    <fb>45841</fb>
    <v>66</v>
  </rv>
  <rv s="5">
    <fb>45842</fb>
    <v>66</v>
  </rv>
  <rv s="5">
    <fb>45845</fb>
    <v>66</v>
  </rv>
  <rv s="5">
    <fb>45846</fb>
    <v>66</v>
  </rv>
  <rv s="5">
    <fb>45847</fb>
    <v>66</v>
  </rv>
  <rv s="5">
    <fb>45848</fb>
    <v>66</v>
  </rv>
  <rv s="5">
    <fb>45849</fb>
    <v>66</v>
  </rv>
  <rv s="5">
    <fb>45852</fb>
    <v>66</v>
  </rv>
  <rv s="5">
    <fb>45853</fb>
    <v>66</v>
  </rv>
  <rv s="5">
    <fb>45854</fb>
    <v>66</v>
  </rv>
  <rv s="5">
    <fb>45855</fb>
    <v>66</v>
  </rv>
  <rv s="5">
    <fb>45856</fb>
    <v>66</v>
  </rv>
  <rv s="5">
    <fb>45859</fb>
    <v>66</v>
  </rv>
  <rv s="5">
    <fb>45860</fb>
    <v>66</v>
  </rv>
  <rv s="5">
    <fb>45861</fb>
    <v>66</v>
  </rv>
  <rv s="5">
    <fb>45862</fb>
    <v>66</v>
  </rv>
  <rv s="5">
    <fb>45863</fb>
    <v>66</v>
  </rv>
  <rv s="5">
    <fb>45866</fb>
    <v>66</v>
  </rv>
  <rv s="5">
    <fb>45867</fb>
    <v>66</v>
  </rv>
  <rv s="5">
    <fb>45868</fb>
    <v>66</v>
  </rv>
  <rv s="5">
    <fb>45869</fb>
    <v>66</v>
  </rv>
  <rv s="5">
    <fb>45870</fb>
    <v>66</v>
  </rv>
  <rv s="5">
    <fb>45874</fb>
    <v>66</v>
  </rv>
  <rv s="5">
    <fb>45875</fb>
    <v>66</v>
  </rv>
  <rv s="5">
    <fb>45876</fb>
    <v>66</v>
  </rv>
  <rv s="5">
    <fb>45877</fb>
    <v>66</v>
  </rv>
  <rv s="5">
    <fb>45880</fb>
    <v>66</v>
  </rv>
  <rv s="5">
    <fb>45881</fb>
    <v>66</v>
  </rv>
  <rv s="5">
    <fb>45882</fb>
    <v>66</v>
  </rv>
  <rv s="5">
    <fb>45883</fb>
    <v>66</v>
  </rv>
  <rv s="5">
    <fb>45884</fb>
    <v>66</v>
  </rv>
  <rv s="5">
    <fb>45887</fb>
    <v>66</v>
  </rv>
  <rv s="5">
    <fb>45888</fb>
    <v>66</v>
  </rv>
  <rv s="5">
    <fb>45889</fb>
    <v>66</v>
  </rv>
  <rv s="5">
    <fb>45890</fb>
    <v>66</v>
  </rv>
  <rv s="5">
    <fb>45891</fb>
    <v>66</v>
  </rv>
  <rv s="5">
    <fb>45894</fb>
    <v>66</v>
  </rv>
  <rv s="5">
    <fb>45895</fb>
    <v>66</v>
  </rv>
  <rv s="5">
    <fb>45896</fb>
    <v>66</v>
  </rv>
  <rv s="5">
    <fb>45897</fb>
    <v>66</v>
  </rv>
  <rv s="5">
    <fb>45898</fb>
    <v>66</v>
  </rv>
  <rv s="5">
    <fb>45902</fb>
    <v>66</v>
  </rv>
  <rv s="5">
    <fb>45903</fb>
    <v>66</v>
  </rv>
  <rv s="5">
    <fb>45904</fb>
    <v>66</v>
  </rv>
  <rv s="5">
    <fb>45905</fb>
    <v>66</v>
  </rv>
  <rv s="5">
    <fb>45908</fb>
    <v>66</v>
  </rv>
  <rv s="5">
    <fb>45909</fb>
    <v>66</v>
  </rv>
  <rv s="5">
    <fb>45910</fb>
    <v>66</v>
  </rv>
  <rv s="5">
    <fb>45911</fb>
    <v>66</v>
  </rv>
  <rv s="5">
    <fb>45912</fb>
    <v>66</v>
  </rv>
  <rv s="5">
    <fb>45915</fb>
    <v>66</v>
  </rv>
  <rv s="5">
    <fb>45916</fb>
    <v>66</v>
  </rv>
  <rv s="5">
    <fb>45917</fb>
    <v>66</v>
  </rv>
  <rv s="5">
    <fb>45918</fb>
    <v>66</v>
  </rv>
  <rv s="5">
    <fb>45919</fb>
    <v>66</v>
  </rv>
  <rv s="5">
    <fb>45922</fb>
    <v>66</v>
  </rv>
  <rv s="5">
    <fb>45923</fb>
    <v>66</v>
  </rv>
  <rv s="5">
    <fb>45924</fb>
    <v>66</v>
  </rv>
  <rv s="5">
    <fb>45925</fb>
    <v>66</v>
  </rv>
  <rv s="5">
    <fb>45926</fb>
    <v>66</v>
  </rv>
  <rv s="5">
    <fb>45929</fb>
    <v>66</v>
  </rv>
  <rv s="5">
    <fb>45930</fb>
    <v>66</v>
  </rv>
  <rv s="5">
    <fb>45931</fb>
    <v>66</v>
  </rv>
  <rv s="5">
    <fb>45932</fb>
    <v>66</v>
  </rv>
  <rv s="5">
    <fb>45933</fb>
    <v>66</v>
  </rv>
  <rv s="5">
    <fb>45936</fb>
    <v>66</v>
  </rv>
  <rv s="5">
    <fb>45937</fb>
    <v>66</v>
  </rv>
  <rv s="5">
    <fb>45938</fb>
    <v>66</v>
  </rv>
  <rv s="5">
    <fb>45939</fb>
    <v>66</v>
  </rv>
  <rv s="5">
    <fb>45940</fb>
    <v>66</v>
  </rv>
  <rv s="5">
    <fb>45944</fb>
    <v>66</v>
  </rv>
  <rv s="5">
    <fb>45945</fb>
    <v>66</v>
  </rv>
  <rv s="5">
    <fb>45946</fb>
    <v>66</v>
  </rv>
  <rv s="5">
    <fb>45947</fb>
    <v>66</v>
  </rv>
  <rv s="5">
    <fb>45950</fb>
    <v>66</v>
  </rv>
  <rv s="5">
    <fb>45951</fb>
    <v>66</v>
  </rv>
  <rv s="5">
    <fb>45952</fb>
    <v>66</v>
  </rv>
  <rv s="5">
    <fb>45953</fb>
    <v>66</v>
  </rv>
  <rv s="5">
    <fb>45954</fb>
    <v>66</v>
  </rv>
  <rv s="5">
    <fb>45957</fb>
    <v>66</v>
  </rv>
  <rv s="5">
    <fb>45958</fb>
    <v>66</v>
  </rv>
  <rv s="5">
    <fb>45959</fb>
    <v>66</v>
  </rv>
  <rv s="5">
    <fb>45960</fb>
    <v>66</v>
  </rv>
  <rv s="5">
    <fb>45961</fb>
    <v>66</v>
  </rv>
  <rv s="5">
    <fb>45964</fb>
    <v>66</v>
  </rv>
  <rv s="5">
    <fb>45965</fb>
    <v>66</v>
  </rv>
  <rv s="5">
    <fb>45966</fb>
    <v>66</v>
  </rv>
  <rv s="5">
    <fb>45967</fb>
    <v>66</v>
  </rv>
  <rv s="5">
    <fb>45968</fb>
    <v>66</v>
  </rv>
  <rv s="5">
    <fb>45971</fb>
    <v>66</v>
  </rv>
  <rv s="5">
    <fb>45972</fb>
    <v>66</v>
  </rv>
  <rv s="5">
    <fb>45973</fb>
    <v>66</v>
  </rv>
  <rv s="5">
    <fb>45974</fb>
    <v>66</v>
  </rv>
  <rv s="5">
    <fb>45975</fb>
    <v>66</v>
  </rv>
  <rv s="5">
    <fb>45978</fb>
    <v>66</v>
  </rv>
  <rv s="5">
    <fb>45979</fb>
    <v>66</v>
  </rv>
  <rv s="5">
    <fb>45980</fb>
    <v>66</v>
  </rv>
  <rv s="5">
    <fb>45981</fb>
    <v>66</v>
  </rv>
  <rv s="5">
    <fb>45982</fb>
    <v>66</v>
  </rv>
  <rv s="5">
    <fb>45985</fb>
    <v>66</v>
  </rv>
  <rv s="5">
    <fb>45986</fb>
    <v>66</v>
  </rv>
  <rv s="5">
    <fb>45987</fb>
    <v>66</v>
  </rv>
  <rv s="5">
    <fb>45988</fb>
    <v>66</v>
  </rv>
  <rv s="5">
    <fb>45989</fb>
    <v>66</v>
  </rv>
  <rv s="5">
    <fb>45992</fb>
    <v>66</v>
  </rv>
  <rv s="5">
    <fb>45993</fb>
    <v>66</v>
  </rv>
  <rv s="5">
    <fb>45994</fb>
    <v>66</v>
  </rv>
  <rv s="5">
    <fb>45995</fb>
    <v>66</v>
  </rv>
  <rv s="5">
    <fb>45996</fb>
    <v>66</v>
  </rv>
  <rv s="5">
    <fb>45999</fb>
    <v>66</v>
  </rv>
  <rv s="5">
    <fb>46000</fb>
    <v>66</v>
  </rv>
  <rv s="5">
    <fb>46001</fb>
    <v>66</v>
  </rv>
  <rv s="5">
    <fb>46002</fb>
    <v>66</v>
  </rv>
  <rv s="5">
    <fb>46003</fb>
    <v>66</v>
  </rv>
  <rv s="5">
    <fb>46006</fb>
    <v>66</v>
  </rv>
  <rv s="5">
    <fb>46007</fb>
    <v>66</v>
  </rv>
  <rv s="5">
    <fb>46008</fb>
    <v>66</v>
  </rv>
  <rv s="5">
    <fb>46009</fb>
    <v>66</v>
  </rv>
  <rv s="5">
    <fb>46010</fb>
    <v>66</v>
  </rv>
  <rv s="5">
    <fb>46013</fb>
    <v>66</v>
  </rv>
  <rv s="5">
    <fb>46014</fb>
    <v>66</v>
  </rv>
  <rv s="5">
    <fb>46015</fb>
    <v>66</v>
  </rv>
  <rv s="5">
    <fb>46020</fb>
    <v>66</v>
  </rv>
  <rv s="5">
    <fb>46021</fb>
    <v>66</v>
  </rv>
  <rv s="5">
    <fb>46022</fb>
    <v>66</v>
  </rv>
  <rv s="5">
    <fb>46024</fb>
    <v>66</v>
  </rv>
  <rv s="5">
    <fb>46027</fb>
    <v>66</v>
  </rv>
  <rv s="5">
    <fb>46028</fb>
    <v>66</v>
  </rv>
  <rv s="5">
    <fb>46029</fb>
    <v>66</v>
  </rv>
  <rv s="5">
    <fb>46030</fb>
    <v>66</v>
  </rv>
  <rv s="5">
    <fb>46031</fb>
    <v>66</v>
  </rv>
  <rv s="5">
    <fb>46034</fb>
    <v>66</v>
  </rv>
  <rv s="5">
    <fb>46035</fb>
    <v>66</v>
  </rv>
  <rv s="5">
    <fb>46036</fb>
    <v>66</v>
  </rv>
  <rv s="5">
    <fb>46037</fb>
    <v>66</v>
  </rv>
  <rv s="5">
    <fb>46038</fb>
    <v>66</v>
  </rv>
  <rv s="5">
    <fb>46041</fb>
    <v>66</v>
  </rv>
  <rv s="5">
    <fb>46042</fb>
    <v>66</v>
  </rv>
  <rv s="5">
    <fb>46043</fb>
    <v>66</v>
  </rv>
  <rv s="5">
    <fb>46044</fb>
    <v>66</v>
  </rv>
  <rv s="5">
    <fb>46045</fb>
    <v>66</v>
  </rv>
  <rv s="5">
    <fb>46048</fb>
    <v>66</v>
  </rv>
  <rv s="5">
    <fb>46049</fb>
    <v>66</v>
  </rv>
  <rv s="5">
    <fb>46050</fb>
    <v>66</v>
  </rv>
  <rv s="5">
    <fb>46051</fb>
    <v>66</v>
  </rv>
  <rv s="5">
    <fb>46052</fb>
    <v>66</v>
  </rv>
  <rv s="5">
    <fb>46055</fb>
    <v>66</v>
  </rv>
  <rv s="5">
    <fb>46056</fb>
    <v>66</v>
  </rv>
  <rv s="5">
    <fb>46057</fb>
    <v>66</v>
  </rv>
  <rv s="5">
    <fb>46058</fb>
    <v>66</v>
  </rv>
  <rv s="5">
    <fb>46059</fb>
    <v>66</v>
  </rv>
  <rv s="5">
    <fb>46062</fb>
    <v>66</v>
  </rv>
  <rv s="5">
    <fb>46063</fb>
    <v>66</v>
  </rv>
  <rv s="5">
    <fb>46064</fb>
    <v>66</v>
  </rv>
  <rv s="5">
    <fb>46065</fb>
    <v>66</v>
  </rv>
  <rv s="5">
    <fb>46066</fb>
    <v>66</v>
  </rv>
  <rv s="5">
    <fb>46070</fb>
    <v>66</v>
  </rv>
  <rv s="5">
    <fb>46071</fb>
    <v>66</v>
  </rv>
  <rv s="5">
    <fb>46072</fb>
    <v>66</v>
  </rv>
  <rv s="5">
    <fb>46073</fb>
    <v>66</v>
  </rv>
  <rv s="5">
    <fb>46076</fb>
    <v>66</v>
  </rv>
  <rv s="5">
    <fb>46077</fb>
    <v>66</v>
  </rv>
  <rv s="5">
    <fb>46078</fb>
    <v>66</v>
  </rv>
  <rv s="5">
    <fb>46079</fb>
    <v>66</v>
  </rv>
  <rv s="5">
    <fb>46080</fb>
    <v>66</v>
  </rv>
  <rv s="5">
    <fb>46083</fb>
    <v>66</v>
  </rv>
  <rv s="5">
    <fb>46084</fb>
    <v>66</v>
  </rv>
  <rv s="5">
    <fb>46085</fb>
    <v>66</v>
  </rv>
  <rv s="5">
    <fb>46086</fb>
    <v>66</v>
  </rv>
  <rv s="5">
    <fb>46087</fb>
    <v>66</v>
  </rv>
  <rv s="5">
    <fb>46090</fb>
    <v>66</v>
  </rv>
  <rv s="5">
    <fb>46091</fb>
    <v>66</v>
  </rv>
  <rv s="5">
    <fb>46092</fb>
    <v>66</v>
  </rv>
  <rv s="5">
    <fb>46093</fb>
    <v>66</v>
  </rv>
  <rv s="5">
    <fb>46094</fb>
    <v>66</v>
  </rv>
  <rv s="5">
    <fb>46097</fb>
    <v>66</v>
  </rv>
  <rv s="5">
    <fb>46098</fb>
    <v>66</v>
  </rv>
  <rv s="5">
    <fb>46099</fb>
    <v>66</v>
  </rv>
  <rv s="5">
    <fb>46100</fb>
    <v>66</v>
  </rv>
  <rv s="5">
    <fb>46101</fb>
    <v>66</v>
  </rv>
  <rv s="5">
    <fb>46104</fb>
    <v>66</v>
  </rv>
  <rv s="5">
    <fb>46105</fb>
    <v>66</v>
  </rv>
  <rv s="5">
    <fb>46106</fb>
    <v>66</v>
  </rv>
  <rv s="5">
    <fb>46107</fb>
    <v>66</v>
  </rv>
  <rv s="5">
    <fb>46108</fb>
    <v>66</v>
  </rv>
  <rv s="5">
    <fb>46111</fb>
    <v>66</v>
  </rv>
  <rv s="5">
    <fb>46112</fb>
    <v>66</v>
  </rv>
  <rv s="5">
    <fb>46113</fb>
    <v>66</v>
  </rv>
  <rv s="5">
    <fb>46114</fb>
    <v>66</v>
  </rv>
  <rv s="5">
    <fb>46118</fb>
    <v>66</v>
  </rv>
  <rv s="5">
    <fb>46119</fb>
    <v>66</v>
  </rv>
  <rv s="5">
    <fb>46120</fb>
    <v>66</v>
  </rv>
  <rv s="5">
    <fb>46121</fb>
    <v>66</v>
  </rv>
  <rv s="5">
    <fb>46122</fb>
    <v>66</v>
  </rv>
  <rv s="5">
    <fb>46125</fb>
    <v>66</v>
  </rv>
  <rv s="5">
    <fb>46126</fb>
    <v>66</v>
  </rv>
  <rv s="5">
    <fb>46127</fb>
    <v>66</v>
  </rv>
  <rv s="5">
    <fb>46128</fb>
    <v>66</v>
  </rv>
  <rv s="5">
    <fb>46129</fb>
    <v>66</v>
  </rv>
  <rv s="5">
    <fb>46132</fb>
    <v>66</v>
  </rv>
  <rv s="5">
    <fb>494179</fb>
    <v>67</v>
  </rv>
  <rv s="5">
    <fb>496331</fb>
    <v>67</v>
  </rv>
  <rv s="5">
    <fb>701236</fb>
    <v>67</v>
  </rv>
  <rv s="5">
    <fb>584112</fb>
    <v>67</v>
  </rv>
  <rv s="5">
    <fb>576152</fb>
    <v>67</v>
  </rv>
  <rv s="5">
    <fb>724642</fb>
    <v>67</v>
  </rv>
  <rv s="5">
    <fb>711152</fb>
    <v>67</v>
  </rv>
  <rv s="5">
    <fb>833264</fb>
    <v>67</v>
  </rv>
  <rv s="5">
    <fb>972397</fb>
    <v>67</v>
  </rv>
  <rv s="5">
    <fb>832010</fb>
    <v>67</v>
  </rv>
  <rv s="5">
    <fb>1244508</fb>
    <v>67</v>
  </rv>
  <rv s="5">
    <fb>1411085</fb>
    <v>67</v>
  </rv>
  <rv s="5">
    <fb>962264</fb>
    <v>67</v>
  </rv>
  <rv s="5">
    <fb>884113</fb>
    <v>67</v>
  </rv>
  <rv s="5">
    <fb>1232083</fb>
    <v>67</v>
  </rv>
  <rv s="5">
    <fb>1103322</fb>
    <v>67</v>
  </rv>
  <rv s="5">
    <fb>786679</fb>
    <v>67</v>
  </rv>
  <rv s="5">
    <fb>718767</fb>
    <v>67</v>
  </rv>
  <rv s="5">
    <fb>818255</fb>
    <v>67</v>
  </rv>
  <rv s="5">
    <fb>770576</fb>
    <v>67</v>
  </rv>
  <rv s="5">
    <fb>708480</fb>
    <v>67</v>
  </rv>
  <rv s="5">
    <fb>682690</fb>
    <v>67</v>
  </rv>
  <rv s="5">
    <fb>1054790</fb>
    <v>67</v>
  </rv>
  <rv s="5">
    <fb>380665</fb>
    <v>67</v>
  </rv>
  <rv s="5">
    <fb>328977</fb>
    <v>67</v>
  </rv>
  <rv s="5">
    <fb>991981</fb>
    <v>67</v>
  </rv>
  <rv s="5">
    <fb>830788</fb>
    <v>67</v>
  </rv>
  <rv s="5">
    <fb>783195</fb>
    <v>67</v>
  </rv>
  <rv s="5">
    <fb>1429155</fb>
    <v>67</v>
  </rv>
  <rv s="5">
    <fb>619720</fb>
    <v>67</v>
  </rv>
  <rv s="5">
    <fb>710034</fb>
    <v>67</v>
  </rv>
  <rv s="5">
    <fb>844681</fb>
    <v>67</v>
  </rv>
  <rv s="5">
    <fb>527398</fb>
    <v>67</v>
  </rv>
  <rv s="5">
    <fb>676820</fb>
    <v>67</v>
  </rv>
  <rv s="5">
    <fb>678118</fb>
    <v>67</v>
  </rv>
  <rv s="5">
    <fb>391500</fb>
    <v>67</v>
  </rv>
  <rv s="5">
    <fb>396358</fb>
    <v>67</v>
  </rv>
  <rv s="5">
    <fb>337241</fb>
    <v>67</v>
  </rv>
  <rv s="5">
    <fb>523087</fb>
    <v>67</v>
  </rv>
  <rv s="5">
    <fb>411193</fb>
    <v>67</v>
  </rv>
  <rv s="5">
    <fb>425200</fb>
    <v>67</v>
  </rv>
  <rv s="5">
    <fb>505192</fb>
    <v>67</v>
  </rv>
  <rv s="5">
    <fb>184970</fb>
    <v>67</v>
  </rv>
  <rv s="5">
    <fb>960567</fb>
    <v>67</v>
  </rv>
  <rv s="5">
    <fb>814355</fb>
    <v>67</v>
  </rv>
  <rv s="5">
    <fb>423402</fb>
    <v>67</v>
  </rv>
  <rv s="5">
    <fb>555009</fb>
    <v>67</v>
  </rv>
  <rv s="5">
    <fb>587802</fb>
    <v>67</v>
  </rv>
  <rv s="5">
    <fb>758849</fb>
    <v>67</v>
  </rv>
  <rv s="5">
    <fb>772510</fb>
    <v>67</v>
  </rv>
  <rv s="5">
    <fb>781047</fb>
    <v>67</v>
  </rv>
  <rv s="5">
    <fb>293168</fb>
    <v>67</v>
  </rv>
  <rv s="5">
    <fb>186489</fb>
    <v>67</v>
  </rv>
  <rv s="5">
    <fb>602515</fb>
    <v>67</v>
  </rv>
  <rv s="5">
    <fb>661046</fb>
    <v>67</v>
  </rv>
  <rv s="5">
    <fb>330497</fb>
    <v>67</v>
  </rv>
  <rv s="5">
    <fb>528624</fb>
    <v>67</v>
  </rv>
  <rv s="5">
    <fb>540594</fb>
    <v>67</v>
  </rv>
  <rv s="5">
    <fb>388442</fb>
    <v>67</v>
  </rv>
  <rv s="5">
    <fb>1030442</fb>
    <v>67</v>
  </rv>
  <rv s="5">
    <fb>960107</fb>
    <v>67</v>
  </rv>
  <rv s="5">
    <fb>1273715</fb>
    <v>67</v>
  </rv>
  <rv s="5">
    <fb>505217</fb>
    <v>67</v>
  </rv>
  <rv s="5">
    <fb>533443</fb>
    <v>67</v>
  </rv>
  <rv s="5">
    <fb>683904</fb>
    <v>67</v>
  </rv>
  <rv s="5">
    <fb>791240</fb>
    <v>67</v>
  </rv>
  <rv s="5">
    <fb>512871</fb>
    <v>67</v>
  </rv>
  <rv s="5">
    <fb>383401</fb>
    <v>67</v>
  </rv>
  <rv s="5">
    <fb>402370</fb>
    <v>67</v>
  </rv>
  <rv s="5">
    <fb>1021221</fb>
    <v>67</v>
  </rv>
  <rv s="5">
    <fb>479596</fb>
    <v>67</v>
  </rv>
  <rv s="5">
    <fb>579848</fb>
    <v>67</v>
  </rv>
  <rv s="5">
    <fb>688864</fb>
    <v>67</v>
  </rv>
  <rv s="5">
    <fb>686763</fb>
    <v>67</v>
  </rv>
  <rv s="5">
    <fb>564027</fb>
    <v>67</v>
  </rv>
  <rv s="5">
    <fb>481843</fb>
    <v>67</v>
  </rv>
  <rv s="5">
    <fb>298216</fb>
    <v>67</v>
  </rv>
  <rv s="5">
    <fb>585929</fb>
    <v>67</v>
  </rv>
  <rv s="5">
    <fb>346885</fb>
    <v>67</v>
  </rv>
  <rv s="5">
    <fb>353703</fb>
    <v>67</v>
  </rv>
  <rv s="5">
    <fb>356897</fb>
    <v>67</v>
  </rv>
  <rv s="5">
    <fb>910483</fb>
    <v>67</v>
  </rv>
  <rv s="5">
    <fb>306109</fb>
    <v>67</v>
  </rv>
  <rv s="5">
    <fb>281893</fb>
    <v>67</v>
  </rv>
  <rv s="5">
    <fb>745706</fb>
    <v>67</v>
  </rv>
  <rv s="5">
    <fb>559525</fb>
    <v>67</v>
  </rv>
  <rv s="5">
    <fb>953278</fb>
    <v>67</v>
  </rv>
  <rv s="5">
    <fb>699643</fb>
    <v>67</v>
  </rv>
  <rv s="5">
    <fb>2008771</fb>
    <v>67</v>
  </rv>
  <rv s="5">
    <fb>722074</fb>
    <v>67</v>
  </rv>
  <rv s="5">
    <fb>453017</fb>
    <v>67</v>
  </rv>
  <rv s="5">
    <fb>470646</fb>
    <v>67</v>
  </rv>
  <rv s="5">
    <fb>786759</fb>
    <v>67</v>
  </rv>
  <rv s="5">
    <fb>560492</fb>
    <v>67</v>
  </rv>
  <rv s="5">
    <fb>767553</fb>
    <v>67</v>
  </rv>
  <rv s="5">
    <fb>801766</fb>
    <v>67</v>
  </rv>
  <rv s="5">
    <fb>440880</fb>
    <v>67</v>
  </rv>
  <rv s="5">
    <fb>590391</fb>
    <v>67</v>
  </rv>
  <rv s="5">
    <fb>544400</fb>
    <v>67</v>
  </rv>
  <rv s="5">
    <fb>356486</fb>
    <v>67</v>
  </rv>
  <rv s="5">
    <fb>280968</fb>
    <v>67</v>
  </rv>
  <rv s="5">
    <fb>1648461</fb>
    <v>67</v>
  </rv>
  <rv s="5">
    <fb>673329</fb>
    <v>67</v>
  </rv>
  <rv s="5">
    <fb>2010998</fb>
    <v>67</v>
  </rv>
  <rv s="5">
    <fb>390605</fb>
    <v>67</v>
  </rv>
  <rv s="5">
    <fb>4960739</fb>
    <v>67</v>
  </rv>
  <rv s="5">
    <fb>2888234</fb>
    <v>67</v>
  </rv>
  <rv s="5">
    <fb>471809</fb>
    <v>67</v>
  </rv>
  <rv s="5">
    <fb>720001</fb>
    <v>67</v>
  </rv>
  <rv s="5">
    <fb>943814</fb>
    <v>67</v>
  </rv>
  <rv s="5">
    <fb>613771</fb>
    <v>67</v>
  </rv>
  <rv s="5">
    <fb>419782</fb>
    <v>67</v>
  </rv>
  <rv s="5">
    <fb>575738</fb>
    <v>67</v>
  </rv>
  <rv s="5">
    <fb>505359</fb>
    <v>67</v>
  </rv>
  <rv s="5">
    <fb>761458</fb>
    <v>67</v>
  </rv>
  <rv s="5">
    <fb>590833</fb>
    <v>67</v>
  </rv>
  <rv s="5">
    <fb>452507</fb>
    <v>67</v>
  </rv>
  <rv s="5">
    <fb>513286</fb>
    <v>67</v>
  </rv>
  <rv s="5">
    <fb>688325</fb>
    <v>67</v>
  </rv>
  <rv s="5">
    <fb>414009</fb>
    <v>67</v>
  </rv>
  <rv s="5">
    <fb>537303</fb>
    <v>67</v>
  </rv>
  <rv s="5">
    <fb>495449</fb>
    <v>67</v>
  </rv>
  <rv s="5">
    <fb>422813</fb>
    <v>67</v>
  </rv>
  <rv s="5">
    <fb>446255</fb>
    <v>67</v>
  </rv>
  <rv s="5">
    <fb>883926</fb>
    <v>67</v>
  </rv>
  <rv s="5">
    <fb>757374</fb>
    <v>67</v>
  </rv>
  <rv s="5">
    <fb>791027</fb>
    <v>67</v>
  </rv>
  <rv s="5">
    <fb>768352</fb>
    <v>67</v>
  </rv>
  <rv s="5">
    <fb>1102010</fb>
    <v>67</v>
  </rv>
  <rv s="5">
    <fb>944018</fb>
    <v>67</v>
  </rv>
  <rv s="5">
    <fb>2468755</fb>
    <v>67</v>
  </rv>
  <rv s="5">
    <fb>252842</fb>
    <v>67</v>
  </rv>
  <rv s="5">
    <fb>815873</fb>
    <v>67</v>
  </rv>
  <rv s="5">
    <fb>1073667</fb>
    <v>67</v>
  </rv>
  <rv s="5">
    <fb>744732</fb>
    <v>67</v>
  </rv>
  <rv s="5">
    <fb>500832</fb>
    <v>67</v>
  </rv>
  <rv s="5">
    <fb>1871850</fb>
    <v>67</v>
  </rv>
  <rv s="5">
    <fb>961672</fb>
    <v>67</v>
  </rv>
  <rv s="5">
    <fb>1629365</fb>
    <v>67</v>
  </rv>
  <rv s="5">
    <fb>949864</fb>
    <v>67</v>
  </rv>
  <rv s="5">
    <fb>525653</fb>
    <v>67</v>
  </rv>
  <rv s="5">
    <fb>663502</fb>
    <v>67</v>
  </rv>
  <rv s="5">
    <fb>872904</fb>
    <v>67</v>
  </rv>
  <rv s="5">
    <fb>874466</fb>
    <v>67</v>
  </rv>
  <rv s="5">
    <fb>2062747</fb>
    <v>67</v>
  </rv>
  <rv s="5">
    <fb>755266</fb>
    <v>67</v>
  </rv>
  <rv s="5">
    <fb>817541</fb>
    <v>67</v>
  </rv>
  <rv s="5">
    <fb>434237</fb>
    <v>67</v>
  </rv>
  <rv s="5">
    <fb>514177</fb>
    <v>67</v>
  </rv>
  <rv s="5">
    <fb>488182</fb>
    <v>67</v>
  </rv>
  <rv s="5">
    <fb>2073975</fb>
    <v>67</v>
  </rv>
  <rv s="5">
    <fb>1038709</fb>
    <v>67</v>
  </rv>
  <rv s="5">
    <fb>654135</fb>
    <v>67</v>
  </rv>
  <rv s="5">
    <fb>204415</fb>
    <v>67</v>
  </rv>
  <rv s="5">
    <fb>1249984</fb>
    <v>67</v>
  </rv>
  <rv s="5">
    <fb>635883</fb>
    <v>67</v>
  </rv>
  <rv s="5">
    <fb>709710</fb>
    <v>67</v>
  </rv>
  <rv s="5">
    <fb>494721</fb>
    <v>67</v>
  </rv>
  <rv s="5">
    <fb>898754</fb>
    <v>67</v>
  </rv>
  <rv s="5">
    <fb>854647</fb>
    <v>67</v>
  </rv>
  <rv s="5">
    <fb>1040193</fb>
    <v>67</v>
  </rv>
  <rv s="5">
    <fb>554154</fb>
    <v>67</v>
  </rv>
  <rv s="5">
    <fb>570587</fb>
    <v>67</v>
  </rv>
  <rv s="5">
    <fb>607483</fb>
    <v>67</v>
  </rv>
  <rv s="5">
    <fb>2741002</fb>
    <v>67</v>
  </rv>
  <rv s="5">
    <fb>3463476</fb>
    <v>67</v>
  </rv>
  <rv s="5">
    <fb>1011531</fb>
    <v>67</v>
  </rv>
  <rv s="5">
    <fb>3455212</fb>
    <v>67</v>
  </rv>
  <rv s="5">
    <fb>814153</fb>
    <v>67</v>
  </rv>
  <rv s="5">
    <fb>1934389</fb>
    <v>67</v>
  </rv>
  <rv s="5">
    <fb>3164661</fb>
    <v>67</v>
  </rv>
  <rv s="5">
    <fb>531319</fb>
    <v>67</v>
  </rv>
  <rv s="5">
    <fb>195959</fb>
    <v>67</v>
  </rv>
  <rv s="5">
    <fb>608064</fb>
    <v>67</v>
  </rv>
  <rv s="5">
    <fb>537941</fb>
    <v>67</v>
  </rv>
  <rv s="5">
    <fb>333889</fb>
    <v>67</v>
  </rv>
  <rv s="5">
    <fb>391092</fb>
    <v>67</v>
  </rv>
  <rv s="5">
    <fb>644398</fb>
    <v>67</v>
  </rv>
  <rv s="5">
    <fb>933424</fb>
    <v>67</v>
  </rv>
  <rv s="5">
    <fb>897719</fb>
    <v>67</v>
  </rv>
  <rv s="5">
    <fb>1118228</fb>
    <v>67</v>
  </rv>
  <rv s="5">
    <fb>492756</fb>
    <v>67</v>
  </rv>
  <rv s="5">
    <fb>619451</fb>
    <v>67</v>
  </rv>
  <rv s="5">
    <fb>599490</fb>
    <v>67</v>
  </rv>
  <rv s="5">
    <fb>384468</fb>
    <v>67</v>
  </rv>
  <rv s="5">
    <fb>462767</fb>
    <v>67</v>
  </rv>
  <rv s="5">
    <fb>577227</fb>
    <v>67</v>
  </rv>
  <rv s="5">
    <fb>290588</fb>
    <v>67</v>
  </rv>
  <rv s="5">
    <fb>610691</fb>
    <v>67</v>
  </rv>
  <rv s="5">
    <fb>509321</fb>
    <v>67</v>
  </rv>
  <rv s="5">
    <fb>765872</fb>
    <v>67</v>
  </rv>
  <rv s="5">
    <fb>695540</fb>
    <v>67</v>
  </rv>
  <rv s="5">
    <fb>759303</fb>
    <v>67</v>
  </rv>
  <rv s="5">
    <fb>948915</fb>
    <v>67</v>
  </rv>
  <rv s="5">
    <fb>523896</fb>
    <v>67</v>
  </rv>
  <rv s="5">
    <fb>1606735</fb>
    <v>67</v>
  </rv>
  <rv s="5">
    <fb>735878</fb>
    <v>67</v>
  </rv>
  <rv s="5">
    <fb>675839</fb>
    <v>67</v>
  </rv>
  <rv s="5">
    <fb>517599</fb>
    <v>67</v>
  </rv>
  <rv s="5">
    <fb>724908</fb>
    <v>67</v>
  </rv>
  <rv s="5">
    <fb>852830</fb>
    <v>67</v>
  </rv>
  <rv s="5">
    <fb>830105</fb>
    <v>67</v>
  </rv>
  <rv s="5">
    <fb>417615</fb>
    <v>67</v>
  </rv>
  <rv s="5">
    <fb>584410</fb>
    <v>67</v>
  </rv>
  <rv s="5">
    <fb>1101626</fb>
    <v>67</v>
  </rv>
  <rv s="5">
    <fb>1583863</fb>
    <v>67</v>
  </rv>
  <rv s="5">
    <fb>830359</fb>
    <v>67</v>
  </rv>
  <rv s="5">
    <fb>886307</fb>
    <v>67</v>
  </rv>
  <rv s="5">
    <fb>645110</fb>
    <v>67</v>
  </rv>
  <rv s="5">
    <fb>401440</fb>
    <v>67</v>
  </rv>
  <rv s="5">
    <fb>519395</fb>
    <v>67</v>
  </rv>
  <rv s="5">
    <fb>545182</fb>
    <v>67</v>
  </rv>
  <rv s="5">
    <fb>1033932</fb>
    <v>67</v>
  </rv>
  <rv s="5">
    <fb>664111</fb>
    <v>67</v>
  </rv>
  <rv s="5">
    <fb>671164</fb>
    <v>67</v>
  </rv>
  <rv s="5">
    <fb>2198288</fb>
    <v>67</v>
  </rv>
  <rv s="5">
    <fb>1159695</fb>
    <v>67</v>
  </rv>
  <rv s="5">
    <fb>1139405</fb>
    <v>67</v>
  </rv>
  <rv s="5">
    <fb>1001865</fb>
    <v>67</v>
  </rv>
  <rv s="5">
    <fb>849914</fb>
    <v>67</v>
  </rv>
  <rv s="5">
    <fb>1468141</fb>
    <v>67</v>
  </rv>
  <rv s="5">
    <fb>5555077</fb>
    <v>67</v>
  </rv>
  <rv s="5">
    <fb>911254</fb>
    <v>67</v>
  </rv>
  <rv s="5">
    <fb>2205461</fb>
    <v>67</v>
  </rv>
  <rv s="5">
    <fb>1097022</fb>
    <v>67</v>
  </rv>
  <rv s="5">
    <fb>894096</fb>
    <v>67</v>
  </rv>
  <rv s="5">
    <fb>5208842</fb>
    <v>67</v>
  </rv>
  <rv s="5">
    <fb>568375</fb>
    <v>67</v>
  </rv>
  <rv s="5">
    <fb>613912</fb>
    <v>67</v>
  </rv>
  <rv s="5">
    <fb>2642443</fb>
    <v>67</v>
  </rv>
  <rv s="5">
    <fb>1772918</fb>
    <v>67</v>
  </rv>
  <rv s="5">
    <fb>904693</fb>
    <v>67</v>
  </rv>
  <rv s="5">
    <fb>566704</fb>
    <v>67</v>
  </rv>
  <rv s="5">
    <fb>893134</fb>
    <v>67</v>
  </rv>
  <rv s="5">
    <fb>1005166</fb>
    <v>67</v>
  </rv>
  <rv s="5">
    <fb>1045820</fb>
    <v>67</v>
  </rv>
  <rv s="5">
    <fb>744296</fb>
    <v>67</v>
  </rv>
  <rv s="5">
    <fb>1199470</fb>
    <v>67</v>
  </rv>
  <rv s="5">
    <fb>854762</fb>
    <v>67</v>
  </rv>
  <rv s="5">
    <fb>1193966</fb>
    <v>67</v>
  </rv>
  <rv s="5">
    <fb>1193928</fb>
    <v>67</v>
  </rv>
  <rv s="5">
    <fb>1340767</fb>
    <v>67</v>
  </rv>
  <rv s="5">
    <fb>1164842</fb>
    <v>67</v>
  </rv>
  <rv s="5">
    <fb>798201</fb>
    <v>67</v>
  </rv>
  <rv s="5">
    <fb>533634</fb>
    <v>67</v>
  </rv>
  <rv s="5">
    <fb>612476</fb>
    <v>67</v>
  </rv>
  <rv s="5">
    <fb>1010654</fb>
    <v>67</v>
  </rv>
  <rv s="5">
    <fb>858591</fb>
    <v>67</v>
  </rv>
  <rv s="5">
    <fb>1533069</fb>
    <v>67</v>
  </rv>
  <rv s="5">
    <fb>1193255</fb>
    <v>67</v>
  </rv>
  <rv s="5">
    <fb>649686</fb>
    <v>67</v>
  </rv>
  <rv s="0">
    <v>https://www.bing.com/financeapi/forcetrigger?t=aaxp27&amp;q=XTSE%3aCWB&amp;form=skydnc</v>
    <v>Learn more on Bing</v>
  </rv>
  <rv s="22">
    <v>fr-FR</v>
    <v>aaxp27</v>
    <v>268435456</v>
    <v>1</v>
    <v>1</v>
    <v>Avec Refinitiv</v>
    <v>0</v>
    <v>68</v>
    <v>Canadian Western Bank (XTSE:CWB)</v>
    <v>3</v>
    <v>4</v>
    <v>Finance</v>
    <v>5</v>
    <v>XTSE</v>
    <v>96768250</v>
    <v>56.61</v>
    <v>24.66</v>
    <v>1.3399000000000001</v>
    <v>5503364000</v>
    <v>Toronto Stock Exchange</v>
    <v>0</v>
    <v>0</v>
    <v>57.25</v>
    <v>CWB</v>
    <v>45692.875</v>
    <v>Canadian Western Bank est une société de services financiers diversifiés. Elle propose des services complets de services bancaires aux entreprises et aux particuliers, des financements spécialisés, des offres complètes de gestion de patrimoine et des services de fiducie. Elle offre des services bancaires spécialisés aux entreprises pour les petites et moyennes entreprises, en mettant l'accent sur le financement commercial général, le financement d'équipement, le financement de construction, le financement d'immobilier commercial, le financement de construction et de projets immobiliers, ainsi que le financement et la location d'équipement. Elle offre également des services bancaires personnels complets, notamment des comptes de chèques et d'épargne, des prêts, des prêts hypothécaires et des produits de placement. Ses services bancaires comprennent les services bancaires en ligne, les services bancaires aux guichets automatiques, l'assurance crédit, les ressources pour les personnes âgées et la commande de chèques en ligne. Son compte CWB Business Advantage et son compte CWB Business Unlimited offrent des solutions pour les opérations bancaires quotidiennes et un accès en ligne 24 heures sur 24, 7 jours sur 7. Elle a ses opérations en Colombie-Britannique, en Alberta, en Ontario, en Saskatchewan, au Québec, au Manitoba et ailleurs.</v>
    <v>CAD</v>
    <v>2569</v>
    <v>XTSE</v>
    <v>58.31</v>
    <v>61.81</v>
    <v>Banking Services</v>
    <v>1446</v>
    <v>0</v>
    <v>0</v>
    <v>Canadian Western Bank</v>
    <v>Canadian Western Bank</v>
    <v>57.05</v>
    <v>20.936900000000001</v>
    <v>56.63</v>
    <v>56.63</v>
    <v>10303 Jasper Avenue Suite 2300, Edmonton Alberta, EDMONTON, AB, T5J 3X6 CA</v>
    <v>Bourse</v>
    <v>Canadian Western Bank (XTSE:CWB)</v>
    <v>2358275</v>
    <v>724590</v>
  </rv>
  <rv s="2">
    <v>1447</v>
  </rv>
  <rv s="0">
    <v>https://www.bing.com/financeapi/forcetrigger?t=c22hcw&amp;q=XTSE%3aLEV&amp;form=skydnc</v>
    <v>Learn more on Bing</v>
  </rv>
  <rv s="23">
    <v>fr-FR</v>
    <v>c22hcw</v>
    <v>268435456</v>
    <v>1</v>
    <v>1</v>
    <v>Avec Refinitiv</v>
    <v>30</v>
    <v>69</v>
    <v>LA COMPAGNIE ÉLECTRIQUE LION (XTSE:LEV)</v>
    <v>3</v>
    <v>70</v>
    <v>Finance</v>
    <v>10</v>
    <v>XTSE</v>
    <v>226217500</v>
    <v>2008</v>
    <v>0.34</v>
    <v>0.25</v>
    <v>2.0358999999999998</v>
    <v>75420930</v>
    <v>Toronto Stock Exchange</v>
    <v>0.47499999999999998</v>
    <v>LEV</v>
    <v>45642.874988425923</v>
    <v>Lion Electric Company est un fabricant de véhicules zéro émission. La Société conçoit et fabrique des autobus scolaires entièrement électriques, des midi/minibus pour des besoins spéciaux ou des transports urbains, ainsi que des camions urbains. Chaque véhicule Lion est spécialement conçu pour l'électricité et conçu et assemblé en interne, avec son propre châssis, cabine de camion ou carrosserie de bus, technologie de batterie avec capacité d'énergie modulaire et intégration du logiciel Lion. Ses camions tout électriques spécialement conçus peuvent être divisés en quatre plates-formes principales en fonction du poids nominal brut du véhicule (PNBV), à savoir les camions tracteurs Lion5, Lion6, Lion8 et Lion8, et sa gamme de bus tout électriques se compose de bus de type A, de type C et de type D. Ses véhicules électriques moyens et lourds (VE) sont spécialement conçus pour répondre aux besoins du marché urbain de milieu de gamme inférieur à 250 km. Il complète son offre de produits avec divers services, y compris l'assistance à la vente, la formation complète, l'assistance pour l'infrastructure de charge et l'assistance à la maintenance.</v>
    <v>CAD</v>
    <v>1350</v>
    <v>XTSE</v>
    <v>0.41</v>
    <v>2.5</v>
    <v>Automobiles &amp; Auto Parts</v>
    <v>1449</v>
    <v>0</v>
    <v>0</v>
    <v>LA COMPAGNIE ÉLECTRIQUE LION</v>
    <v>LA COMPAGNIE ÉLECTRIQUE LION</v>
    <v>0.35499999999999998</v>
    <v>0</v>
    <v>0.34499999999999997</v>
    <v>921, chemin de la Riviere-du-Nord, ST-JEROME, QC, J7Y 5G2 CA</v>
    <v>Bourse</v>
    <v>LA COMPAGNIE ÉLECTRIQUE LION (XTSE:LEV)</v>
    <v>2863397</v>
    <v>216420</v>
  </rv>
  <rv s="2">
    <v>1450</v>
  </rv>
  <rv s="5">
    <fb>56484</fb>
    <v>67</v>
  </rv>
  <rv s="5">
    <fb>57045</fb>
    <v>67</v>
  </rv>
  <rv s="5">
    <fb>86911</fb>
    <v>67</v>
  </rv>
  <rv s="5">
    <fb>16944</fb>
    <v>67</v>
  </rv>
  <rv s="5">
    <fb>34676</fb>
    <v>67</v>
  </rv>
  <rv s="5">
    <fb>25192</fb>
    <v>67</v>
  </rv>
  <rv s="5">
    <fb>35669</fb>
    <v>67</v>
  </rv>
  <rv s="5">
    <fb>52247</fb>
    <v>67</v>
  </rv>
  <rv s="5">
    <fb>38653</fb>
    <v>67</v>
  </rv>
  <rv s="5">
    <fb>22564</fb>
    <v>67</v>
  </rv>
  <rv s="5">
    <fb>24712</fb>
    <v>67</v>
  </rv>
  <rv s="5">
    <fb>16315</fb>
    <v>67</v>
  </rv>
  <rv s="5">
    <fb>31509</fb>
    <v>67</v>
  </rv>
  <rv s="5">
    <fb>22222</fb>
    <v>67</v>
  </rv>
  <rv s="5">
    <fb>38138</fb>
    <v>67</v>
  </rv>
  <rv s="5">
    <fb>22338</fb>
    <v>67</v>
  </rv>
  <rv s="5">
    <fb>17621</fb>
    <v>67</v>
  </rv>
  <rv s="5">
    <fb>15518</fb>
    <v>67</v>
  </rv>
  <rv s="5">
    <fb>26081</fb>
    <v>67</v>
  </rv>
  <rv s="5">
    <fb>20099</fb>
    <v>67</v>
  </rv>
  <rv s="5">
    <fb>32468</fb>
    <v>67</v>
  </rv>
  <rv s="5">
    <fb>14174</fb>
    <v>67</v>
  </rv>
  <rv s="5">
    <fb>26252</fb>
    <v>67</v>
  </rv>
  <rv s="5">
    <fb>37748</fb>
    <v>67</v>
  </rv>
  <rv s="5">
    <fb>9223</fb>
    <v>67</v>
  </rv>
  <rv s="5">
    <fb>17861</fb>
    <v>67</v>
  </rv>
  <rv s="5">
    <fb>19193</fb>
    <v>67</v>
  </rv>
  <rv s="5">
    <fb>11526</fb>
    <v>67</v>
  </rv>
  <rv s="5">
    <fb>23749</fb>
    <v>67</v>
  </rv>
  <rv s="5">
    <fb>41587</fb>
    <v>67</v>
  </rv>
  <rv s="5">
    <fb>17952</fb>
    <v>67</v>
  </rv>
  <rv s="5">
    <fb>16652</fb>
    <v>67</v>
  </rv>
  <rv s="5">
    <fb>22570</fb>
    <v>67</v>
  </rv>
  <rv s="5">
    <fb>23339</fb>
    <v>67</v>
  </rv>
  <rv s="5">
    <fb>21904</fb>
    <v>67</v>
  </rv>
  <rv s="5">
    <fb>16880</fb>
    <v>67</v>
  </rv>
  <rv s="5">
    <fb>20779</fb>
    <v>67</v>
  </rv>
  <rv s="5">
    <fb>17544</fb>
    <v>67</v>
  </rv>
  <rv s="5">
    <fb>22651</fb>
    <v>67</v>
  </rv>
  <rv s="5">
    <fb>36453</fb>
    <v>67</v>
  </rv>
  <rv s="5">
    <fb>16821</fb>
    <v>67</v>
  </rv>
  <rv s="5">
    <fb>12685</fb>
    <v>67</v>
  </rv>
  <rv s="5">
    <fb>9089</fb>
    <v>67</v>
  </rv>
  <rv s="5">
    <fb>21163</fb>
    <v>67</v>
  </rv>
  <rv s="5">
    <fb>27478</fb>
    <v>67</v>
  </rv>
  <rv s="5">
    <fb>16187</fb>
    <v>67</v>
  </rv>
  <rv s="5">
    <fb>20698</fb>
    <v>67</v>
  </rv>
  <rv s="5">
    <fb>20758</fb>
    <v>67</v>
  </rv>
  <rv s="5">
    <fb>28281</fb>
    <v>67</v>
  </rv>
  <rv s="5">
    <fb>22992</fb>
    <v>67</v>
  </rv>
  <rv s="5">
    <fb>32696</fb>
    <v>67</v>
  </rv>
  <rv s="5">
    <fb>19880</fb>
    <v>67</v>
  </rv>
  <rv s="5">
    <fb>5577</fb>
    <v>67</v>
  </rv>
  <rv s="5">
    <fb>50422</fb>
    <v>67</v>
  </rv>
  <rv s="5">
    <fb>18821</fb>
    <v>67</v>
  </rv>
  <rv s="5">
    <fb>20572</fb>
    <v>67</v>
  </rv>
  <rv s="5">
    <fb>23828</fb>
    <v>67</v>
  </rv>
  <rv s="5">
    <fb>63981</fb>
    <v>67</v>
  </rv>
  <rv s="5">
    <fb>19960</fb>
    <v>67</v>
  </rv>
  <rv s="5">
    <fb>22792</fb>
    <v>67</v>
  </rv>
  <rv s="5">
    <fb>30570</fb>
    <v>67</v>
  </rv>
  <rv s="5">
    <fb>15029</fb>
    <v>67</v>
  </rv>
  <rv s="5">
    <fb>16732</fb>
    <v>67</v>
  </rv>
  <rv s="5">
    <fb>20555</fb>
    <v>67</v>
  </rv>
  <rv s="5">
    <fb>18462</fb>
    <v>67</v>
  </rv>
  <rv s="5">
    <fb>13528</fb>
    <v>67</v>
  </rv>
  <rv s="5">
    <fb>18302</fb>
    <v>67</v>
  </rv>
  <rv s="5">
    <fb>12374</fb>
    <v>67</v>
  </rv>
  <rv s="5">
    <fb>22694</fb>
    <v>67</v>
  </rv>
  <rv s="5">
    <fb>18362</fb>
    <v>67</v>
  </rv>
  <rv s="5">
    <fb>9809</fb>
    <v>67</v>
  </rv>
  <rv s="5">
    <fb>23983</fb>
    <v>67</v>
  </rv>
  <rv s="5">
    <fb>43249</fb>
    <v>67</v>
  </rv>
  <rv s="5">
    <fb>24494</fb>
    <v>67</v>
  </rv>
  <rv s="5">
    <fb>17840</fb>
    <v>67</v>
  </rv>
  <rv s="5">
    <fb>17920</fb>
    <v>67</v>
  </rv>
  <rv s="5">
    <fb>15884</fb>
    <v>67</v>
  </rv>
  <rv s="5">
    <fb>21507</fb>
    <v>67</v>
  </rv>
  <rv s="5">
    <fb>12156</fb>
    <v>67</v>
  </rv>
  <rv s="5">
    <fb>16617</fb>
    <v>67</v>
  </rv>
  <rv s="5">
    <fb>23060</fb>
    <v>67</v>
  </rv>
  <rv s="5">
    <fb>24918</fb>
    <v>67</v>
  </rv>
  <rv s="5">
    <fb>25870</fb>
    <v>67</v>
  </rv>
  <rv s="5">
    <fb>16019</fb>
    <v>67</v>
  </rv>
  <rv s="5">
    <fb>16776</fb>
    <v>67</v>
  </rv>
  <rv s="5">
    <fb>13798</fb>
    <v>67</v>
  </rv>
  <rv s="5">
    <fb>21748</fb>
    <v>67</v>
  </rv>
  <rv s="5">
    <fb>14606</fb>
    <v>67</v>
  </rv>
  <rv s="5">
    <fb>22480</fb>
    <v>67</v>
  </rv>
  <rv s="5">
    <fb>27646</fb>
    <v>67</v>
  </rv>
  <rv s="5">
    <fb>16700</fb>
    <v>67</v>
  </rv>
  <rv s="5">
    <fb>48656</fb>
    <v>67</v>
  </rv>
  <rv s="5">
    <fb>25179</fb>
    <v>67</v>
  </rv>
  <rv s="5">
    <fb>20091</fb>
    <v>67</v>
  </rv>
  <rv s="5">
    <fb>19696</fb>
    <v>67</v>
  </rv>
  <rv s="5">
    <fb>18038</fb>
    <v>67</v>
  </rv>
  <rv s="5">
    <fb>34148</fb>
    <v>67</v>
  </rv>
  <rv s="5">
    <fb>21115</fb>
    <v>67</v>
  </rv>
  <rv s="5">
    <fb>19081</fb>
    <v>67</v>
  </rv>
  <rv s="5">
    <fb>18346</fb>
    <v>67</v>
  </rv>
  <rv s="5">
    <fb>31489</fb>
    <v>67</v>
  </rv>
  <rv s="5">
    <fb>30644</fb>
    <v>67</v>
  </rv>
  <rv s="5">
    <fb>38706</fb>
    <v>67</v>
  </rv>
  <rv s="5">
    <fb>59829</fb>
    <v>67</v>
  </rv>
  <rv s="5">
    <fb>14791</fb>
    <v>67</v>
  </rv>
  <rv s="5">
    <fb>40590</fb>
    <v>67</v>
  </rv>
  <rv s="5">
    <fb>23179</fb>
    <v>67</v>
  </rv>
  <rv s="5">
    <fb>65788</fb>
    <v>67</v>
  </rv>
  <rv s="5">
    <fb>22354</fb>
    <v>67</v>
  </rv>
  <rv s="5">
    <fb>43495</fb>
    <v>67</v>
  </rv>
  <rv s="5">
    <fb>22900</fb>
    <v>67</v>
  </rv>
  <rv s="5">
    <fb>29313</fb>
    <v>67</v>
  </rv>
  <rv s="5">
    <fb>18004</fb>
    <v>67</v>
  </rv>
  <rv s="5">
    <fb>13147</fb>
    <v>67</v>
  </rv>
  <rv s="5">
    <fb>22489</fb>
    <v>67</v>
  </rv>
  <rv s="5">
    <fb>19750</fb>
    <v>67</v>
  </rv>
  <rv s="5">
    <fb>35183</fb>
    <v>67</v>
  </rv>
  <rv s="5">
    <fb>30344</fb>
    <v>67</v>
  </rv>
  <rv s="5">
    <fb>15170</fb>
    <v>67</v>
  </rv>
  <rv s="5">
    <fb>23124</fb>
    <v>67</v>
  </rv>
  <rv s="5">
    <fb>35115</fb>
    <v>67</v>
  </rv>
  <rv s="5">
    <fb>35579</fb>
    <v>67</v>
  </rv>
  <rv s="5">
    <fb>21076</fb>
    <v>67</v>
  </rv>
  <rv s="5">
    <fb>25481</fb>
    <v>67</v>
  </rv>
  <rv s="5">
    <fb>41504</fb>
    <v>67</v>
  </rv>
  <rv s="5">
    <fb>31661</fb>
    <v>67</v>
  </rv>
  <rv s="5">
    <fb>27629</fb>
    <v>67</v>
  </rv>
  <rv s="5">
    <fb>14201</fb>
    <v>67</v>
  </rv>
  <rv s="5">
    <fb>34887</fb>
    <v>67</v>
  </rv>
  <rv s="5">
    <fb>42444</fb>
    <v>67</v>
  </rv>
  <rv s="5">
    <fb>25426</fb>
    <v>67</v>
  </rv>
  <rv s="5">
    <fb>40190</fb>
    <v>67</v>
  </rv>
  <rv s="5">
    <fb>37842</fb>
    <v>67</v>
  </rv>
  <rv s="5">
    <fb>20490</fb>
    <v>67</v>
  </rv>
  <rv s="5">
    <fb>16121</fb>
    <v>67</v>
  </rv>
  <rv s="5">
    <fb>30903</fb>
    <v>67</v>
  </rv>
  <rv s="5">
    <fb>21429</fb>
    <v>67</v>
  </rv>
  <rv s="5">
    <fb>11553</fb>
    <v>67</v>
  </rv>
  <rv s="5">
    <fb>26318</fb>
    <v>67</v>
  </rv>
  <rv s="5">
    <fb>24537</fb>
    <v>67</v>
  </rv>
  <rv s="5">
    <fb>33207</fb>
    <v>67</v>
  </rv>
  <rv s="5">
    <fb>23857</fb>
    <v>67</v>
  </rv>
  <rv s="5">
    <fb>27732</fb>
    <v>67</v>
  </rv>
  <rv s="5">
    <fb>31084</fb>
    <v>67</v>
  </rv>
  <rv s="5">
    <fb>16785</fb>
    <v>67</v>
  </rv>
  <rv s="5">
    <fb>20857</fb>
    <v>67</v>
  </rv>
  <rv s="5">
    <fb>20655</fb>
    <v>67</v>
  </rv>
  <rv s="5">
    <fb>11016</fb>
    <v>67</v>
  </rv>
  <rv s="5">
    <fb>21176</fb>
    <v>67</v>
  </rv>
  <rv s="5">
    <fb>20010</fb>
    <v>67</v>
  </rv>
  <rv s="5">
    <fb>18451</fb>
    <v>67</v>
  </rv>
  <rv s="5">
    <fb>17709</fb>
    <v>67</v>
  </rv>
  <rv s="5">
    <fb>21935</fb>
    <v>67</v>
  </rv>
  <rv s="5">
    <fb>13151</fb>
    <v>67</v>
  </rv>
  <rv s="5">
    <fb>14751</fb>
    <v>67</v>
  </rv>
  <rv s="5">
    <fb>23588</fb>
    <v>67</v>
  </rv>
  <rv s="5">
    <fb>24183</fb>
    <v>67</v>
  </rv>
  <rv s="5">
    <fb>17944</fb>
    <v>67</v>
  </rv>
  <rv s="5">
    <fb>14011</fb>
    <v>67</v>
  </rv>
  <rv s="5">
    <fb>12335</fb>
    <v>67</v>
  </rv>
  <rv s="5">
    <fb>23792</fb>
    <v>67</v>
  </rv>
  <rv s="5">
    <fb>24301</fb>
    <v>67</v>
  </rv>
  <rv s="5">
    <fb>18476</fb>
    <v>67</v>
  </rv>
  <rv s="5">
    <fb>13734</fb>
    <v>67</v>
  </rv>
  <rv s="5">
    <fb>20170</fb>
    <v>67</v>
  </rv>
  <rv s="5">
    <fb>21415</fb>
    <v>67</v>
  </rv>
  <rv s="5">
    <fb>18508</fb>
    <v>67</v>
  </rv>
  <rv s="5">
    <fb>14999</fb>
    <v>67</v>
  </rv>
  <rv s="5">
    <fb>21131</fb>
    <v>67</v>
  </rv>
  <rv s="5">
    <fb>38052</fb>
    <v>67</v>
  </rv>
  <rv s="5">
    <fb>33951</fb>
    <v>67</v>
  </rv>
  <rv s="5">
    <fb>29594</fb>
    <v>67</v>
  </rv>
  <rv s="5">
    <fb>13330</fb>
    <v>67</v>
  </rv>
  <rv s="5">
    <fb>40347</fb>
    <v>67</v>
  </rv>
  <rv s="5">
    <fb>26251</fb>
    <v>67</v>
  </rv>
  <rv s="5">
    <fb>17081</fb>
    <v>67</v>
  </rv>
  <rv s="5">
    <fb>59201</fb>
    <v>67</v>
  </rv>
  <rv s="5">
    <fb>47838</fb>
    <v>67</v>
  </rv>
  <rv s="5">
    <fb>83993</fb>
    <v>67</v>
  </rv>
  <rv s="5">
    <fb>66382</fb>
    <v>67</v>
  </rv>
  <rv s="5">
    <fb>54928</fb>
    <v>67</v>
  </rv>
  <rv s="5">
    <fb>20302</fb>
    <v>67</v>
  </rv>
  <rv s="5">
    <fb>66321</fb>
    <v>67</v>
  </rv>
  <rv s="5">
    <fb>32948</fb>
    <v>67</v>
  </rv>
  <rv s="5">
    <fb>32724</fb>
    <v>67</v>
  </rv>
  <rv s="5">
    <fb>44554</fb>
    <v>67</v>
  </rv>
  <rv s="5">
    <fb>29361</fb>
    <v>67</v>
  </rv>
  <rv s="5">
    <fb>22498</fb>
    <v>67</v>
  </rv>
  <rv s="5">
    <fb>41917</fb>
    <v>67</v>
  </rv>
  <rv s="5">
    <fb>23577</fb>
    <v>67</v>
  </rv>
  <rv s="5">
    <fb>18026</fb>
    <v>67</v>
  </rv>
  <rv s="5">
    <fb>32031</fb>
    <v>67</v>
  </rv>
  <rv s="5">
    <fb>84017</fb>
    <v>67</v>
  </rv>
  <rv s="5">
    <fb>43155</fb>
    <v>67</v>
  </rv>
  <rv s="5">
    <fb>35334</fb>
    <v>67</v>
  </rv>
  <rv s="5">
    <fb>65359</fb>
    <v>67</v>
  </rv>
  <rv s="5">
    <fb>107455</fb>
    <v>67</v>
  </rv>
  <rv s="5">
    <fb>47415</fb>
    <v>67</v>
  </rv>
  <rv s="5">
    <fb>33604</fb>
    <v>67</v>
  </rv>
  <rv s="5">
    <fb>33616</fb>
    <v>67</v>
  </rv>
  <rv s="5">
    <fb>41664</fb>
    <v>67</v>
  </rv>
  <rv s="5">
    <fb>21481</fb>
    <v>67</v>
  </rv>
  <rv s="5">
    <fb>35673</fb>
    <v>67</v>
  </rv>
  <rv s="5">
    <fb>27280</fb>
    <v>67</v>
  </rv>
  <rv s="5">
    <fb>49516</fb>
    <v>67</v>
  </rv>
  <rv s="5">
    <fb>50975</fb>
    <v>67</v>
  </rv>
  <rv s="5">
    <fb>36775</fb>
    <v>67</v>
  </rv>
  <rv s="5">
    <fb>37361</fb>
    <v>67</v>
  </rv>
  <rv s="5">
    <fb>33513</fb>
    <v>67</v>
  </rv>
  <rv s="5">
    <fb>39973</fb>
    <v>67</v>
  </rv>
  <rv s="5">
    <fb>41448</fb>
    <v>67</v>
  </rv>
  <rv s="5">
    <fb>28984</fb>
    <v>67</v>
  </rv>
  <rv s="5">
    <fb>20898</fb>
    <v>67</v>
  </rv>
  <rv s="5">
    <fb>27624</fb>
    <v>67</v>
  </rv>
  <rv s="5">
    <fb>40968</fb>
    <v>67</v>
  </rv>
  <rv s="5">
    <fb>49920</fb>
    <v>67</v>
  </rv>
  <rv s="5">
    <fb>46711</fb>
    <v>67</v>
  </rv>
  <rv s="5">
    <fb>62938</fb>
    <v>67</v>
  </rv>
  <rv s="5">
    <fb>21018</fb>
    <v>67</v>
  </rv>
  <rv s="5">
    <fb>25767</fb>
    <v>67</v>
  </rv>
  <rv s="5">
    <fb>26966</fb>
    <v>67</v>
  </rv>
  <rv s="5">
    <fb>35906</fb>
    <v>67</v>
  </rv>
  <rv s="5">
    <fb>80718</fb>
    <v>67</v>
  </rv>
  <rv s="5">
    <fb>17635</fb>
    <v>67</v>
  </rv>
  <rv s="5">
    <fb>22372</fb>
    <v>67</v>
  </rv>
  <rv s="5">
    <fb>33859</fb>
    <v>67</v>
  </rv>
  <rv s="5">
    <fb>37333</fb>
    <v>67</v>
  </rv>
  <rv s="5">
    <fb>19195</fb>
    <v>67</v>
  </rv>
  <rv s="5">
    <fb>32122</fb>
    <v>67</v>
  </rv>
  <rv s="5">
    <fb>40428</fb>
    <v>67</v>
  </rv>
  <rv s="5">
    <fb>44174</fb>
    <v>67</v>
  </rv>
  <rv s="5">
    <fb>74395</fb>
    <v>67</v>
  </rv>
  <rv s="5">
    <fb>27387</fb>
    <v>67</v>
  </rv>
  <rv s="5">
    <fb>20955</fb>
    <v>67</v>
  </rv>
  <rv s="5">
    <fb>47807</fb>
    <v>67</v>
  </rv>
  <rv s="5">
    <fb>46536</fb>
    <v>67</v>
  </rv>
  <rv s="5">
    <fb>25787</fb>
    <v>67</v>
  </rv>
  <rv s="5">
    <fb>58877</fb>
    <v>67</v>
  </rv>
  <rv s="5">
    <fb>41235</fb>
    <v>67</v>
  </rv>
  <rv s="5">
    <fb>25296</fb>
    <v>67</v>
  </rv>
  <rv s="5">
    <fb>33808</fb>
    <v>67</v>
  </rv>
  <rv s="5">
    <fb>62130</fb>
    <v>67</v>
  </rv>
  <rv s="5">
    <fb>49419</fb>
    <v>67</v>
  </rv>
  <rv s="5">
    <fb>15763</fb>
    <v>67</v>
  </rv>
  <rv s="5">
    <fb>21964</fb>
    <v>67</v>
  </rv>
  <rv s="5">
    <fb>22566</fb>
    <v>67</v>
  </rv>
  <rv s="5">
    <fb>19660</fb>
    <v>67</v>
  </rv>
  <rv s="5">
    <fb>16435</fb>
    <v>67</v>
  </rv>
  <rv s="5">
    <fb>66061</fb>
    <v>67</v>
  </rv>
  <rv s="5">
    <fb>49207</fb>
    <v>67</v>
  </rv>
  <rv s="5">
    <fb>37537</fb>
    <v>67</v>
  </rv>
  <rv s="5">
    <fb>45796</fb>
    <v>66</v>
  </rv>
  <rv s="5">
    <fb>45839</fb>
    <v>66</v>
  </rv>
  <rv s="5">
    <fb>45873</fb>
    <v>66</v>
  </rv>
  <rv s="5">
    <fb>45943</fb>
    <v>66</v>
  </rv>
  <rv s="5">
    <fb>46017</fb>
    <v>66</v>
  </rv>
  <rv s="5">
    <fb>470276</fb>
    <v>67</v>
  </rv>
  <rv s="5">
    <fb>535123</fb>
    <v>67</v>
  </rv>
  <rv s="5">
    <fb>440021</fb>
    <v>67</v>
  </rv>
  <rv s="5">
    <fb>463075</fb>
    <v>67</v>
  </rv>
  <rv s="5">
    <fb>484292</fb>
    <v>67</v>
  </rv>
  <rv s="5">
    <fb>718878</fb>
    <v>67</v>
  </rv>
  <rv s="5">
    <fb>655155</fb>
    <v>67</v>
  </rv>
  <rv s="5">
    <fb>774045</fb>
    <v>67</v>
  </rv>
  <rv s="5">
    <fb>1363823</fb>
    <v>67</v>
  </rv>
  <rv s="5">
    <fb>879611</fb>
    <v>67</v>
  </rv>
  <rv s="5">
    <fb>516058</fb>
    <v>67</v>
  </rv>
  <rv s="5">
    <fb>652517</fb>
    <v>67</v>
  </rv>
  <rv s="5">
    <fb>968053</fb>
    <v>67</v>
  </rv>
  <rv s="5">
    <fb>2339731</fb>
    <v>67</v>
  </rv>
  <rv s="5">
    <fb>1802825</fb>
    <v>67</v>
  </rv>
  <rv s="5">
    <fb>1548304</fb>
    <v>67</v>
  </rv>
  <rv s="5">
    <fb>1448572</fb>
    <v>67</v>
  </rv>
  <rv s="5">
    <fb>920064</fb>
    <v>67</v>
  </rv>
  <rv s="5">
    <fb>645225</fb>
    <v>67</v>
  </rv>
  <rv s="5">
    <fb>632101</fb>
    <v>67</v>
  </rv>
  <rv s="5">
    <fb>502403</fb>
    <v>67</v>
  </rv>
  <rv s="5">
    <fb>739576</fb>
    <v>67</v>
  </rv>
  <rv s="5">
    <fb>444873</fb>
    <v>67</v>
  </rv>
  <rv s="5">
    <fb>478985</fb>
    <v>67</v>
  </rv>
  <rv s="5">
    <fb>393604</fb>
    <v>67</v>
  </rv>
  <rv s="5">
    <fb>1829639</fb>
    <v>67</v>
  </rv>
  <rv s="5">
    <fb>575085</fb>
    <v>67</v>
  </rv>
  <rv s="5">
    <fb>603313</fb>
    <v>67</v>
  </rv>
  <rv s="5">
    <fb>1271801</fb>
    <v>67</v>
  </rv>
  <rv s="5">
    <fb>517757</fb>
    <v>67</v>
  </rv>
  <rv s="5">
    <fb>591104</fb>
    <v>67</v>
  </rv>
  <rv s="5">
    <fb>682245</fb>
    <v>67</v>
  </rv>
  <rv s="5">
    <fb>450779</fb>
    <v>67</v>
  </rv>
  <rv s="5">
    <fb>447958</fb>
    <v>67</v>
  </rv>
  <rv s="5">
    <fb>870041</fb>
    <v>67</v>
  </rv>
  <rv s="5">
    <fb>473403</fb>
    <v>67</v>
  </rv>
  <rv s="5">
    <fb>686622</fb>
    <v>67</v>
  </rv>
  <rv s="5">
    <fb>502751</fb>
    <v>67</v>
  </rv>
  <rv s="5">
    <fb>346131</fb>
    <v>67</v>
  </rv>
  <rv s="5">
    <fb>694914</fb>
    <v>67</v>
  </rv>
  <rv s="5">
    <fb>410741</fb>
    <v>67</v>
  </rv>
  <rv s="5">
    <fb>387553</fb>
    <v>67</v>
  </rv>
  <rv s="5">
    <fb>1482226</fb>
    <v>67</v>
  </rv>
  <rv s="5">
    <fb>938435</fb>
    <v>67</v>
  </rv>
  <rv s="5">
    <fb>517635</fb>
    <v>67</v>
  </rv>
  <rv s="5">
    <fb>821289</fb>
    <v>67</v>
  </rv>
  <rv s="5">
    <fb>510506</fb>
    <v>67</v>
  </rv>
  <rv s="5">
    <fb>2029359</fb>
    <v>67</v>
  </rv>
  <rv s="5">
    <fb>801139</fb>
    <v>67</v>
  </rv>
  <rv s="5">
    <fb>1237349</fb>
    <v>67</v>
  </rv>
  <rv s="5">
    <fb>789119</fb>
    <v>67</v>
  </rv>
  <rv s="5">
    <fb>540398</fb>
    <v>67</v>
  </rv>
  <rv s="5">
    <fb>763069</fb>
    <v>67</v>
  </rv>
  <rv s="5">
    <fb>781989</fb>
    <v>67</v>
  </rv>
  <rv s="5">
    <fb>474673</fb>
    <v>67</v>
  </rv>
  <rv s="5">
    <fb>699715</fb>
    <v>67</v>
  </rv>
  <rv s="5">
    <fb>671419</fb>
    <v>67</v>
  </rv>
  <rv s="5">
    <fb>395828</fb>
    <v>67</v>
  </rv>
  <rv s="5">
    <fb>540173</fb>
    <v>67</v>
  </rv>
  <rv s="5">
    <fb>451977</fb>
    <v>67</v>
  </rv>
  <rv s="5">
    <fb>725180</fb>
    <v>67</v>
  </rv>
  <rv s="5">
    <fb>557073</fb>
    <v>67</v>
  </rv>
  <rv s="5">
    <fb>442113</fb>
    <v>67</v>
  </rv>
  <rv s="5">
    <fb>428269</fb>
    <v>67</v>
  </rv>
  <rv s="5">
    <fb>477379</fb>
    <v>67</v>
  </rv>
  <rv s="5">
    <fb>292155</fb>
    <v>67</v>
  </rv>
  <rv s="5">
    <fb>383828</fb>
    <v>67</v>
  </rv>
  <rv s="5">
    <fb>445459</fb>
    <v>67</v>
  </rv>
  <rv s="5">
    <fb>355115</fb>
    <v>67</v>
  </rv>
  <rv s="5">
    <fb>475608</fb>
    <v>67</v>
  </rv>
  <rv s="5">
    <fb>355436</fb>
    <v>67</v>
  </rv>
  <rv s="5">
    <fb>336641</fb>
    <v>67</v>
  </rv>
  <rv s="5">
    <fb>283627</fb>
    <v>67</v>
  </rv>
  <rv s="5">
    <fb>337737</fb>
    <v>67</v>
  </rv>
  <rv s="5">
    <fb>389807</fb>
    <v>67</v>
  </rv>
  <rv s="5">
    <fb>361778</fb>
    <v>67</v>
  </rv>
  <rv s="5">
    <fb>448539</fb>
    <v>67</v>
  </rv>
  <rv s="5">
    <fb>636418</fb>
    <v>67</v>
  </rv>
  <rv s="5">
    <fb>1090510</fb>
    <v>67</v>
  </rv>
  <rv s="5">
    <fb>868928</fb>
    <v>67</v>
  </rv>
  <rv s="5">
    <fb>553545</fb>
    <v>67</v>
  </rv>
  <rv s="5">
    <fb>544549</fb>
    <v>67</v>
  </rv>
  <rv s="5">
    <fb>392668</fb>
    <v>67</v>
  </rv>
  <rv s="5">
    <fb>405508</fb>
    <v>67</v>
  </rv>
  <rv s="5">
    <fb>317615</fb>
    <v>67</v>
  </rv>
  <rv s="5">
    <fb>218041</fb>
    <v>67</v>
  </rv>
  <rv s="5">
    <fb>425404</fb>
    <v>67</v>
  </rv>
  <rv s="5">
    <fb>354229</fb>
    <v>67</v>
  </rv>
  <rv s="5">
    <fb>365715</fb>
    <v>67</v>
  </rv>
  <rv s="5">
    <fb>365543</fb>
    <v>67</v>
  </rv>
  <rv s="5">
    <fb>291772</fb>
    <v>67</v>
  </rv>
  <rv s="5">
    <fb>320248</fb>
    <v>67</v>
  </rv>
  <rv s="5">
    <fb>294951</fb>
    <v>67</v>
  </rv>
  <rv s="5">
    <fb>277647</fb>
    <v>67</v>
  </rv>
  <rv s="5">
    <fb>416522</fb>
    <v>67</v>
  </rv>
  <rv s="5">
    <fb>338797</fb>
    <v>67</v>
  </rv>
  <rv s="5">
    <fb>298899</fb>
    <v>67</v>
  </rv>
  <rv s="5">
    <fb>261970</fb>
    <v>67</v>
  </rv>
  <rv s="5">
    <fb>357572</fb>
    <v>67</v>
  </rv>
  <rv s="5">
    <fb>316670</fb>
    <v>67</v>
  </rv>
  <rv s="5">
    <fb>210966</fb>
    <v>67</v>
  </rv>
  <rv s="5">
    <fb>368141</fb>
    <v>67</v>
  </rv>
  <rv s="5">
    <fb>296524</fb>
    <v>67</v>
  </rv>
  <rv s="5">
    <fb>343138</fb>
    <v>67</v>
  </rv>
  <rv s="5">
    <fb>382819</fb>
    <v>67</v>
  </rv>
  <rv s="5">
    <fb>1260438</fb>
    <v>67</v>
  </rv>
  <rv s="5">
    <fb>330366</fb>
    <v>67</v>
  </rv>
  <rv s="5">
    <fb>294263</fb>
    <v>67</v>
  </rv>
  <rv s="5">
    <fb>415743</fb>
    <v>67</v>
  </rv>
  <rv s="5">
    <fb>457340</fb>
    <v>67</v>
  </rv>
  <rv s="5">
    <fb>381365</fb>
    <v>67</v>
  </rv>
  <rv s="5">
    <fb>335625</fb>
    <v>67</v>
  </rv>
  <rv s="5">
    <fb>632007</fb>
    <v>67</v>
  </rv>
  <rv s="5">
    <fb>588537</fb>
    <v>67</v>
  </rv>
  <rv s="5">
    <fb>439232</fb>
    <v>67</v>
  </rv>
  <rv s="5">
    <fb>208335</fb>
    <v>67</v>
  </rv>
  <rv s="5">
    <fb>365532</fb>
    <v>67</v>
  </rv>
  <rv s="5">
    <fb>331409</fb>
    <v>67</v>
  </rv>
  <rv s="5">
    <fb>334653</fb>
    <v>67</v>
  </rv>
  <rv s="5">
    <fb>415236</fb>
    <v>67</v>
  </rv>
  <rv s="5">
    <fb>508807</fb>
    <v>67</v>
  </rv>
  <rv s="5">
    <fb>372037</fb>
    <v>67</v>
  </rv>
  <rv s="5">
    <fb>435575</fb>
    <v>67</v>
  </rv>
  <rv s="5">
    <fb>279552</fb>
    <v>67</v>
  </rv>
  <rv s="5">
    <fb>332866</fb>
    <v>67</v>
  </rv>
  <rv s="5">
    <fb>346129</fb>
    <v>67</v>
  </rv>
  <rv s="5">
    <fb>288108</fb>
    <v>67</v>
  </rv>
  <rv s="5">
    <fb>366979</fb>
    <v>67</v>
  </rv>
  <rv s="5">
    <fb>424219</fb>
    <v>67</v>
  </rv>
  <rv s="5">
    <fb>293971</fb>
    <v>67</v>
  </rv>
  <rv s="5">
    <fb>365952</fb>
    <v>67</v>
  </rv>
  <rv s="5">
    <fb>413492</fb>
    <v>67</v>
  </rv>
  <rv s="5">
    <fb>386367</fb>
    <v>67</v>
  </rv>
  <rv s="5">
    <fb>409457</fb>
    <v>67</v>
  </rv>
  <rv s="5">
    <fb>296101</fb>
    <v>67</v>
  </rv>
  <rv s="5">
    <fb>302671</fb>
    <v>67</v>
  </rv>
  <rv s="5">
    <fb>405381</fb>
    <v>67</v>
  </rv>
  <rv s="5">
    <fb>430245</fb>
    <v>67</v>
  </rv>
  <rv s="5">
    <fb>334425</fb>
    <v>67</v>
  </rv>
  <rv s="5">
    <fb>395696</fb>
    <v>67</v>
  </rv>
  <rv s="5">
    <fb>316603</fb>
    <v>67</v>
  </rv>
  <rv s="5">
    <fb>299000</fb>
    <v>67</v>
  </rv>
  <rv s="5">
    <fb>237292</fb>
    <v>67</v>
  </rv>
  <rv s="5">
    <fb>386978</fb>
    <v>67</v>
  </rv>
  <rv s="5">
    <fb>902868</fb>
    <v>67</v>
  </rv>
  <rv s="5">
    <fb>342962</fb>
    <v>67</v>
  </rv>
  <rv s="5">
    <fb>329956</fb>
    <v>67</v>
  </rv>
  <rv s="5">
    <fb>266347</fb>
    <v>67</v>
  </rv>
  <rv s="5">
    <fb>223425</fb>
    <v>67</v>
  </rv>
  <rv s="5">
    <fb>336440</fb>
    <v>67</v>
  </rv>
  <rv s="5">
    <fb>341368</fb>
    <v>67</v>
  </rv>
  <rv s="5">
    <fb>394308</fb>
    <v>67</v>
  </rv>
  <rv s="5">
    <fb>247619</fb>
    <v>67</v>
  </rv>
  <rv s="5">
    <fb>277751</fb>
    <v>67</v>
  </rv>
  <rv s="5">
    <fb>195861</fb>
    <v>67</v>
  </rv>
  <rv s="5">
    <fb>305309</fb>
    <v>67</v>
  </rv>
  <rv s="5">
    <fb>191612</fb>
    <v>67</v>
  </rv>
  <rv s="5">
    <fb>429020</fb>
    <v>67</v>
  </rv>
  <rv s="5">
    <fb>378313</fb>
    <v>67</v>
  </rv>
  <rv s="5">
    <fb>368098</fb>
    <v>67</v>
  </rv>
  <rv s="5">
    <fb>1142438</fb>
    <v>67</v>
  </rv>
  <rv s="5">
    <fb>1917126</fb>
    <v>67</v>
  </rv>
  <rv s="5">
    <fb>1097984</fb>
    <v>67</v>
  </rv>
  <rv s="5">
    <fb>635871</fb>
    <v>67</v>
  </rv>
  <rv s="5">
    <fb>585758</fb>
    <v>67</v>
  </rv>
  <rv s="5">
    <fb>1075018</fb>
    <v>67</v>
  </rv>
  <rv s="5">
    <fb>1003670</fb>
    <v>67</v>
  </rv>
  <rv s="5">
    <fb>579999</fb>
    <v>67</v>
  </rv>
  <rv s="5">
    <fb>482739</fb>
    <v>67</v>
  </rv>
  <rv s="5">
    <fb>1588174</fb>
    <v>67</v>
  </rv>
  <rv s="5">
    <fb>446034</fb>
    <v>67</v>
  </rv>
  <rv s="5">
    <fb>489122</fb>
    <v>67</v>
  </rv>
  <rv s="5">
    <fb>188619</fb>
    <v>67</v>
  </rv>
  <rv s="5">
    <fb>189939</fb>
    <v>67</v>
  </rv>
  <rv s="5">
    <fb>234856</fb>
    <v>67</v>
  </rv>
  <rv s="5">
    <fb>407786</fb>
    <v>67</v>
  </rv>
  <rv s="5">
    <fb>404702</fb>
    <v>67</v>
  </rv>
  <rv s="5">
    <fb>255884</fb>
    <v>67</v>
  </rv>
  <rv s="5">
    <fb>547756</fb>
    <v>67</v>
  </rv>
  <rv s="5">
    <fb>980366</fb>
    <v>67</v>
  </rv>
  <rv s="5">
    <fb>398627</fb>
    <v>67</v>
  </rv>
  <rv s="5">
    <fb>360786</fb>
    <v>67</v>
  </rv>
  <rv s="5">
    <fb>333410</fb>
    <v>67</v>
  </rv>
  <rv s="5">
    <fb>454371</fb>
    <v>67</v>
  </rv>
  <rv s="5">
    <fb>580931</fb>
    <v>67</v>
  </rv>
  <rv s="5">
    <fb>379716</fb>
    <v>67</v>
  </rv>
  <rv s="5">
    <fb>636441</fb>
    <v>67</v>
  </rv>
  <rv s="5">
    <fb>346946</fb>
    <v>67</v>
  </rv>
  <rv s="5">
    <fb>319564</fb>
    <v>67</v>
  </rv>
  <rv s="5">
    <fb>369927</fb>
    <v>67</v>
  </rv>
  <rv s="5">
    <fb>367434</fb>
    <v>67</v>
  </rv>
  <rv s="5">
    <fb>784691</fb>
    <v>67</v>
  </rv>
  <rv s="5">
    <fb>486190</fb>
    <v>67</v>
  </rv>
  <rv s="5">
    <fb>330571</fb>
    <v>67</v>
  </rv>
  <rv s="5">
    <fb>305694</fb>
    <v>67</v>
  </rv>
  <rv s="5">
    <fb>446336</fb>
    <v>67</v>
  </rv>
  <rv s="5">
    <fb>472738</fb>
    <v>67</v>
  </rv>
  <rv s="5">
    <fb>433645</fb>
    <v>67</v>
  </rv>
  <rv s="5">
    <fb>522004</fb>
    <v>67</v>
  </rv>
  <rv s="5">
    <fb>429151</fb>
    <v>67</v>
  </rv>
  <rv s="5">
    <fb>1497101</fb>
    <v>67</v>
  </rv>
  <rv s="5">
    <fb>1152982</fb>
    <v>67</v>
  </rv>
  <rv s="5">
    <fb>500208</fb>
    <v>67</v>
  </rv>
  <rv s="5">
    <fb>699449</fb>
    <v>67</v>
  </rv>
  <rv s="5">
    <fb>442626</fb>
    <v>67</v>
  </rv>
  <rv s="5">
    <fb>401029</fb>
    <v>67</v>
  </rv>
  <rv s="5">
    <fb>343662</fb>
    <v>67</v>
  </rv>
  <rv s="5">
    <fb>306964</fb>
    <v>67</v>
  </rv>
  <rv s="5">
    <fb>387927</fb>
    <v>67</v>
  </rv>
  <rv s="5">
    <fb>337788</fb>
    <v>67</v>
  </rv>
  <rv s="5">
    <fb>425303</fb>
    <v>67</v>
  </rv>
  <rv s="5">
    <fb>539164</fb>
    <v>67</v>
  </rv>
  <rv s="5">
    <fb>412497</fb>
    <v>67</v>
  </rv>
  <rv s="5">
    <fb>506441</fb>
    <v>67</v>
  </rv>
  <rv s="5">
    <fb>385920</fb>
    <v>67</v>
  </rv>
  <rv s="5">
    <fb>442309</fb>
    <v>67</v>
  </rv>
  <rv s="5">
    <fb>333495</fb>
    <v>67</v>
  </rv>
  <rv s="5">
    <fb>380723</fb>
    <v>67</v>
  </rv>
  <rv s="5">
    <fb>381121</fb>
    <v>67</v>
  </rv>
  <rv s="5">
    <fb>566907</fb>
    <v>67</v>
  </rv>
  <rv s="5">
    <fb>503110</fb>
    <v>67</v>
  </rv>
  <rv s="5">
    <fb>442614</fb>
    <v>67</v>
  </rv>
  <rv s="5">
    <fb>536882</fb>
    <v>67</v>
  </rv>
  <rv s="5">
    <fb>401925</fb>
    <v>67</v>
  </rv>
  <rv s="5">
    <fb>530705</fb>
    <v>67</v>
  </rv>
  <rv s="5">
    <fb>685430</fb>
    <v>67</v>
  </rv>
  <rv s="5">
    <fb>531610</fb>
    <v>67</v>
  </rv>
  <rv s="5">
    <fb>566817</fb>
    <v>67</v>
  </rv>
  <rv s="5">
    <fb>621902</fb>
    <v>67</v>
  </rv>
  <rv s="5">
    <fb>802425</fb>
    <v>67</v>
  </rv>
  <rv s="5">
    <fb>2770360</fb>
    <v>67</v>
  </rv>
  <rv s="5">
    <fb>552020</fb>
    <v>67</v>
  </rv>
  <rv s="5">
    <fb>560904</fb>
    <v>67</v>
  </rv>
  <rv s="5">
    <fb>617748</fb>
    <v>67</v>
  </rv>
  <rv s="5">
    <fb>540107</fb>
    <v>67</v>
  </rv>
  <rv s="5">
    <fb>440591</fb>
    <v>67</v>
  </rv>
  <rv s="5">
    <fb>482699</fb>
    <v>67</v>
  </rv>
  <rv s="5">
    <fb>946568</fb>
    <v>67</v>
  </rv>
  <rv s="5">
    <fb>725804</fb>
    <v>67</v>
  </rv>
  <rv s="5">
    <fb>496052</fb>
    <v>67</v>
  </rv>
  <rv s="5">
    <fb>573855</fb>
    <v>67</v>
  </rv>
  <rv s="5">
    <fb>650810</fb>
    <v>67</v>
  </rv>
  <rv s="5">
    <fb>601673</fb>
    <v>67</v>
  </rv>
  <rv s="5">
    <fb>398875</fb>
    <v>67</v>
  </rv>
  <rv s="5">
    <fb>291350</fb>
    <v>67</v>
  </rv>
  <rv s="5">
    <fb>282207</fb>
    <v>67</v>
  </rv>
  <rv s="5">
    <fb>419023</fb>
    <v>67</v>
  </rv>
  <rv s="5">
    <fb>396400</fb>
    <v>67</v>
  </rv>
  <rv s="5">
    <fb>487989</fb>
    <v>67</v>
  </rv>
  <rv s="5">
    <fb>492417</fb>
    <v>67</v>
  </rv>
  <rv s="5">
    <fb>432960</fb>
    <v>67</v>
  </rv>
  <rv s="5">
    <fb>34928346</fb>
    <v>67</v>
  </rv>
  <rv s="5">
    <fb>42288918</fb>
    <v>67</v>
  </rv>
  <rv s="5">
    <fb>54428408</fb>
    <v>67</v>
  </rv>
  <rv s="5">
    <fb>42457109</fb>
    <v>67</v>
  </rv>
  <rv s="5">
    <fb>32694154</fb>
    <v>67</v>
  </rv>
  <rv s="5">
    <fb>37428007</fb>
    <v>67</v>
  </rv>
  <rv s="5">
    <fb>33792544</fb>
    <v>67</v>
  </rv>
  <rv s="5">
    <fb>40994596</fb>
    <v>67</v>
  </rv>
  <rv s="5">
    <fb>33569144</fb>
    <v>67</v>
  </rv>
  <rv s="5">
    <fb>41613021</fb>
    <v>67</v>
  </rv>
  <rv s="5">
    <fb>32829236</fb>
    <v>67</v>
  </rv>
  <rv s="5">
    <fb>29541838</fb>
    <v>67</v>
  </rv>
  <rv s="5">
    <fb>30928612</fb>
    <v>67</v>
  </rv>
  <rv s="5">
    <fb>41861747</fb>
    <v>67</v>
  </rv>
  <rv s="5">
    <fb>27222761</fb>
    <v>67</v>
  </rv>
  <rv s="5">
    <fb>44875064</fb>
    <v>67</v>
  </rv>
  <rv s="5">
    <fb>43232541</fb>
    <v>67</v>
  </rv>
  <rv s="5">
    <fb>42419547</fb>
    <v>67</v>
  </rv>
  <rv s="5">
    <fb>47379372</fb>
    <v>67</v>
  </rv>
  <rv s="5">
    <fb>49488135</fb>
    <v>67</v>
  </rv>
  <rv s="5">
    <fb>37915717</fb>
    <v>67</v>
  </rv>
  <rv s="5">
    <fb>33424251</fb>
    <v>67</v>
  </rv>
  <rv s="5">
    <fb>55594058</fb>
    <v>67</v>
  </rv>
  <rv s="5">
    <fb>29026187</fb>
    <v>67</v>
  </rv>
  <rv s="5">
    <fb>34875060</fb>
    <v>67</v>
  </rv>
  <rv s="5">
    <fb>36322007</fb>
    <v>67</v>
  </rv>
  <rv s="5">
    <fb>35673753</fb>
    <v>67</v>
  </rv>
  <rv s="5">
    <fb>28553008</fb>
    <v>67</v>
  </rv>
  <rv s="5">
    <fb>66537474</fb>
    <v>67</v>
  </rv>
  <rv s="5">
    <fb>28582598</fb>
    <v>67</v>
  </rv>
  <rv s="5">
    <fb>31320154</fb>
    <v>67</v>
  </rv>
  <rv s="5">
    <fb>30591708</fb>
    <v>67</v>
  </rv>
  <rv s="5">
    <fb>32036157</fb>
    <v>67</v>
  </rv>
  <rv s="5">
    <fb>37013001</fb>
    <v>67</v>
  </rv>
  <rv s="5">
    <fb>32414025</fb>
    <v>67</v>
  </rv>
  <rv s="5">
    <fb>32229081</fb>
    <v>67</v>
  </rv>
  <rv s="5">
    <fb>47873455</fb>
    <v>67</v>
  </rv>
  <rv s="5">
    <fb>30165422</fb>
    <v>67</v>
  </rv>
  <rv s="5">
    <fb>43281740</fb>
    <v>67</v>
  </rv>
  <rv s="5">
    <fb>34103646</fb>
    <v>67</v>
  </rv>
  <rv s="5">
    <fb>27489633</fb>
    <v>67</v>
  </rv>
  <rv s="5">
    <fb>37684730</fb>
    <v>67</v>
  </rv>
  <rv s="5">
    <fb>64591572</fb>
    <v>67</v>
  </rv>
  <rv s="5">
    <fb>42683615</fb>
    <v>67</v>
  </rv>
  <rv s="5">
    <fb>45437593</fb>
    <v>67</v>
  </rv>
  <rv s="5">
    <fb>33532391</fb>
    <v>67</v>
  </rv>
  <rv s="5">
    <fb>40127021</fb>
    <v>67</v>
  </rv>
  <rv s="5">
    <fb>56705021</fb>
    <v>67</v>
  </rv>
  <rv s="5">
    <fb>47921177</fb>
    <v>67</v>
  </rv>
  <rv s="5">
    <fb>48540877</fb>
    <v>67</v>
  </rv>
  <rv s="5">
    <fb>48003612</fb>
    <v>67</v>
  </rv>
  <rv s="5">
    <fb>21620278</fb>
    <v>67</v>
  </rv>
  <rv s="5">
    <fb>35567880</fb>
    <v>67</v>
  </rv>
  <rv s="5">
    <fb>88086497</fb>
    <v>67</v>
  </rv>
  <rv s="5">
    <fb>46227855</fb>
    <v>67</v>
  </rv>
  <rv s="5">
    <fb>44224992</fb>
    <v>67</v>
  </rv>
  <rv s="5">
    <fb>31653005</fb>
    <v>67</v>
  </rv>
  <rv s="5">
    <fb>36381172</fb>
    <v>67</v>
  </rv>
  <rv s="5">
    <fb>55144992</fb>
    <v>67</v>
  </rv>
  <rv s="5">
    <fb>61296628</fb>
    <v>67</v>
  </rv>
  <rv s="5">
    <fb>56480729</fb>
    <v>67</v>
  </rv>
  <rv s="5">
    <fb>48314188</fb>
    <v>67</v>
  </rv>
  <rv s="5">
    <fb>32199673</fb>
    <v>67</v>
  </rv>
  <rv s="5">
    <fb>34749381</fb>
    <v>67</v>
  </rv>
  <rv s="5">
    <fb>31380097</fb>
    <v>67</v>
  </rv>
  <rv s="5">
    <fb>42967619</fb>
    <v>67</v>
  </rv>
  <rv s="5">
    <fb>24461228</fb>
    <v>67</v>
  </rv>
  <rv s="5">
    <fb>20590380</fb>
    <v>67</v>
  </rv>
  <rv s="5">
    <fb>26216484</fb>
    <v>67</v>
  </rv>
  <rv s="5">
    <fb>32265850</fb>
    <v>67</v>
  </rv>
  <rv s="5">
    <fb>40016313</fb>
    <v>67</v>
  </rv>
  <rv s="5">
    <fb>52310438</fb>
    <v>67</v>
  </rv>
  <rv s="5">
    <fb>31038904</fb>
    <v>67</v>
  </rv>
  <rv s="5">
    <fb>36798320</fb>
    <v>67</v>
  </rv>
  <rv s="5">
    <fb>27916767</fb>
    <v>67</v>
  </rv>
  <rv s="5">
    <fb>30609882</fb>
    <v>67</v>
  </rv>
  <rv s="5">
    <fb>37131557</fb>
    <v>67</v>
  </rv>
  <rv s="5">
    <fb>35559383</fb>
    <v>67</v>
  </rv>
  <rv s="5">
    <fb>35484466</fb>
    <v>67</v>
  </rv>
  <rv s="5">
    <fb>29465062</fb>
    <v>67</v>
  </rv>
  <rv s="5">
    <fb>21073786</fb>
    <v>67</v>
  </rv>
  <rv s="5">
    <fb>26276902</fb>
    <v>67</v>
  </rv>
  <rv s="5">
    <fb>43125120</fb>
    <v>67</v>
  </rv>
  <rv s="5">
    <fb>33783443</fb>
    <v>67</v>
  </rv>
  <rv s="5">
    <fb>30822222</fb>
    <v>67</v>
  </rv>
  <rv s="5">
    <fb>28713163</fb>
    <v>67</v>
  </rv>
  <rv s="5">
    <fb>45078911</fb>
    <v>67</v>
  </rv>
  <rv s="5">
    <fb>34715749</fb>
    <v>67</v>
  </rv>
  <rv s="5">
    <fb>40609302</fb>
    <v>67</v>
  </rv>
  <rv s="5">
    <fb>42428187</fb>
    <v>67</v>
  </rv>
  <rv s="5">
    <fb>32949399</fb>
    <v>67</v>
  </rv>
  <rv s="5">
    <fb>32496470</fb>
    <v>67</v>
  </rv>
  <rv s="5">
    <fb>52719782</fb>
    <v>67</v>
  </rv>
  <rv s="5">
    <fb>38344193</fb>
    <v>67</v>
  </rv>
  <rv s="5">
    <fb>34796896</fb>
    <v>67</v>
  </rv>
  <rv s="5">
    <fb>40063322</fb>
    <v>67</v>
  </rv>
  <rv s="5">
    <fb>48033135</fb>
    <v>67</v>
  </rv>
  <rv s="5">
    <fb>40060147</fb>
    <v>67</v>
  </rv>
  <rv s="5">
    <fb>31706338</fb>
    <v>67</v>
  </rv>
  <rv s="5">
    <fb>28055187</fb>
    <v>67</v>
  </rv>
  <rv s="5">
    <fb>27851108</fb>
    <v>67</v>
  </rv>
  <rv s="5">
    <fb>29043572</fb>
    <v>67</v>
  </rv>
  <rv s="5">
    <fb>31624444</fb>
    <v>67</v>
  </rv>
  <rv s="5">
    <fb>38337889</fb>
    <v>67</v>
  </rv>
  <rv s="5">
    <fb>35246871</fb>
    <v>67</v>
  </rv>
  <rv s="5">
    <fb>98970669</fb>
    <v>67</v>
  </rv>
  <rv s="5">
    <fb>27467951</fb>
    <v>67</v>
  </rv>
  <rv s="5">
    <fb>28278182</fb>
    <v>67</v>
  </rv>
  <rv s="5">
    <fb>27010386</fb>
    <v>67</v>
  </rv>
  <rv s="5">
    <fb>22957932</fb>
    <v>67</v>
  </rv>
  <rv s="5">
    <fb>20025763</fb>
    <v>67</v>
  </rv>
  <rv s="5">
    <fb>23700991</fb>
    <v>67</v>
  </rv>
  <rv s="5">
    <fb>29944960</fb>
    <v>67</v>
  </rv>
  <rv s="5">
    <fb>27709125</fb>
    <v>67</v>
  </rv>
  <rv s="5">
    <fb>22757213</fb>
    <v>67</v>
  </rv>
  <rv s="5">
    <fb>24565717</fb>
    <v>67</v>
  </rv>
  <rv s="5">
    <fb>25386321</fb>
    <v>67</v>
  </rv>
  <rv s="5">
    <fb>24107321</fb>
    <v>67</v>
  </rv>
  <rv s="5">
    <fb>24014168</fb>
    <v>67</v>
  </rv>
  <rv s="5">
    <fb>21816912</fb>
    <v>67</v>
  </rv>
  <rv s="5">
    <fb>31831921</fb>
    <v>67</v>
  </rv>
  <rv s="5">
    <fb>34462800</fb>
    <v>67</v>
  </rv>
  <rv s="5">
    <fb>42462595</fb>
    <v>67</v>
  </rv>
  <rv s="5">
    <fb>69992192</fb>
    <v>67</v>
  </rv>
  <rv s="5">
    <fb>49027707</fb>
    <v>67</v>
  </rv>
  <rv s="5">
    <fb>48915375</fb>
    <v>67</v>
  </rv>
  <rv s="5">
    <fb>25785985</fb>
    <v>67</v>
  </rv>
  <rv s="5">
    <fb>27303428</fb>
    <v>67</v>
  </rv>
  <rv s="5">
    <fb>34954973</fb>
    <v>67</v>
  </rv>
  <rv s="5">
    <fb>26028810</fb>
    <v>67</v>
  </rv>
  <rv s="5">
    <fb>38923897</fb>
    <v>67</v>
  </rv>
  <rv s="5">
    <fb>27345801</fb>
    <v>67</v>
  </rv>
  <rv s="5">
    <fb>29575215</fb>
    <v>67</v>
  </rv>
  <rv s="5">
    <fb>29158770</fb>
    <v>67</v>
  </rv>
  <rv s="5">
    <fb>37548588</fb>
    <v>67</v>
  </rv>
  <rv s="5">
    <fb>39295717</fb>
    <v>67</v>
  </rv>
  <rv s="5">
    <fb>31252323</fb>
    <v>67</v>
  </rv>
  <rv s="5">
    <fb>47226578</fb>
    <v>67</v>
  </rv>
  <rv s="5">
    <fb>54353588</fb>
    <v>67</v>
  </rv>
  <rv s="5">
    <fb>55296039</fb>
    <v>67</v>
  </rv>
  <rv s="5">
    <fb>40537658</fb>
    <v>67</v>
  </rv>
  <rv s="5">
    <fb>26094576</fb>
    <v>67</v>
  </rv>
  <rv s="5">
    <fb>22244345</fb>
    <v>67</v>
  </rv>
  <rv s="5">
    <fb>40536695</fb>
    <v>67</v>
  </rv>
  <rv s="5">
    <fb>37716055</fb>
    <v>67</v>
  </rv>
  <rv s="5">
    <fb>32363064</fb>
    <v>67</v>
  </rv>
  <rv s="5">
    <fb>35546828</fb>
    <v>67</v>
  </rv>
  <rv s="5">
    <fb>35189535</fb>
    <v>67</v>
  </rv>
  <rv s="5">
    <fb>28112345</fb>
    <v>67</v>
  </rv>
  <rv s="5">
    <fb>36661608</fb>
    <v>67</v>
  </rv>
  <rv s="5">
    <fb>43867164</fb>
    <v>67</v>
  </rv>
  <rv s="5">
    <fb>52852083</fb>
    <v>67</v>
  </rv>
  <rv s="5">
    <fb>41310130</fb>
    <v>67</v>
  </rv>
  <rv s="5">
    <fb>32045585</fb>
    <v>67</v>
  </rv>
  <rv s="5">
    <fb>18920782</fb>
    <v>67</v>
  </rv>
  <rv s="5">
    <fb>30536532</fb>
    <v>67</v>
  </rv>
  <rv s="5">
    <fb>46073513</fb>
    <v>67</v>
  </rv>
  <rv s="5">
    <fb>37134402</fb>
    <v>67</v>
  </rv>
  <rv s="5">
    <fb>38529590</fb>
    <v>67</v>
  </rv>
  <rv s="5">
    <fb>33986515</fb>
    <v>67</v>
  </rv>
  <rv s="5">
    <fb>34386644</fb>
    <v>67</v>
  </rv>
  <rv s="5">
    <fb>47189323</fb>
    <v>67</v>
  </rv>
  <rv s="5">
    <fb>54424439</fb>
    <v>67</v>
  </rv>
  <rv s="5">
    <fb>35686915</fb>
    <v>67</v>
  </rv>
  <rv s="5">
    <fb>40539413</fb>
    <v>67</v>
  </rv>
  <rv s="5">
    <fb>32881254</fb>
    <v>67</v>
  </rv>
  <rv s="5">
    <fb>32931915</fb>
    <v>67</v>
  </rv>
  <rv s="5">
    <fb>35304082</fb>
    <v>67</v>
  </rv>
  <rv s="5">
    <fb>87452699</fb>
    <v>67</v>
  </rv>
  <rv s="5">
    <fb>73001930</fb>
    <v>67</v>
  </rv>
  <rv s="5">
    <fb>33408769</fb>
    <v>67</v>
  </rv>
  <rv s="5">
    <fb>22274605</fb>
    <v>67</v>
  </rv>
  <rv s="5">
    <fb>13634407</fb>
    <v>67</v>
  </rv>
  <rv s="5">
    <fb>15259444</fb>
    <v>67</v>
  </rv>
  <rv s="5">
    <fb>21040098</fb>
    <v>67</v>
  </rv>
  <rv s="5">
    <fb>17427630</fb>
    <v>67</v>
  </rv>
  <rv s="5">
    <fb>16293026</fb>
    <v>67</v>
  </rv>
  <rv s="5">
    <fb>25503555</fb>
    <v>67</v>
  </rv>
  <rv s="5">
    <fb>36096600</fb>
    <v>67</v>
  </rv>
  <rv s="5">
    <fb>31791923</fb>
    <v>67</v>
  </rv>
  <rv s="5">
    <fb>49695546</fb>
    <v>67</v>
  </rv>
  <rv s="5">
    <fb>30933669</fb>
    <v>67</v>
  </rv>
  <rv s="5">
    <fb>30768757</fb>
    <v>67</v>
  </rv>
  <rv s="5">
    <fb>45860555</fb>
    <v>67</v>
  </rv>
  <rv s="5">
    <fb>43542232</fb>
    <v>67</v>
  </rv>
  <rv s="5">
    <fb>84750044</fb>
    <v>67</v>
  </rv>
  <rv s="5">
    <fb>51018273</fb>
    <v>67</v>
  </rv>
  <rv s="5">
    <fb>52178429</fb>
    <v>67</v>
  </rv>
  <rv s="5">
    <fb>49172654</fb>
    <v>67</v>
  </rv>
  <rv s="5">
    <fb>36339971</fb>
    <v>67</v>
  </rv>
  <rv s="5">
    <fb>31229211</fb>
    <v>67</v>
  </rv>
  <rv s="5">
    <fb>34553499</fb>
    <v>67</v>
  </rv>
  <rv s="5">
    <fb>27728400</fb>
    <v>67</v>
  </rv>
  <rv s="5">
    <fb>26494298</fb>
    <v>67</v>
  </rv>
  <rv s="5">
    <fb>35030158</fb>
    <v>67</v>
  </rv>
  <rv s="5">
    <fb>35200456</fb>
    <v>67</v>
  </rv>
  <rv s="5">
    <fb>34549130</fb>
    <v>67</v>
  </rv>
  <rv s="5">
    <fb>34624464</fb>
    <v>67</v>
  </rv>
  <rv s="5">
    <fb>41208444</fb>
    <v>67</v>
  </rv>
  <rv s="5">
    <fb>54522543</fb>
    <v>67</v>
  </rv>
  <rv s="5">
    <fb>32959672</fb>
    <v>67</v>
  </rv>
  <rv s="5">
    <fb>42467989</fb>
    <v>67</v>
  </rv>
  <rv s="5">
    <fb>31968377</fb>
    <v>67</v>
  </rv>
  <rv s="5">
    <fb>48304748</fb>
    <v>67</v>
  </rv>
  <rv s="5">
    <fb>48973507</fb>
    <v>67</v>
  </rv>
  <rv s="5">
    <fb>55481595</fb>
    <v>67</v>
  </rv>
  <rv s="5">
    <fb>31772096</fb>
    <v>67</v>
  </rv>
  <rv s="5">
    <fb>35542357</fb>
    <v>67</v>
  </rv>
  <rv s="5">
    <fb>30698902</fb>
    <v>67</v>
  </rv>
  <rv s="5">
    <fb>47148587</fb>
    <v>67</v>
  </rv>
  <rv s="5">
    <fb>33552006</fb>
    <v>67</v>
  </rv>
  <rv s="5">
    <fb>50602478</fb>
    <v>67</v>
  </rv>
  <rv s="5">
    <fb>53062697</fb>
    <v>67</v>
  </rv>
  <rv s="5">
    <fb>41375022</fb>
    <v>67</v>
  </rv>
  <rv s="5">
    <fb>52418498</fb>
    <v>67</v>
  </rv>
  <rv s="5">
    <fb>77728699</fb>
    <v>67</v>
  </rv>
  <rv s="5">
    <fb>40595188</fb>
    <v>67</v>
  </rv>
  <rv s="5">
    <fb>51242938</fb>
    <v>67</v>
  </rv>
  <rv s="5">
    <fb>34208496</fb>
    <v>67</v>
  </rv>
  <rv s="5">
    <fb>39073943</fb>
    <v>67</v>
  </rv>
  <rv s="5">
    <fb>47015993</fb>
    <v>67</v>
  </rv>
  <rv s="5">
    <fb>62752798</fb>
    <v>67</v>
  </rv>
  <rv s="5">
    <fb>50271136</fb>
    <v>67</v>
  </rv>
  <rv s="5">
    <fb>42185812</fb>
    <v>67</v>
  </rv>
  <rv s="5">
    <fb>58354534</fb>
    <v>67</v>
  </rv>
  <rv s="5">
    <fb>45473073</fb>
    <v>67</v>
  </rv>
  <rv s="5">
    <fb>38055608</fb>
    <v>67</v>
  </rv>
  <rv s="5">
    <fb>33427815</fb>
    <v>67</v>
  </rv>
  <rv s="5">
    <fb>40251811</fb>
    <v>67</v>
  </rv>
  <rv s="5">
    <fb>38601377</fb>
    <v>67</v>
  </rv>
  <rv s="5">
    <fb>78060881</fb>
    <v>67</v>
  </rv>
  <rv s="5">
    <fb>42333241</fb>
    <v>67</v>
  </rv>
  <rv s="5">
    <fb>39804103</fb>
    <v>67</v>
  </rv>
  <rv s="5">
    <fb>29988292</fb>
    <v>67</v>
  </rv>
  <rv s="5">
    <fb>32502597</fb>
    <v>67</v>
  </rv>
  <rv s="5">
    <fb>36781861</fb>
    <v>67</v>
  </rv>
  <rv s="5">
    <fb>43375850</fb>
    <v>67</v>
  </rv>
  <rv s="5">
    <fb>49060591</fb>
    <v>67</v>
  </rv>
  <rv s="5">
    <fb>32947016</fb>
    <v>67</v>
  </rv>
  <rv s="5">
    <fb>27548242</fb>
    <v>67</v>
  </rv>
  <rv s="5">
    <fb>28507199</fb>
    <v>67</v>
  </rv>
  <rv s="5">
    <fb>28473178</fb>
    <v>67</v>
  </rv>
  <rv s="5">
    <fb>36473548</fb>
    <v>67</v>
  </rv>
  <rv s="5">
    <fb>32007987</fb>
    <v>67</v>
  </rv>
  <rv s="5">
    <fb>25225326</fb>
    <v>67</v>
  </rv>
  <rv s="5">
    <fb>27835292</fb>
    <v>67</v>
  </rv>
  <rv s="5">
    <fb>40178472</fb>
    <v>67</v>
  </rv>
  <rv s="5">
    <fb>63838206</fb>
    <v>67</v>
  </rv>
  <rv s="5">
    <fb>35206733</fb>
    <v>67</v>
  </rv>
  <rv s="5">
    <fb>43484724</fb>
    <v>67</v>
  </rv>
  <rv s="5">
    <fb>43999191</fb>
    <v>67</v>
  </rv>
  <rv s="0">
    <v>https://www.bing.com/financeapi/forcetrigger?t=a1w2u2&amp;q=XNAS%3aJD&amp;form=skydnc</v>
    <v>Learn more on Bing</v>
  </rv>
  <rv s="1">
    <v>fr-FR</v>
    <v>a1w2u2</v>
    <v>268435456</v>
    <v>1</v>
    <v>Avec Refinitiv</v>
    <v>0</v>
    <v>1</v>
    <v>JD.COM, INC. (XNAS:JD)</v>
    <v>3</v>
    <v>71</v>
    <v>Finance</v>
    <v>21</v>
    <v>XNAS</v>
    <v>1593777000</v>
    <v>30.445</v>
    <v>24.507999999999999</v>
    <v>0.43020000000000003</v>
    <v>48642074040</v>
    <v>Nasdaq Stock Market</v>
    <v>0.06</v>
    <v>1.9659999999999999E-3</v>
    <v>31.37</v>
    <v>JD</v>
    <v>46133.900019733592</v>
    <v>JD.Com Inc est une société principalement engagée dans le commerce électronique, y compris la vente au détail en ligne et le marché en ligne principalement par le biais de ses applications mobiles de vente au détail et du site Web www.jd.com (collectivement, JD Platform). La Société exploite ses activités dans quatre secteurs. Le segment JD Retail, qui comprend JD Health, JD Industrials et d'autres composants, se spécialise principalement dans la vente au détail en ligne, le marché en ligne et les services de marketing en Chine. Le segment JD Logistics comprend les activités logistiques internes et externes. Le segment Dada est une plate-forme locale de livraison à la demande et de vente au détail en Chine. Le segment des nouvelles activités comprend principalement JD Property, Jingxi et des activités à l'étranger. La Société exerce principalement ses activités sur le marché intérieur et sur les marchés étrangers.</v>
    <v>USD</v>
    <v>776682</v>
    <v>XNAS</v>
    <v>31.369399999999999</v>
    <v>38.08</v>
    <v>Diversified Retail</v>
    <v>2210</v>
    <v>-2.7095999999999999E-2</v>
    <v>-0.85</v>
    <v>JD.COM, INC.</v>
    <v>JD.COM, INC.</v>
    <v>31.369399999999999</v>
    <v>16.465299999999999</v>
    <v>30.52</v>
    <v>30.58</v>
    <v>Kechuang 11 Street, Yizhuang Economic and Technological Development Zone, BEIJING, 101111 CN</v>
    <v>Bourse</v>
    <v>JD.COM, INC. (XNAS:JD)</v>
    <v>7980352</v>
    <v>10918824</v>
  </rv>
  <rv s="2">
    <v>2211</v>
  </rv>
  <rv s="0">
    <v>https://www.bing.com/financeapi/forcetrigger?t=a24nec&amp;q=XNYS%3aTV&amp;form=skydnc</v>
    <v>Learn more on Bing</v>
  </rv>
  <rv s="7">
    <v>fr-FR</v>
    <v>a24nec</v>
    <v>268435456</v>
    <v>1</v>
    <v>Avec Refinitiv</v>
    <v>18</v>
    <v>19</v>
    <v>Televisa (XNYS:TV)</v>
    <v>3</v>
    <v>20</v>
    <v>Finance</v>
    <v>21</v>
    <v>XNYS</v>
    <v>610781700</v>
    <v>1990</v>
    <v>3.19</v>
    <v>1.67</v>
    <v>1.7746</v>
    <v>1963663165</v>
    <v>New York Stock Exchange</v>
    <v>-3.9100000000000003E-2</v>
    <v>-1.2180999999999999E-2</v>
    <v>3.32</v>
    <v>TV</v>
    <v>46133.895241053127</v>
    <v>Grupo Televisa SAB is a Mexico-based cable operator and an operator of a direct-to-home (DTH) satellite pay television system. The Company operates through the following segments: Cable and Sky. The Cable segment includes the operation of a cable multiple system, broadband Internet services, as well as, telephony and mobile services in various areas of Mexico. The segment also includes video on demand (VOD) and subscription video on demand (SVOD) services to the Company's clients. The Sky segment includes operation of a DTH satellite pay television system in Mexico, Central America and the Dominican Republic. One of the Company's subsidiaries is TelevisaUnivision Inc, a media company producing, creating, and distributing Spanish-language content through several broadcast channels in Mexico, the United States and over 50 other countries.</v>
    <v>USD</v>
    <v>26599</v>
    <v>XNYS</v>
    <v>3.355</v>
    <v>3.49</v>
    <v>Media &amp; Publishing</v>
    <v>2213</v>
    <v>-3.1627000000000002E-2</v>
    <v>-0.105</v>
    <v>Televisa</v>
    <v>Televisa</v>
    <v>3.3</v>
    <v>0</v>
    <v>3.2149999999999999</v>
    <v>3.1709000000000001</v>
    <v>Av. Vasco de Quiroga 2000, Edificio D, Piso 3, Alcaldia Alvaro Obregon, Col. Santa Fe, MEXICO, D.F., MEXICO, D.F., 12210 MX</v>
    <v>Bourse</v>
    <v>Televisa (XNYS:TV)</v>
    <v>1450590</v>
    <v>1157386</v>
  </rv>
  <rv s="2">
    <v>2214</v>
  </rv>
  <rv s="0">
    <v>https://www.bing.com/financeapi/forcetrigger?t=a1o4mw&amp;q=XNYS%3aBABA&amp;form=skydnc</v>
    <v>Learn more on Bing</v>
  </rv>
  <rv s="7">
    <v>fr-FR</v>
    <v>a1o4mw</v>
    <v>268435456</v>
    <v>1</v>
    <v>Avec Refinitiv</v>
    <v>18</v>
    <v>19</v>
    <v>Alibaba Group Holding Limited (XNYS:BABA)</v>
    <v>3</v>
    <v>20</v>
    <v>Finance</v>
    <v>21</v>
    <v>XNYS</v>
    <v>2391756000</v>
    <v>1999</v>
    <v>134.46</v>
    <v>103.71</v>
    <v>0.54679999999999995</v>
    <v>323795927280</v>
    <v>New York Stock Exchange</v>
    <v>0.62</v>
    <v>4.5799999999999999E-3</v>
    <v>140.16999999999999</v>
    <v>BABA</v>
    <v>46133.899892534377</v>
    <v>Alibaba Group Holding Ltd fournit une infrastructure technologique et des plateformes de marketing. La Société opère à travers sept segments. Le segment China Commerce comprend les entreprises de commerce de détail en Chine telles que Taobao, Tmall et Freshippo, entre autres, et les activités de gros. Le segment Commerce international comprend les entreprises internationales de commerce de détail et de gros telles que Lazada et AliExpress. Le segment des services aux consommateurs locaux comprend des entreprises basées sur la localisation telles que Ele.me, Amap, Fliggy et autres. Le segment Cainiao comprend des services logistiques nationaux et internationaux à guichet unique et des solutions de gestion de la chaîne d'approvisionnement. Le segment Cloud fournit des services de cloud public et hybride comme Alibaba Cloud et DingTalk pour les entreprises nationales et étrangères. Le segment des médias numériques et du divertissement comprend Youku, Quark et Alibaba Pictures, d'autres plateformes de contenu et de distribution et des activités de jeux en ligne. Le segment Initiatives d'innovation et autres comprend Damo Academy, Tmall Genie et autres.</v>
    <v>USD</v>
    <v>128197</v>
    <v>XNYS</v>
    <v>139.25</v>
    <v>192.67</v>
    <v>Software &amp; IT Services</v>
    <v>2216</v>
    <v>-3.4173000000000002E-2</v>
    <v>-4.79</v>
    <v>Alibaba Group Holding Limited</v>
    <v>Alibaba Group Holding Limited</v>
    <v>139.25</v>
    <v>24.454899999999999</v>
    <v>135.38</v>
    <v>136</v>
    <v>26/F Tower One, Times Square 1 Matheson Street Causeway Bay, Shedden Road HK</v>
    <v>Bourse</v>
    <v>Alibaba Group Holding Limited (XNYS:BABA)</v>
    <v>11317704</v>
    <v>11676435</v>
  </rv>
  <rv s="2">
    <v>2217</v>
  </rv>
  <rv s="0">
    <v>https://www.bing.com/financeapi/forcetrigger?t=a22zcw&amp;q=XNAS%3aSIRI&amp;form=skydnc</v>
    <v>Learn more on Bing</v>
  </rv>
  <rv s="7">
    <v>fr-FR</v>
    <v>a22zcw</v>
    <v>268435456</v>
    <v>1</v>
    <v>Avec Refinitiv</v>
    <v>18</v>
    <v>19</v>
    <v>SIRIUS XM HOLDINGS INC. (XNAS:SIRI)</v>
    <v>3</v>
    <v>20</v>
    <v>Finance</v>
    <v>21</v>
    <v>XNAS</v>
    <v>3850363000</v>
    <v>2013</v>
    <v>26.125</v>
    <v>19.41</v>
    <v>1.1152</v>
    <v>8810886854</v>
    <v>Nasdaq Stock Market</v>
    <v>0.11</v>
    <v>4.202E-3</v>
    <v>27.22</v>
    <v>SIRI</v>
    <v>46133.898694837502</v>
    <v>Sirius XM Holdings Inc. est une société de divertissement audio. La Société opère à travers deux segments : Sirius XM et Pandora et hors plateforme. Le segment Sirius XM propose des chaînes de musique, de sport, de divertissement, de comédie, de discussion, d'actualités, de trafic et de météo et d'autres contenus, ainsi que des podcasts et des services d'infodivertissement aux États-Unis sur la base d'un abonnement. Les principaux forfaits de contenu de Sirius XM comprennent une programmation en direct, organisée et certaines émissions exclusives et à la demande. Le segment Pandora et hors plate-forme exploite une plate-forme de diffusion de musique, de comédie et de podcast, offrant une expérience personnalisée à chaque auditeur où et quand il le souhaite, que ce soit via des appareils mobiles, des haut-parleurs de voiture ou des appareils connectés. Elle possède un portefeuille d'entreprises audio, y compris son service phare de divertissement par abonnement, Sirius XM ; les services de diffusion de musique premium et financés par la publicité de Pandora ; un réseau de podcasts ; un groupe de vente publicitaire, SXM Media ; et une suite de solutions technologiques publicitaires.</v>
    <v>USD</v>
    <v>5680</v>
    <v>XNAS</v>
    <v>27.34</v>
    <v>27.34</v>
    <v>Media &amp; Publishing</v>
    <v>2219</v>
    <v>-3.8206999999999998E-2</v>
    <v>-1.04</v>
    <v>SIRIUS XM HOLDINGS INC.</v>
    <v>SIRIUS XM HOLDINGS INC.</v>
    <v>27.28</v>
    <v>11.5984</v>
    <v>26.18</v>
    <v>26.29</v>
    <v>1290 Avenue of the Americas Fl 11, NEW YORK, NY, 10104-0051 US</v>
    <v>Bourse</v>
    <v>SIRIUS XM HOLDINGS INC. (XNAS:SIRI)</v>
    <v>8283683</v>
    <v>4117411</v>
  </rv>
  <rv s="2">
    <v>2220</v>
  </rv>
  <rv s="0">
    <v>https://www.bing.com/financeapi/forcetrigger?t=a2xwk2&amp;q=OTCM%3aTCEHY&amp;form=skydnc</v>
    <v>Learn more on Bing</v>
  </rv>
  <rv s="7">
    <v>fr-FR</v>
    <v>a2xwk2</v>
    <v>268435456</v>
    <v>1</v>
    <v>Avec Refinitiv</v>
    <v>18</v>
    <v>19</v>
    <v>Tencent Holdings Limited (OTCM:TCEHY)</v>
    <v>3</v>
    <v>72</v>
    <v>Finance</v>
    <v>73</v>
    <v>OTCM</v>
    <v>9125598000</v>
    <v>2004</v>
    <v>65.03</v>
    <v>57.31</v>
    <v>1.3606</v>
    <v>5723093000000</v>
    <v>OTC Markets</v>
    <v>0</v>
    <v>0</v>
    <v>66.81</v>
    <v>TCEHY</v>
    <v>46133.888888888891</v>
    <v>Tencent Holdings Ltd est une société holding d'investissement principalement spécialisée dans la fourniture de services à valeur ajoutée (vas), de services de publicité en ligne, ainsi que de FinTech et de services aux entreprises. La Société opère principalement dans quatre secteurs. Le segment vas est principalement actif dans la fourniture de jeux en ligne, de services de diffusion en direct de comptes vidéo, de services d'abonnement vidéo payants et d'autres services de réseaux sociaux. Le segment de la publicité en ligne est principalement engagé dans la publicité dans les médias, les réseaux sociaux et d'autres entreprises de publicité. Le segment FinTech and Business services fournit principalement des services de paiement commercial, FinTech et Cloud. Le secteur autres secteurs est principalement engagé dans l'investissement, la production et la distribution de films et d'émissions de télévision pour des tiers, la concession de licences de droits d'auteur, la vente de marchandises et diverses autres activités.</v>
    <v>USD</v>
    <v>115849</v>
    <v>OTCM</v>
    <v>66.290000000000006</v>
    <v>87.68</v>
    <v>Software &amp; IT Services</v>
    <v>2222</v>
    <v>-2.5595E-2</v>
    <v>-1.71</v>
    <v>Tencent Holdings Limited</v>
    <v>Tencent Holdings Limited</v>
    <v>66.23</v>
    <v>0</v>
    <v>65.099999999999994</v>
    <v>65.099999999999994</v>
    <v>Tencent Binhai Towers, No. 33 Haitian 2nd Road, Nanshan District, SHENZHEN, GUANGDONG, 518054 CN</v>
    <v>Bourse</v>
    <v>Tencent Holdings Limited (OTCM:TCEHY)</v>
    <v>3709536</v>
    <v>20812640</v>
  </rv>
  <rv s="2">
    <v>2223</v>
  </rv>
  <rv s="0">
    <v>http://en.wikipedia.org/wiki/Boston_Beer_Company</v>
    <v>Wikipedia</v>
  </rv>
  <rv s="12">
    <v>627</v>
    <v>2225</v>
  </rv>
  <rv s="13">
    <v>41</v>
    <v>https://www.bing.com/th?id=AMMS_666650f54a7b75ffc11db9a52a139033&amp;qlt=95</v>
    <v>2226</v>
    <v>0</v>
    <v>https://www.bing.com/images/search?form=xlimg&amp;q=boston+beer+company</v>
    <v>Image of THE BOSTON BEER COMPANY, INC.</v>
  </rv>
  <rv s="0">
    <v>https://www.bing.com/financeapi/forcetrigger?t=a22gnm&amp;q=XNYS%3aSAM&amp;form=skydnc</v>
    <v>Learn more on Bing</v>
  </rv>
  <rv s="14">
    <v>fr-FR</v>
    <v>a22gnm</v>
    <v>268435456</v>
    <v>1</v>
    <v>Avec Refinitiv</v>
    <v>36</v>
    <v>37</v>
    <v>THE BOSTON BEER COMPANY, INC. (XNYS:SAM)</v>
    <v>39</v>
    <v>46</v>
    <v>Finance</v>
    <v>29</v>
    <v>XNYS</v>
    <v>10441370</v>
    <v>1995</v>
    <v>240</v>
    <v>185.33500000000001</v>
    <v>0.93020000000000003</v>
    <v>2553854688</v>
    <v>New York Stock Exchange</v>
    <v>0</v>
    <v>0</v>
    <v>249.9</v>
    <v>SAM</v>
    <v>46133.840336770314</v>
    <v>La Boston Beer Company, Inc, vend des boissons alcoolisées partout aux États-Unis et sur certains marchés internationaux, sous diverses marques de commerce. Les marques commerciales incluent Boston Beer Company, Twisted Tea Brewing Company, Hard Seltzer Beverage Company, Angry Orchard Cider Company, Dogfish Head Craft Brewery, Dogfish Head Distilling Co., Angel City Brewing Company, Coney Island Brewing Company, Green Rebel Brewing Co. Et Sun Cruiser Beverage Co. Elle produit des boissons alcoolisées, y compris du seltzer dur, des boissons maltées aromatisées et du cidre dur dans des brasseries appartenant à la Société et dans sa cidrerie, ainsi que dans le cadre d'accords contractuels dans d'autres installations de production. Les quatre principales brasseries appartenant à l'entreprise sont axées sur la production et la recherche et le développement. Elle possède également trois brasseries locales plus petites qui se concentrent principalement sur la brasserie et l'emballage de bières pour la vente au détail sur place dans les salles de robinetterie et les boutiques de cadeaux, et autres. La Société vend ses boissons dans divers emballages.</v>
    <v>USD</v>
    <v>2736</v>
    <v>XNYS</v>
    <v>250.77</v>
    <v>264.45999999999998</v>
    <v>2227</v>
    <v>Beverages</v>
    <v>2228</v>
    <v>-2.1248E-2</v>
    <v>-5.31</v>
    <v>THE BOSTON BEER COMPANY, INC.</v>
    <v>THE BOSTON BEER COMPANY, INC.</v>
    <v>250.77</v>
    <v>25.2501</v>
    <v>244.59</v>
    <v>244.59</v>
    <v>One Design Center Place, Suite 850 C/O The Boston Beer Company, BOSTON, MA, 02210 US</v>
    <v>Bourse</v>
    <v>THE BOSTON BEER COMPANY, INC. (XNYS:SAM)</v>
    <v>355556</v>
    <v>185577</v>
  </rv>
  <rv s="2">
    <v>2229</v>
  </rv>
  <rv s="0">
    <v>https://www.bing.com/financeapi/forcetrigger?t=a24iz2&amp;q=XNYS%3aTRU&amp;form=skydnc</v>
    <v>Learn more on Bing</v>
  </rv>
  <rv s="7">
    <v>fr-FR</v>
    <v>a24iz2</v>
    <v>268435456</v>
    <v>1</v>
    <v>Avec Refinitiv</v>
    <v>18</v>
    <v>19</v>
    <v>TRANSUNION (XNYS:TRU)</v>
    <v>3</v>
    <v>20</v>
    <v>Finance</v>
    <v>29</v>
    <v>XNYS</v>
    <v>192940500</v>
    <v>2012</v>
    <v>76.92</v>
    <v>65.234999999999999</v>
    <v>1.6668000000000001</v>
    <v>14941312320</v>
    <v>New York Stock Exchange</v>
    <v>0</v>
    <v>0</v>
    <v>77.75</v>
    <v>TRU</v>
    <v>46133.871292013282</v>
    <v>TransUnion est une société mondiale d'information et de connaissances. La Société opère dans deux secteurs : les marchés américains et le secteur international. Le segment marchés américains fournit aux entreprises des rapports sur les consommateurs, des informations exploitables et des analyses. Ces entreprises utilisent les services de la Société pour engager et acquérir des clients, évaluer la capacité des consommateurs à payer pour les services, identifier les opportunités de vente croisée, mesurer et gérer le risque lié au portefeuille de dettes, recouvrer les dettes, vérifier l'identité des consommateurs et atténuer les risques de fraude. Le segment International fournit des services similaires à son segment marchés américains à des entreprises dans certaines régions en dehors des États-Unis. Selon la maturité de l'économie du crédit dans chaque pays, les services peuvent inclure des rapports de crédit, des services d'analyse et de solutions technologiques et d'autres services de gestion des risques à valeur ajoutée. Elle dispose également de bases de données sur les assurances, les affaires et l'automobile dans certaines régions. Elle possède également Monevo, une plate-forme de préqualification et de distribution du crédit.</v>
    <v>USD</v>
    <v>13500</v>
    <v>XNYS</v>
    <v>80.260000000000005</v>
    <v>99.39</v>
    <v>Professional &amp; Commercial Services</v>
    <v>2231</v>
    <v>-3.9870000000000001E-3</v>
    <v>-0.31</v>
    <v>TRANSUNION</v>
    <v>TRANSUNION</v>
    <v>77.69</v>
    <v>33.439799999999998</v>
    <v>77.44</v>
    <v>77.44</v>
    <v>555 W Adams St, CHICAGO, IL, 60661-3719 US</v>
    <v>Bourse</v>
    <v>TRANSUNION (XNYS:TRU)</v>
    <v>2314167</v>
    <v>2223846</v>
  </rv>
  <rv s="2">
    <v>2232</v>
  </rv>
  <rv s="0">
    <v>https://www.bing.com/financeapi/forcetrigger?t=a1pwqh&amp;q=XNAS%3aCMCSA&amp;form=skydnc</v>
    <v>Learn more on Bing</v>
  </rv>
  <rv s="7">
    <v>fr-FR</v>
    <v>a1pwqh</v>
    <v>268435456</v>
    <v>1</v>
    <v>Avec Refinitiv</v>
    <v>18</v>
    <v>19</v>
    <v>COMCAST CORPORATION (XNAS:CMCSA)</v>
    <v>3</v>
    <v>20</v>
    <v>Finance</v>
    <v>21</v>
    <v>XNAS</v>
    <v>3597846000</v>
    <v>2001</v>
    <v>28.89</v>
    <v>24.1234</v>
    <v>0.77480000000000004</v>
    <v>104517426300</v>
    <v>Nasdaq Stock Market</v>
    <v>0.06</v>
    <v>2.065E-3</v>
    <v>29.73</v>
    <v>CMCSA</v>
    <v>46133.899874050781</v>
    <v>Comcast Corporation est une société mondiale de médias et de technologie. La Société fournit des services haut débit, sans fil et vidéo via Xfinity, Comcast Business et Sky ; elle produit, distribue, et diffuse du divertissement, du sport et des actualités via des marques telles que NBC, Telemundo, Universal, Peacock, et Sky ; et donne vie aux parcs à thème et aux attractions grâce à Universal destinations &amp; Experiences. Il opère à travers deux activités principales : connectivité et plateformes et contenu et expériences. Connectivity &amp; Platforms comprend ses activités haut débit, sans fil, vidéo et voix filaire aux États-Unis, au Royaume-Uni et en Italie. Elle comprend également les activités de ses réseaux de télévision de divertissement Sky au Royaume-Uni et en Italie. Content &amp; Experiences comprend ses entreprises de médias et de divertissement qui produisent et distribuent des divertissements, des sports, des nouvelles et d'autres contenus destinés à un public mondial et qui possèdent et exploitent des parcs à thème et des attractions aux États-Unis et en Asie.</v>
    <v>USD</v>
    <v>179000</v>
    <v>XNAS</v>
    <v>29.914999999999999</v>
    <v>34.344200000000001</v>
    <v>Telecommunications Services</v>
    <v>2234</v>
    <v>-2.2873000000000001E-2</v>
    <v>-0.68</v>
    <v>COMCAST CORPORATION</v>
    <v>COMCAST CORPORATION</v>
    <v>29.76</v>
    <v>5.4039000000000001</v>
    <v>29.05</v>
    <v>29.11</v>
    <v>One Comcast Center, PHILADELPHIA, PA, 19103-2838 US</v>
    <v>Bourse</v>
    <v>COMCAST CORPORATION (XNAS:CMCSA)</v>
    <v>37222868</v>
    <v>34390616</v>
  </rv>
  <rv s="2">
    <v>2235</v>
  </rv>
  <rv s="0">
    <v>https://www.bing.com/financeapi/forcetrigger?t=a1vcgh&amp;q=XNYS%3aIFF&amp;form=skydnc</v>
    <v>Learn more on Bing</v>
  </rv>
  <rv s="7">
    <v>fr-FR</v>
    <v>a1vcgh</v>
    <v>268435456</v>
    <v>1</v>
    <v>Avec Refinitiv</v>
    <v>18</v>
    <v>19</v>
    <v>INTERNATIONAL FLAVORS &amp; FRAGRANCES INC. (XNYS:IFF)</v>
    <v>3</v>
    <v>20</v>
    <v>Finance</v>
    <v>21</v>
    <v>XNYS</v>
    <v>255437800</v>
    <v>1909</v>
    <v>72.13</v>
    <v>59.14</v>
    <v>1.0061</v>
    <v>18501359854</v>
    <v>New York Stock Exchange</v>
    <v>0</v>
    <v>0</v>
    <v>74.44</v>
    <v>IFF</v>
    <v>46133.899227649999</v>
    <v>International Flavors &amp; Fragrances Inc est un créateur et fabricant de produits alimentaires, de boissons, de santé et de biosciences, de parfums et de produits complémentaires adjacents. Le segment de la Société comprend le goût, les ingrédients alimentaires, la santé et les biosciences et les parfums. Le segment gustatif se compose d'une gamme de composés aromatiques et de solutions gustatives naturelles utilisées dans les applications agroalimentaires. Le segment des ingrédients alimentaires comprend un vaste portefeuille d'ingrédients de spécialité naturels et végétaux qui offrent des capacités de texturation et de protection des aliments, ainsi que des solutions protéiques de soja et de pois, des émulsifiants et des édulcorants. Son segment santé et biosciences consiste en le développement et la production d'un portefeuille avancé d'enzymes, de cultures alimentaires, de probiotiques et d'ingrédients de spécialité dérivés de la biotechnologie pour des applications alimentaires et non alimentaires. Son segment parfums crée des composés parfumés et des ingrédients parfumés qui font partie intégrante des parfums et des produits ménagers et de soins personnels.</v>
    <v>USD</v>
    <v>21500</v>
    <v>XNYS</v>
    <v>75.069999999999993</v>
    <v>84.45</v>
    <v>Food &amp; Tobacco</v>
    <v>2237</v>
    <v>-2.7002000000000002E-2</v>
    <v>-2.0099999999999998</v>
    <v>INTERNATIONAL FLAVORS &amp; FRAGRANCES INC.</v>
    <v>INTERNATIONAL FLAVORS &amp; FRAGRANCES INC.</v>
    <v>74.400000000000006</v>
    <v>0</v>
    <v>72.430000000000007</v>
    <v>72.42</v>
    <v>521 W 57TH ST, NEW YORK, NY, 10019 US</v>
    <v>Bourse</v>
    <v>INTERNATIONAL FLAVORS &amp; FRAGRANCES INC. (XNYS:IFF)</v>
    <v>1179366</v>
    <v>1659803</v>
  </rv>
  <rv s="2">
    <v>2238</v>
  </rv>
  <rv s="0">
    <v>https://www.bing.com/financeapi/forcetrigger?t=a2u2jc&amp;q=OTCM%3aRHHBY&amp;form=skydnc</v>
    <v>Learn more on Bing</v>
  </rv>
  <rv s="7">
    <v>fr-FR</v>
    <v>a2u2jc</v>
    <v>268435456</v>
    <v>1</v>
    <v>Avec Refinitiv</v>
    <v>18</v>
    <v>19</v>
    <v>Roche Holding Ltd (OTCM:RHHBY)</v>
    <v>3</v>
    <v>20</v>
    <v>Finance</v>
    <v>73</v>
    <v>OTCM</v>
    <v>6474030000</v>
    <v>1966</v>
    <v>49.9</v>
    <v>35.07</v>
    <v>0.51959999999999995</v>
    <v>323248317900</v>
    <v>OTC Markets</v>
    <v>-0.03</v>
    <v>-6.0079999999999997E-4</v>
    <v>51.33</v>
    <v>RHHBY</v>
    <v>46133.888888888891</v>
    <v>Roche Holding Ltd. est une entreprise de soins de santé axée sur la recherche. La Société développe, fabrique et fournit des médicaments et des instruments de diagnostic et d'essais. Ses activités d'exploitation sont organisées en deux divisions : Produits pharmaceutiques et les Diagnostics. Sa division de produits pharmaceutiques se compose de deux les segments d'activité : Produits pharmaceutiques Roche et Chugai. Sa division Diagnostics se compose de quatre secteurs d'activités : Prise en charge du diabète, Diagnostic moléculaire, Diagnostic professionnel et Diagnostic des tissus. Il développe des médicaments pour les domaines de la maladie, y compris l'oncologie, immunologie, maladies infectieuses, ophtalmologie et neurosciences. Son portefeuille de produits se compose de produits pharmaceutiques, des solutions pour le diagnostic et produits pour les chercheurs. Ses produits pharmaceutiques incluent ACTEMRA et CellCept. Ses Solutions pour les produits de diagnostic comprennent le système Accu-Chek Active et le système Accu-Chek Aviva Nano. Produits de la société pour les chercheurs comprennent le système Cedex HiRes et Genome Sequencer FLX.</v>
    <v>USD</v>
    <v>112774</v>
    <v>OTCM</v>
    <v>51</v>
    <v>60.85</v>
    <v>Pharmaceuticals</v>
    <v>2240</v>
    <v>-2.7274E-2</v>
    <v>-1.4</v>
    <v>Roche Holding Ltd</v>
    <v>Roche Holding Ltd</v>
    <v>50.96</v>
    <v>35.112000000000002</v>
    <v>49.93</v>
    <v>49.9</v>
    <v>Grenzacherstr. 124, BASEL, BASEL-STADT, 4058 CH</v>
    <v>Bourse</v>
    <v>Roche Holding Ltd (OTCM:RHHBY)</v>
    <v>923191</v>
    <v>1871330</v>
  </rv>
  <rv s="2">
    <v>2241</v>
  </rv>
  <rv s="0">
    <v>https://www.bing.com/financeapi/forcetrigger?t=a1rrh7&amp;q=XNYS%3aEFX&amp;form=skydnc</v>
    <v>Learn more on Bing</v>
  </rv>
  <rv s="7">
    <v>fr-FR</v>
    <v>a1rrh7</v>
    <v>268435456</v>
    <v>1</v>
    <v>Avec Refinitiv</v>
    <v>18</v>
    <v>19</v>
    <v>EQUIFAX INC. (XNYS:EFX)</v>
    <v>3</v>
    <v>20</v>
    <v>Finance</v>
    <v>21</v>
    <v>XNYS</v>
    <v>120634600</v>
    <v>1913</v>
    <v>186.155</v>
    <v>166.02</v>
    <v>1.4718</v>
    <v>23233017614</v>
    <v>New York Stock Exchange</v>
    <v>0</v>
    <v>0</v>
    <v>198.45</v>
    <v>EFX</v>
    <v>46133.899234698438</v>
    <v>Equifax Inc. est une entreprise mondiale de données, d'analyse et de technologie. La Société aide les institutions financières, les entreprises, les employeurs et les organismes gouvernementaux à prendre des décisions cruciales. Le segment Workforce solutions de la société fournit des services permettant aux clients de vérifier les revenus, l'emploi, les antécédents scolaires, les données de justice pénale, l'agrément des professionnels de la santé et les sanctions imposées aux personnes aux États-Unis. Le segment U.S. information solutions (USIS) de la Société fournit des solutions d'information commerciale et de consommation aux entreprises aux États-Unis, y compris des informations en ligne, des solutions technologiques de prise de décisions, des services de gestion de l'identité, des services analytiques, services de protection contre la fraude et la rétrofacturation dans le commerce électronique, services de gestion de portefeuille, information hypothécaire et services de marketing. Le segment International de la Société fournit des produits et services similaires à ceux disponibles dans le segment USIS, mais avec des variations selon la région géographique.</v>
    <v>USD</v>
    <v>15000</v>
    <v>XNYS</v>
    <v>198.97</v>
    <v>281.02999999999997</v>
    <v>Professional &amp; Commercial Services</v>
    <v>2243</v>
    <v>-2.9529E-2</v>
    <v>-5.86</v>
    <v>EQUIFAX INC.</v>
    <v>EQUIFAX INC.</v>
    <v>190.5</v>
    <v>36.196399999999997</v>
    <v>192.59</v>
    <v>192.42</v>
    <v>1550 Peachtree St NW, ATLANTA, GA, 30309-2402 US</v>
    <v>Bourse</v>
    <v>EQUIFAX INC. (XNYS:EFX)</v>
    <v>2940184</v>
    <v>1689101</v>
  </rv>
  <rv s="2">
    <v>2244</v>
  </rv>
  <rv s="0">
    <v>https://www.bing.com/financeapi/forcetrigger?t=a24kjc&amp;q=XNYS%3aTSM&amp;form=skydnc</v>
    <v>Learn more on Bing</v>
  </rv>
  <rv s="7">
    <v>fr-FR</v>
    <v>a24kjc</v>
    <v>268435456</v>
    <v>1</v>
    <v>Avec Refinitiv</v>
    <v>18</v>
    <v>19</v>
    <v>Taiwan Semiconductor Manufacturing Company Limited (XNYS:TSM)</v>
    <v>3</v>
    <v>20</v>
    <v>Finance</v>
    <v>21</v>
    <v>XNYS</v>
    <v>5186505000</v>
    <v>1987</v>
    <v>365.11</v>
    <v>145.84</v>
    <v>1.355</v>
    <v>1908374514750</v>
    <v>New York Stock Exchange</v>
    <v>1.4</v>
    <v>3.8040000000000001E-3</v>
    <v>366.24</v>
    <v>TSM</v>
    <v>46133.900117870311</v>
    <v>Taiwan Semiconductor Manufacturing Co Ltd est une société basée à Taiwan qui fournit principalement des services de fabrication de circuits intégrés. Les services de fabrication de circuits intégrés comprennent la technologie des procédés, la technologie des procédés spéciaux, la prise en charge de l'écosystème de conception, la technologie des masques, l'emballage avancé 3DFabricTM et les services technologiques d'empilement de silicium. La Société a achevé le transfert et la production de masse de la technologie 5 nm et est engagée dans la recherche et le développement de la technologie de traitement 3 nm et de la technologie de traitement 2 nm. La gamme d'applications de produits couvre l'ensemble de l'industrie des applications électroniques, y compris les ordinateurs personnels et les produits périphériques, les produits d'application d'information, les produits de systèmes de communication filaires et sans fil, les serveurs et les centres de données.</v>
    <v>USD</v>
    <v>52045</v>
    <v>XNYS</v>
    <v>370.75</v>
    <v>390.20499999999998</v>
    <v>Semiconductors &amp; Semiconductor Equipment</v>
    <v>2246</v>
    <v>4.6689999999999995E-3</v>
    <v>1.71</v>
    <v>Taiwan Semiconductor Manufacturing Company Limited</v>
    <v>Taiwan Semiconductor Manufacturing Company Limited</v>
    <v>368.08</v>
    <v>31.597799999999999</v>
    <v>367.95</v>
    <v>369.48</v>
    <v>No.8, Li-Hsin 6th Road, Hsinchu Science Park, HSINCHU, HSINCHU, 300 TW</v>
    <v>Bourse</v>
    <v>Taiwan Semiconductor Manufacturing Company Limited (XNYS:TSM)</v>
    <v>9770112</v>
    <v>13536347</v>
  </rv>
  <rv s="2">
    <v>2247</v>
  </rv>
  <rv s="24">
    <v>fr-FR</v>
    <v>avylur</v>
    <v>268435456</v>
    <v>1</v>
    <v>Avec Refinitiv</v>
    <v>74</v>
    <v>75</v>
    <v>USD/CAD</v>
    <v>44</v>
    <v>76</v>
    <v>Finance</v>
    <v>77</v>
    <v>1.3663000000000001</v>
    <v>1.3479000000000001</v>
    <v>1.3662000000000001</v>
    <v>USDCAD</v>
    <v>USD</v>
    <v>46133.899907407409</v>
    <v>CAD</v>
    <v>1.3667</v>
    <v>1.4139999999999999</v>
    <v>-1.4640000000000001E-4</v>
    <v>-2.0000000000000001E-4</v>
    <v>US Dollar/Canadian Dollar FX Spot Rate</v>
    <v>1.3663000000000001</v>
    <v>1.3660000000000001</v>
    <v>Paire de devises</v>
    <v>USD/CAD</v>
  </rv>
  <rv s="2">
    <v>2249</v>
  </rv>
  <rv s="25">
    <v>78</v>
    <v>aax5gh</v>
    <v>Daily</v>
    <v>45768</v>
    <v>46133</v>
    <v>0</v>
    <v>1</v>
    <v>639122400000000000,639124041640452156,0</v>
    <v>0</v>
    <v>aax5gh</v>
    <v>XTSE:BMO</v>
    <v>1</v>
  </rv>
  <rv s="26">
    <v>79</v>
    <v>a1pxpr</v>
    <v>Daily</v>
    <v>45768</v>
    <v>46133</v>
    <v>0</v>
    <v>1</v>
    <v>639122400000000000,639124041639826462,0</v>
    <v>2</v>
    <v>a1pxpr</v>
    <v>XNYS:CMP</v>
    <v>3</v>
  </rv>
  <rv s="25">
    <v>80</v>
    <v>a1pxpr</v>
    <v>Daily</v>
    <v>45768</v>
    <v>46133</v>
    <v>0</v>
    <v>1</v>
    <v>639122400000000000,639124041644705034,0</v>
    <v>2</v>
    <v>a1pxpr</v>
    <v>XNYS:CMP</v>
    <v>4</v>
  </rv>
  <rv s="26">
    <v>79</v>
    <v>a1o4sm</v>
    <v>Daily</v>
    <v>45768</v>
    <v>46133</v>
    <v>0</v>
    <v>1</v>
    <v>639122400000000000,639124041641188361,0</v>
    <v>2</v>
    <v>a1o4sm</v>
    <v>XNYS:BAC</v>
    <v>5</v>
  </rv>
  <rv s="25">
    <v>80</v>
    <v>a1o4sm</v>
    <v>Daily</v>
    <v>45768</v>
    <v>46133</v>
    <v>0</v>
    <v>1</v>
    <v>639122400000000000,639124041648913767,0</v>
    <v>2</v>
    <v>a1o4sm</v>
    <v>XNYS:BAC</v>
    <v>6</v>
  </rv>
  <rv s="26">
    <v>79</v>
    <v>aawrsm</v>
    <v>Daily</v>
    <v>45768</v>
    <v>46133</v>
    <v>0</v>
    <v>1</v>
    <v>639122400000000000,639124041640513428,0</v>
    <v>0</v>
    <v>aawrsm</v>
    <v>XTSE:ALA</v>
    <v>7</v>
  </rv>
  <rv s="25">
    <v>78</v>
    <v>aawrsm</v>
    <v>Daily</v>
    <v>45768</v>
    <v>46133</v>
    <v>0</v>
    <v>1</v>
    <v>639122400000000000,639124041641194252,0</v>
    <v>0</v>
    <v>aawrsm</v>
    <v>XTSE:ALA</v>
    <v>8</v>
  </rv>
  <rv s="25">
    <v>80</v>
    <v>a33k6h</v>
    <v>Daily</v>
    <v>45768</v>
    <v>46133</v>
    <v>0</v>
    <v>1</v>
    <v>639122400000000000,639124041642606206,0</v>
    <v>2</v>
    <v>a33k6h</v>
    <v>INX</v>
    <v>9</v>
  </rv>
  <rv s="26">
    <v>79</v>
    <v>ab1nyc</v>
    <v>Daily</v>
    <v>45768</v>
    <v>46133</v>
    <v>0</v>
    <v>1</v>
    <v>639122400000000000,639124041641871862,0</v>
    <v>0</v>
    <v>ab1nyc</v>
    <v>XTSE:VCE</v>
    <v>10</v>
  </rv>
  <rv s="25">
    <v>78</v>
    <v>ab1nyc</v>
    <v>Daily</v>
    <v>45768</v>
    <v>46133</v>
    <v>0</v>
    <v>1</v>
    <v>639122400000000000,639124041640503770,0</v>
    <v>0</v>
    <v>ab1nyc</v>
    <v>XTSE:VCE</v>
    <v>11</v>
  </rv>
  <rv s="25">
    <v>80</v>
    <v>a1xzim</v>
    <v>Daily</v>
    <v>45768</v>
    <v>46133</v>
    <v>0</v>
    <v>1</v>
    <v>639122400000000000,639124041641851415,0</v>
    <v>2</v>
    <v>a1xzim</v>
    <v>XNAS:MSFT</v>
    <v>12</v>
  </rv>
  <rv s="25">
    <v>78</v>
    <v>ab12w7</v>
    <v>Daily</v>
    <v>45768</v>
    <v>46133</v>
    <v>0</v>
    <v>1</v>
    <v>639122400000000000,639124041643215594,0</v>
    <v>0</v>
    <v>ab12w7</v>
    <v>XTSE:RY</v>
    <v>13</v>
  </rv>
  <rv s="25">
    <v>80</v>
    <v>a1pshw</v>
    <v>Daily</v>
    <v>45768</v>
    <v>46133</v>
    <v>0</v>
    <v>1</v>
    <v>639122400000000000,639124041641824882,0</v>
    <v>2</v>
    <v>a1pshw</v>
    <v>XNYS:CL</v>
    <v>14</v>
  </rv>
  <rv s="25">
    <v>80</v>
    <v>a1w8ec</v>
    <v>Daily</v>
    <v>45768</v>
    <v>46133</v>
    <v>0</v>
    <v>1</v>
    <v>639122400000000000,639124041644022916,0</v>
    <v>2</v>
    <v>a1w8ec</v>
    <v>XNYS:JNJ</v>
    <v>15</v>
  </rv>
  <rv s="25">
    <v>78</v>
    <v>ab18dm</v>
    <v>Daily</v>
    <v>45768</v>
    <v>46133</v>
    <v>0</v>
    <v>1</v>
    <v>639122400000000000,639124041643194688,0</v>
    <v>0</v>
    <v>ab18dm</v>
    <v>XTSE:SLF</v>
    <v>16</v>
  </rv>
  <rv s="25">
    <v>78</v>
    <v>aaxjc7</v>
    <v>Daily</v>
    <v>45768</v>
    <v>46133</v>
    <v>0</v>
    <v>1</v>
    <v>639122400000000000,639124041640515392,0</v>
    <v>0</v>
    <v>aaxjc7</v>
    <v>XTSE:CM</v>
    <v>17</v>
  </rv>
  <rv s="25">
    <v>80</v>
    <v>a1tvzr</v>
    <v>Daily</v>
    <v>45768</v>
    <v>46133</v>
    <v>0</v>
    <v>1</v>
    <v>639122400000000000,639124041639773430,0</v>
    <v>2</v>
    <v>a1tvzr</v>
    <v>XNYS:GIS</v>
    <v>18</v>
  </rv>
  <rv s="25">
    <v>80</v>
    <v>a25ya2</v>
    <v>Daily</v>
    <v>45768</v>
    <v>46133</v>
    <v>0</v>
    <v>1</v>
    <v>639122400000000000,639124041642667778,0</v>
    <v>2</v>
    <v>a25ya2</v>
    <v>XNAS:WMT</v>
    <v>19</v>
  </rv>
  <rv s="25">
    <v>78</v>
    <v>aayu7w</v>
    <v>Daily</v>
    <v>45768</v>
    <v>46133</v>
    <v>0</v>
    <v>1</v>
    <v>639122400000000000,639124041646170861,0</v>
    <v>0</v>
    <v>aayu7w</v>
    <v>XTSE:IAG</v>
    <v>20</v>
  </rv>
  <rv s="25">
    <v>80</v>
    <v>a1vmf2</v>
    <v>Daily</v>
    <v>45768</v>
    <v>46133</v>
    <v>0</v>
    <v>1</v>
    <v>639122400000000000,639124041643288464,0</v>
    <v>2</v>
    <v>a1vmf2</v>
    <v>XNAS:INTC</v>
    <v>21</v>
  </rv>
  <rv s="25">
    <v>80</v>
    <v>a1wljc</v>
    <v>Daily</v>
    <v>45768</v>
    <v>46133</v>
    <v>0</v>
    <v>1</v>
    <v>639122400000000000,639124041645943381,0</v>
    <v>2</v>
    <v>a1wljc</v>
    <v>XNYS:KO</v>
    <v>22</v>
  </rv>
  <rv s="25">
    <v>78</v>
    <v>ab1dcw</v>
    <v>Daily</v>
    <v>45768</v>
    <v>46133</v>
    <v>0</v>
    <v>1</v>
    <v>639122400000000000,639124041642537461,0</v>
    <v>0</v>
    <v>ab1dcw</v>
    <v>XTSE:TD</v>
    <v>23</v>
  </rv>
  <rv s="25">
    <v>80</v>
    <v>a1u99c</v>
    <v>Daily</v>
    <v>45768</v>
    <v>46133</v>
    <v>0</v>
    <v>1</v>
    <v>639122400000000000,639124041643086540,0</v>
    <v>2</v>
    <v>a1u99c</v>
    <v>XNYS:GSK</v>
    <v>24</v>
  </rv>
  <rv s="25">
    <v>78</v>
    <v>aaz19c</v>
    <v>Daily</v>
    <v>45768</v>
    <v>46133</v>
    <v>0</v>
    <v>1</v>
    <v>639122400000000000,639124041644658805,0</v>
    <v>0</v>
    <v>aaz19c</v>
    <v>XTSE:L</v>
    <v>25</v>
  </rv>
  <rv s="25">
    <v>80</v>
    <v>a1xdec</v>
    <v>Daily</v>
    <v>45768</v>
    <v>46133</v>
    <v>0</v>
    <v>1</v>
    <v>639122400000000000,639124041646855908,0</v>
    <v>2</v>
    <v>a1xdec</v>
    <v>XNYS:MCD</v>
    <v>26</v>
  </rv>
  <rv s="25">
    <v>78</v>
    <v>aaxyr7</v>
    <v>Daily</v>
    <v>45768</v>
    <v>46133</v>
    <v>0</v>
    <v>1</v>
    <v>639122400000000000,639124041639815746,0</v>
    <v>0</v>
    <v>aaxyr7</v>
    <v>XTSE:EMA</v>
    <v>27</v>
  </rv>
  <rv s="25">
    <v>78</v>
    <v>aaybr7</v>
    <v>Daily</v>
    <v>45768</v>
    <v>46133</v>
    <v>0</v>
    <v>1</v>
    <v>639122400000000000,639124041645585483,0</v>
    <v>0</v>
    <v>aaybr7</v>
    <v>XTSE:FTS</v>
    <v>28</v>
  </rv>
  <rv s="25">
    <v>80</v>
    <v>a1xtpr</v>
    <v>Daily</v>
    <v>45768</v>
    <v>46133</v>
    <v>0</v>
    <v>1</v>
    <v>639122400000000000,639124041646066274,0</v>
    <v>2</v>
    <v>a1xtpr</v>
    <v>XNYS:MO</v>
    <v>29</v>
  </rv>
  <rv s="25">
    <v>78</v>
    <v>aaz65r</v>
    <v>Daily</v>
    <v>45768</v>
    <v>46133</v>
    <v>0</v>
    <v>1</v>
    <v>639122400000000000,639124041641212537,0</v>
    <v>0</v>
    <v>aaz65r</v>
    <v>XTSE:MFC</v>
    <v>30</v>
  </rv>
  <rv s="25">
    <v>78</v>
    <v>c4s91h</v>
    <v>Daily</v>
    <v>45768</v>
    <v>46133</v>
    <v>0</v>
    <v>1</v>
    <v>639122400000000000,639124041640555420,0</v>
    <v>0</v>
    <v>c4s91h</v>
    <v>XTSE:PMZ.UN</v>
    <v>31</v>
  </rv>
  <rv s="25">
    <v>80</v>
    <v>c8bc4c</v>
    <v>Daily</v>
    <v>45768</v>
    <v>46133</v>
    <v>0</v>
    <v>1</v>
    <v>639122400000000000,639124041644216441,0</v>
    <v>2</v>
    <v>c8bc4c</v>
    <v>XNAS:GEHC</v>
    <v>32</v>
  </rv>
  <rv s="25">
    <v>78</v>
    <v>aax6ww</v>
    <v>Daily</v>
    <v>45768</v>
    <v>46133</v>
    <v>0</v>
    <v>1</v>
    <v>639122400000000000,639124041639815073,0</v>
    <v>0</v>
    <v>aax6ww</v>
    <v>XTSE:BNS</v>
    <v>33</v>
  </rv>
  <rv s="25">
    <v>80</v>
    <v>a23www</v>
    <v>Daily</v>
    <v>45768</v>
    <v>46133</v>
    <v>0</v>
    <v>1</v>
    <v>639122400000000000,639124041645273553,0</v>
    <v>2</v>
    <v>a23www</v>
    <v>XNYS:T</v>
    <v>34</v>
  </rv>
  <rv s="25">
    <v>80</v>
    <v>a1wi77</v>
    <v>Daily</v>
    <v>45768</v>
    <v>46133</v>
    <v>0</v>
    <v>1</v>
    <v>639122400000000000,639124041643345344,0</v>
    <v>2</v>
    <v>a1wi77</v>
    <v>XNAS:KHC</v>
    <v>35</v>
  </rv>
  <rv s="25">
    <v>80</v>
    <v>a1qlz2</v>
    <v>Daily</v>
    <v>45768</v>
    <v>46133</v>
    <v>0</v>
    <v>1</v>
    <v>639122400000000000,639124041646267426,0</v>
    <v>2</v>
    <v>a1qlz2</v>
    <v>XNYS:CVX</v>
    <v>36</v>
  </rv>
  <rv s="25">
    <v>80</v>
    <v>a24e9c</v>
    <v>Daily</v>
    <v>45768</v>
    <v>46133</v>
    <v>0</v>
    <v>1</v>
    <v>639004896000000000,639124041646041431,0</v>
    <v>37</v>
    <v>a24e9c</v>
    <v/>
    <v>38</v>
  </rv>
  <rv s="25">
    <v>80</v>
    <v>a1zvsm</v>
    <v>Daily</v>
    <v>45768</v>
    <v>46133</v>
    <v>0</v>
    <v>1</v>
    <v>639122400000000000,639124041639866284,0</v>
    <v>2</v>
    <v>a1zvsm</v>
    <v>XNYS:PII</v>
    <v>39</v>
  </rv>
  <rv s="25">
    <v>78</v>
    <v>aayejc</v>
    <v>Daily</v>
    <v>45768</v>
    <v>46133</v>
    <v>0</v>
    <v>1</v>
    <v>639122400000000000,639124041645376107,0</v>
    <v>0</v>
    <v>aayejc</v>
    <v>XTSE:GEI</v>
    <v>40</v>
  </rv>
  <rv s="25">
    <v>78</v>
    <v>aax3kr</v>
    <v>Daily</v>
    <v>45768</v>
    <v>46133</v>
    <v>0</v>
    <v>1</v>
    <v>639122400000000000,639124041641904521,0</v>
    <v>0</v>
    <v>aax3kr</v>
    <v>XTSE:BEP.UN</v>
    <v>41</v>
  </rv>
  <rv s="25">
    <v>78</v>
    <v>aawtr7</v>
    <v>Daily</v>
    <v>45768</v>
    <v>46133</v>
    <v>0</v>
    <v>1</v>
    <v>639122400000000000,639124041644462861,0</v>
    <v>0</v>
    <v>aawtr7</v>
    <v>XTSE:AQN</v>
    <v>42</v>
  </rv>
  <rv s="25">
    <v>78</v>
    <v>aazmmw</v>
    <v>Daily</v>
    <v>45768</v>
    <v>46133</v>
    <v>0</v>
    <v>1</v>
    <v>639122400000000000,639124041643907796,0</v>
    <v>0</v>
    <v>aazmmw</v>
    <v>XTSE:POW</v>
    <v>43</v>
  </rv>
  <rv s="25">
    <v>80</v>
    <v>a1zsjc</v>
    <v>Daily</v>
    <v>45768</v>
    <v>46133</v>
    <v>0</v>
    <v>1</v>
    <v>639122400000000000,639124041643972275,0</v>
    <v>2</v>
    <v>a1zsjc</v>
    <v>XNYS:PG</v>
    <v>44</v>
  </rv>
  <rv s="25">
    <v>78</v>
    <v>ay4mc7</v>
    <v>Daily</v>
    <v>45768</v>
    <v>46133</v>
    <v>0</v>
    <v>1</v>
    <v>639122400000000000,639124041644592587,0</v>
    <v>0</v>
    <v>ay4mc7</v>
    <v>XTSE:NTR</v>
    <v>45</v>
  </rv>
  <rv s="25">
    <v>80</v>
    <v>a1r32w</v>
    <v>Daily</v>
    <v>45768</v>
    <v>46133</v>
    <v>0</v>
    <v>1</v>
    <v>639122400000000000,639124041640505421,0</v>
    <v>2</v>
    <v>a1r32w</v>
    <v>XNAS:WBD</v>
    <v>46</v>
  </rv>
  <rv s="25">
    <v>78</v>
    <v>aazvp2</v>
    <v>Daily</v>
    <v>45768</v>
    <v>46133</v>
    <v>0</v>
    <v>1</v>
    <v>639122400000000000,639124041648233317,0</v>
    <v>0</v>
    <v>aazvp2</v>
    <v>XTSE:RCI.B</v>
    <v>47</v>
  </rv>
  <rv s="25">
    <v>78</v>
    <v>aayv1h</v>
    <v>Daily</v>
    <v>45768</v>
    <v>46133</v>
    <v>0</v>
    <v>1</v>
    <v>639122400000000000,639124041645351446,0</v>
    <v>0</v>
    <v>aayv1h</v>
    <v>XTSE:IFC</v>
    <v>48</v>
  </rv>
  <rv s="25">
    <v>78</v>
    <v>aazf7w</v>
    <v>Daily</v>
    <v>45768</v>
    <v>46133</v>
    <v>0</v>
    <v>1</v>
    <v>639122400000000000,639124041647541805,0</v>
    <v>0</v>
    <v>aazf7w</v>
    <v>XTSE:NWC</v>
    <v>49</v>
  </rv>
  <rv s="25">
    <v>78</v>
    <v>aayvoc</v>
    <v>Daily</v>
    <v>45768</v>
    <v>46133</v>
    <v>0</v>
    <v>1</v>
    <v>639122400000000000,639124041642835459,0</v>
    <v>0</v>
    <v>aayvoc</v>
    <v>XTSE:IGM</v>
    <v>50</v>
  </rv>
  <rv s="25">
    <v>78</v>
    <v>ab1b8m</v>
    <v>Daily</v>
    <v>45768</v>
    <v>46133</v>
    <v>0</v>
    <v>1</v>
    <v>639122400000000000,639124041641311897,0</v>
    <v>0</v>
    <v>ab1b8m</v>
    <v>XTSE:SU</v>
    <v>51</v>
  </rv>
  <rv s="25">
    <v>78</v>
    <v>aaypk2</v>
    <v>Daily</v>
    <v>45768</v>
    <v>46133</v>
    <v>0</v>
    <v>1</v>
    <v>639122400000000000,639124041642001544,0</v>
    <v>0</v>
    <v>aaypk2</v>
    <v>XTSE:HR.UN</v>
    <v>52</v>
  </rv>
  <rv s="25">
    <v>80</v>
    <v>a25afr</v>
    <v>Daily</v>
    <v>45768</v>
    <v>46133</v>
    <v>0</v>
    <v>1</v>
    <v>639122400000000000,639124041641139123,0</v>
    <v>2</v>
    <v>a25afr</v>
    <v>XNYS:VFC</v>
    <v>53</v>
  </rv>
  <rv s="25">
    <v>80</v>
    <v>a1tr1h</v>
    <v>Daily</v>
    <v>45768</v>
    <v>46133</v>
    <v>0</v>
    <v>1</v>
    <v>639122400000000000,639124041644550597,0</v>
    <v>2</v>
    <v>a1tr1h</v>
    <v>XNYS:GE</v>
    <v>54</v>
  </rv>
  <rv s="25">
    <v>78</v>
    <v>ab6drw</v>
    <v>Daily</v>
    <v>45768</v>
    <v>46133</v>
    <v>0</v>
    <v>1</v>
    <v>639122400000000000,639124041643872485,0</v>
    <v>55</v>
    <v>ab6drw</v>
    <v>TSX</v>
    <v>56</v>
  </rv>
  <rv s="25">
    <v>78</v>
    <v>ab1our</v>
    <v>Daily</v>
    <v>45768</v>
    <v>46133</v>
    <v>0</v>
    <v>1</v>
    <v>639122400000000000,639124041642506895,0</v>
    <v>0</v>
    <v>ab1our</v>
    <v>XTSE:VFV</v>
    <v>57</v>
  </rv>
  <rv s="25">
    <v>78</v>
    <v>aazl3m</v>
    <v>Daily</v>
    <v>45768</v>
    <v>46133</v>
    <v>0</v>
    <v>1</v>
    <v>638978112000000000,639124041644899774,0</v>
    <v>58</v>
    <v>aazl3m</v>
    <v/>
    <v>59</v>
  </rv>
  <rv s="25">
    <v>78</v>
    <v>aazbgh</v>
    <v>Daily</v>
    <v>45768</v>
    <v>46133</v>
    <v>0</v>
    <v>1</v>
    <v>639122400000000000,639124041641186090,0</v>
    <v>0</v>
    <v>aazbgh</v>
    <v>XTSE:NA</v>
    <v>60</v>
  </rv>
  <rv s="25">
    <v>80</v>
    <v>axyhnm</v>
    <v>Daily</v>
    <v>45768</v>
    <v>46133</v>
    <v>0</v>
    <v>1</v>
    <v>639122400000000000,639124041639838557,0</v>
    <v>2</v>
    <v>axyhnm</v>
    <v>XNAS:PEP</v>
    <v>61</v>
  </rv>
  <rv s="25">
    <v>78</v>
    <v>ab1inm</v>
    <v>Daily</v>
    <v>45768</v>
    <v>46133</v>
    <v>0</v>
    <v>1</v>
    <v>639122400000000000,639124041645239741,0</v>
    <v>0</v>
    <v>ab1inm</v>
    <v>XTSE:TRP</v>
    <v>62</v>
  </rv>
  <rv s="25">
    <v>78</v>
    <v>aaxzhw</v>
    <v>Daily</v>
    <v>45768</v>
    <v>46133</v>
    <v>0</v>
    <v>1</v>
    <v>639122400000000000,639124041645956295,0</v>
    <v>0</v>
    <v>aaxzhw</v>
    <v>XTSE:ENB</v>
    <v>63</v>
  </rv>
  <rv s="25">
    <v>78</v>
    <v>aayh5r</v>
    <v>Daily</v>
    <v>45768</v>
    <v>46133</v>
    <v>0</v>
    <v>1</v>
    <v>639122400000000000,639124041643769140,0</v>
    <v>0</v>
    <v>aayh5r</v>
    <v>XTSE:GWO</v>
    <v>64</v>
  </rv>
  <rv s="25">
    <v>80</v>
    <v>c6t3jc</v>
    <v>Daily</v>
    <v>45768</v>
    <v>46133</v>
    <v>0</v>
    <v>1</v>
    <v>639122400000000000,639124041643533971,0</v>
    <v>2</v>
    <v>c6t3jc</v>
    <v>XNYS:HLN</v>
    <v>65</v>
  </rv>
</rvData>
</file>

<file path=xl/richData/rdrichvaluestructure.xml><?xml version="1.0" encoding="utf-8"?>
<rvStructures xmlns="http://schemas.microsoft.com/office/spreadsheetml/2017/richdata" count="27">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Bas"/>
    <k n="Bas depuis 52 semaines"/>
    <k n="Bêta"/>
    <k n="Capitalisation boursière"/>
    <k n="Change" t="s"/>
    <k n="Changement (horaires prolongés)"/>
    <k n="Changement en % (horaires prolongé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Prix (horaires prolongés)"/>
    <k n="Sièges sociaux" t="s"/>
    <k n="Type d'instrument" t="s"/>
    <k n="UniqueName" t="s"/>
    <k n="Volume"/>
    <k n="Volume moyen"/>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Bas"/>
    <k n="Bas depuis 52 semaines"/>
    <k n="Bêta"/>
    <k n="Capitalisation boursière"/>
    <k n="Change" t="s"/>
    <k n="Clôture précédente"/>
    <k n="Code mnémonique" t="s"/>
    <k n="Dernière heure d'échange"/>
    <k n="Devise" t="s"/>
    <k n="Haut"/>
    <k n="Haut depuis 52 semaines"/>
    <k n="LearnMoreOnLink" t="r"/>
    <k n="Modification (%)"/>
    <k n="Modifier"/>
    <k n="Nom" t="s"/>
    <k n="Ouvrir"/>
    <k n="Prix"/>
    <k n="Taux de dépenses"/>
    <k n="Type d'instrument" t="s"/>
    <k n="UniqueName" t="s"/>
    <k n="Volume"/>
  </s>
  <s t="_linkedentitycore">
    <k n="%EntityCulture" t="s"/>
    <k n="%EntityId" t="s"/>
    <k n="%EntityServiceId"/>
    <k n="%IsRefreshable" t="b"/>
    <k n="%ProviderInfo" t="s"/>
    <k n="_CanonicalPropertyNames" t="spb"/>
    <k n="_Display" t="spb"/>
    <k n="_DisplayString" t="s"/>
    <k n="_Flags" t="spb"/>
    <k n="_Format" t="spb"/>
    <k n="_Icon" t="s"/>
    <k n="_SubLabel" t="spb"/>
    <k n="Bas"/>
    <k n="Bas depuis 52 semaines"/>
    <k n="Clôture précédente"/>
    <k n="Code mnémonique" t="s"/>
    <k n="Haut"/>
    <k n="Haut depuis 52 semaines"/>
    <k n="LearnMoreOnLink" t="r"/>
    <k n="Modification (%)"/>
    <k n="Modifier"/>
    <k n="Nom" t="s"/>
    <k n="Ouvrir"/>
    <k n="Pays/région" t="s"/>
    <k n="Prix"/>
    <k n="Type d'instrument" t="s"/>
    <k n="UniqueName" t="s"/>
  </s>
  <s t="_formattednumber">
    <k n="_Format" t="spb"/>
  </s>
  <s t="_error">
    <k n="errorType" t="i"/>
    <k n="subType" t="i"/>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hangement (horaires prolongés)"/>
    <k n="Changement en % (horaires prolongé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Prix (horaires prolongés)"/>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Bas"/>
    <k n="Bas depuis 52 semaines"/>
    <k n="Change" t="s"/>
    <k n="Changement (horaires prolongés)"/>
    <k n="Changement en % (horaires prolongés)"/>
    <k n="Clôture précédente"/>
    <k n="Code mnémonique" t="s"/>
    <k n="Dernière heure d'échange"/>
    <k n="Devise" t="s"/>
    <k n="Haut"/>
    <k n="Haut depuis 52 semaines"/>
    <k n="LearnMoreOnLink" t="r"/>
    <k n="Modification (%)"/>
    <k n="Modifier"/>
    <k n="Nom" t="s"/>
    <k n="Ouvrir"/>
    <k n="Prix"/>
    <k n="Prix (horaires prolongés)"/>
    <k n="Type d'instrument" t="s"/>
    <k n="UniqueName" t="s"/>
    <k n="Volume"/>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hangement (horaires prolongés)"/>
    <k n="Changement en % (horaires prolongé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rix"/>
    <k n="Prix (horaires prolongés)"/>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hangement (horaires prolongés)"/>
    <k n="Changement en % (horaires prolongés)"/>
    <k n="Clôture précédente"/>
    <k n="Code mnémonique" t="s"/>
    <k n="Dernière heure d'échange"/>
    <k n="Description" t="s"/>
    <k n="Devise" t="s"/>
    <k n="Employés"/>
    <k n="ExchangeID" t="s"/>
    <k n="Haut"/>
    <k n="Haut depuis 52 semaines"/>
    <k n="Industrie" t="s"/>
    <k n="Modification (%)"/>
    <k n="Modifier"/>
    <k n="Nom" t="s"/>
    <k n="Nom officiel" t="s"/>
    <k n="Ouvrir"/>
    <k n="P/E"/>
    <k n="Prix"/>
    <k n="Prix (horaires prolongés)"/>
    <k n="Sièges sociaux" t="s"/>
    <k n="Type d'instrument" t="s"/>
    <k n="UniqueName" t="s"/>
    <k n="Volume"/>
    <k n="Volume moyen"/>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hangement (horaires prolongés)"/>
    <k n="Changement en % (horaires prolongés)"/>
    <k n="Clôture précédente"/>
    <k n="Code mnémonique" t="s"/>
    <k n="Dernière heure d'échange"/>
    <k n="Description" t="s"/>
    <k n="Devise" t="s"/>
    <k n="Employés"/>
    <k n="ExchangeID" t="s"/>
    <k n="Haut"/>
    <k n="Haut depuis 52 semaines"/>
    <k n="Image" t="r"/>
    <k n="Industrie" t="s"/>
    <k n="LearnMoreOnLink" t="r"/>
    <k n="Modification (%)"/>
    <k n="Modifier"/>
    <k n="Nom" t="s"/>
    <k n="Nom officiel" t="s"/>
    <k n="Ouvrir"/>
    <k n="P/E"/>
    <k n="Prix"/>
    <k n="Prix (horaires prolongés)"/>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Bas"/>
    <k n="Bas depuis 52 semaines"/>
    <k n="Bêta"/>
    <k n="Capitalisation boursière"/>
    <k n="Change" t="s"/>
    <k n="Clôture précédente"/>
    <k n="Code mnémonique" t="s"/>
    <k n="Dernière heure d'échange"/>
    <k n="Devise" t="s"/>
    <k n="Haut"/>
    <k n="Haut depuis 52 semaines"/>
    <k n="Modification (%)"/>
    <k n="Modifier"/>
    <k n="Nom" t="s"/>
    <k n="Ouvrir"/>
    <k n="Prix"/>
    <k n="Taux de dépenses"/>
    <k n="Type d'instrument" t="s"/>
    <k n="UniqueName" t="s"/>
    <k n="Volume"/>
  </s>
  <s t="_linkedentitycore">
    <k n="%EntityCulture" t="s"/>
    <k n="%EntityId" t="s"/>
    <k n="%EntityServiceId"/>
    <k n="%IsRefreshable" t="b"/>
    <k n="%OutdatedReason" t="i"/>
    <k n="%ProviderInfo" t="s"/>
    <k n="_CanonicalPropertyNames" t="spb"/>
    <k n="_Display" t="spb"/>
    <k n="_DisplayString" t="s"/>
    <k n="_Flags" t="spb"/>
    <k n="_Format" t="spb"/>
    <k n="_Icon" t="s"/>
    <k n="_SubLabel" t="spb"/>
    <k n="Abréviation de change" t="s"/>
    <k n="Actions en circulation"/>
    <k n="Année de constitution"/>
    <k n="Bas"/>
    <k n="Bas depuis 52 semaines"/>
    <k n="Capitalisation boursière"/>
    <k n="Change" t="s"/>
    <k n="Clôture précédente"/>
    <k n="Dernière heure d'échange"/>
    <k n="Description" t="s"/>
    <k n="Devise" t="s"/>
    <k n="Employés"/>
    <k n="ExchangeID" t="s"/>
    <k n="Haut"/>
    <k n="Haut depuis 52 semaines"/>
    <k n="Industrie" t="s"/>
    <k n="LearnMoreOnLink" t="r"/>
    <k n="Modification (%)"/>
    <k n="Modifier"/>
    <k n="Nom" t="s"/>
    <k n="Nom officiel" t="s"/>
    <k n="Ouvrir"/>
    <k n="P/E"/>
    <k n="Prix"/>
    <k n="Sièges sociaux" t="s"/>
    <k n="Type d'instrument" t="s"/>
    <k n="UniqueName" t="s"/>
    <k n="Volume"/>
    <k n="Volume moyen"/>
  </s>
  <s t="_error">
    <k n="errorType" t="i"/>
    <k n="field" t="s"/>
    <k n="subType" t="i"/>
  </s>
  <s t="_linkedentitycore">
    <k n="%EntityCulture" t="s"/>
    <k n="%EntityId" t="s"/>
    <k n="%EntityServiceId"/>
    <k n="%IsRefreshable" t="b"/>
    <k n="%OutdatedReason" t="i"/>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hangement (horaires prolongés)"/>
    <k n="Changement en % (horaires prolongé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Prix (horaires prolongés)"/>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Capitalisation boursière"/>
    <k n="Change" t="s"/>
    <k n="Changement (horaires prolongés)"/>
    <k n="Changement en % (horaires prolongés)"/>
    <k n="Clôture précédente"/>
    <k n="Code mnémonique" t="s"/>
    <k n="Dernière heure d'échange"/>
    <k n="Description" t="s"/>
    <k n="Devise" t="s"/>
    <k n="Employés"/>
    <k n="ExchangeID" t="s"/>
    <k n="Haut"/>
    <k n="Haut depuis 52 semaines"/>
    <k n="Industrie" t="s"/>
    <k n="Modification (%)"/>
    <k n="Modifier"/>
    <k n="Nom" t="s"/>
    <k n="Nom officiel" t="s"/>
    <k n="Ouvrir"/>
    <k n="P/E"/>
    <k n="Prix"/>
    <k n="Prix (horaires prolongés)"/>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Bas"/>
    <k n="Bas depuis 52 semaines"/>
    <k n="Change" t="s"/>
    <k n="Changement (horaires prolongés)"/>
    <k n="Changement en % (horaires prolongés)"/>
    <k n="Clôture précédente"/>
    <k n="Code mnémonique" t="s"/>
    <k n="Dernière heure d'échange"/>
    <k n="Devise" t="s"/>
    <k n="Haut"/>
    <k n="Haut depuis 52 semaines"/>
    <k n="Modification (%)"/>
    <k n="Modifier"/>
    <k n="Nom" t="s"/>
    <k n="Ouvrir"/>
    <k n="Prix"/>
    <k n="Prix (horaires prolongé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Bas"/>
    <k n="Bas depuis 52 semaines"/>
    <k n="Bêta"/>
    <k n="Capitalisation boursière"/>
    <k n="Change" t="s"/>
    <k n="Changement (horaires prolongés)"/>
    <k n="Changement en % (horaires prolongés)"/>
    <k n="Clôture précédente"/>
    <k n="Code mnémonique" t="s"/>
    <k n="Dernière heure d'échange"/>
    <k n="Devise" t="s"/>
    <k n="Haut"/>
    <k n="Haut depuis 52 semaines"/>
    <k n="LearnMoreOnLink" t="r"/>
    <k n="Modification (%)"/>
    <k n="Modifier"/>
    <k n="Nom" t="s"/>
    <k n="Ouvrir"/>
    <k n="Prix"/>
    <k n="Prix (horaires prolongés)"/>
    <k n="Taux de dépenses"/>
    <k n="Type d'instrument" t="s"/>
    <k n="UniqueName" t="s"/>
    <k n="Volume"/>
    <k n="Volume moyen"/>
  </s>
  <s t="_linkedentitycore">
    <k n="%EntityCulture" t="s"/>
    <k n="%EntityId" t="s"/>
    <k n="%EntityServiceId"/>
    <k n="%IsRefreshable" t="b"/>
    <k n="%OutdatedReason" t="i"/>
    <k n="%ProviderInfo" t="s"/>
    <k n="_CanonicalPropertyNames" t="spb"/>
    <k n="_Display" t="spb"/>
    <k n="_DisplayString" t="s"/>
    <k n="_Flags" t="spb"/>
    <k n="_Format" t="spb"/>
    <k n="_Icon" t="s"/>
    <k n="_SubLabel" t="spb"/>
    <k n="Abréviation de change" t="s"/>
    <k n="Actions en circulation"/>
    <k n="Bas"/>
    <k n="Bas depuis 52 semaines"/>
    <k n="Bêta"/>
    <k n="Capitalisation boursière"/>
    <k n="Change" t="s"/>
    <k n="Changement (horaires prolongés)"/>
    <k n="Changement en % (horaires prolongé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Prix (horaires prolongés)"/>
    <k n="Sièges sociaux" t="s"/>
    <k n="Type d'instrument" t="s"/>
    <k n="UniqueName" t="s"/>
    <k n="Volume"/>
    <k n="Volume moyen"/>
  </s>
  <s t="_linkedentitycore">
    <k n="%EntityCulture" t="s"/>
    <k n="%EntityId" t="s"/>
    <k n="%EntityServiceId"/>
    <k n="%IsRefreshable" t="b"/>
    <k n="%OutdatedReason" t="i"/>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Bas"/>
    <k n="Bas depuis 52 semaines"/>
    <k n="Clôture précédente"/>
    <k n="Code mnémonique" t="s"/>
    <k n="De la devise" t="s"/>
    <k n="Dernière heure d'échange"/>
    <k n="Devise" t="s"/>
    <k n="Haut"/>
    <k n="Haut depuis 52 semaines"/>
    <k n="Modification (%)"/>
    <k n="Modifier"/>
    <k n="Nom" t="s"/>
    <k n="Ouvrir"/>
    <k n="Prix"/>
    <k n="Type d'instrument" t="s"/>
    <k n="UniqueName" t="s"/>
  </s>
  <s t="_stockhistorycache">
    <k n="_Format" t="spb"/>
    <k n="Symbol" t="s"/>
    <k n="Interval" t="s"/>
    <k n="StartDate" t="i"/>
    <k n="EndDate" t="i"/>
    <k n="f1904" t="b"/>
    <k n="fdcompat" t="b"/>
    <k n="etag" t="s"/>
    <k n="Date" t="a"/>
    <k n="EntityId" t="s"/>
    <k n="Instrument" t="s"/>
    <k n="Close" t="a"/>
  </s>
  <s t="_stockhistorycache">
    <k n="_Format" t="spb"/>
    <k n="Symbol" t="s"/>
    <k n="Interval" t="s"/>
    <k n="StartDate" t="i"/>
    <k n="EndDate" t="i"/>
    <k n="f1904" t="b"/>
    <k n="fdcompat" t="b"/>
    <k n="etag" t="s"/>
    <k n="Date" t="a"/>
    <k n="EntityId" t="s"/>
    <k n="Instrument" t="s"/>
    <k n="Volume" t="a"/>
  </s>
</rvStructures>
</file>

<file path=xl/richData/rdsupportingpropertybag.xml><?xml version="1.0" encoding="utf-8"?>
<supportingPropertyBags xmlns="http://schemas.microsoft.com/office/spreadsheetml/2017/richdata2">
  <spbArrays count="18">
    <a count="45">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_Flags</v>
      <v t="s">UniqueName</v>
      <v t="s">_DisplayString</v>
      <v t="s">LearnMoreOnLink</v>
      <v t="s">ExchangeID</v>
      <v t="s">%ProviderInfo</v>
    </a>
    <a count="34">
      <v t="s">%EntityServiceId</v>
      <v t="s">_Format</v>
      <v t="s">%IsRefreshable</v>
      <v t="s">_CanonicalPropertyNames</v>
      <v t="s">%EntityCulture</v>
      <v t="s">%EntityId</v>
      <v t="s">_Icon</v>
      <v t="s">_Display</v>
      <v t="s">Nom</v>
      <v t="s">_SubLabel</v>
      <v t="s">Prix</v>
      <v t="s">Change</v>
      <v t="s">Dernière heure d'échange</v>
      <v t="s">Code mnémonique</v>
      <v t="s">Abréviation de change</v>
      <v t="s">Modifier</v>
      <v t="s">Taux de dépenses</v>
      <v t="s">Modification (%)</v>
      <v t="s">Devise</v>
      <v t="s">Clôture précédente</v>
      <v t="s">Ouvrir</v>
      <v t="s">Haut</v>
      <v t="s">Bas</v>
      <v t="s">Haut depuis 52 semaines</v>
      <v t="s">Bas depuis 52 semaines</v>
      <v t="s">Volume</v>
      <v t="s">Capitalisation boursière</v>
      <v t="s">Bêta</v>
      <v t="s">Type d'instrument</v>
      <v t="s">_Flags</v>
      <v t="s">UniqueName</v>
      <v t="s">_DisplayString</v>
      <v t="s">LearnMoreOnLink</v>
      <v t="s">%ProviderInfo</v>
    </a>
    <a count="27">
      <v t="s">%EntityServiceId</v>
      <v t="s">_Format</v>
      <v t="s">%IsRefreshable</v>
      <v t="s">_CanonicalPropertyNames</v>
      <v t="s">%EntityCulture</v>
      <v t="s">%EntityId</v>
      <v t="s">_Icon</v>
      <v t="s">_Display</v>
      <v t="s">Nom</v>
      <v t="s">Prix</v>
      <v t="s">Code mnémonique</v>
      <v t="s">_SubLabel</v>
      <v t="s">Modifier</v>
      <v t="s">Modification (%)</v>
      <v t="s">Pays/région</v>
      <v t="s">Clôture précédente</v>
      <v t="s">Ouvrir</v>
      <v t="s">Haut</v>
      <v t="s">Bas</v>
      <v t="s">Haut depuis 52 semaines</v>
      <v t="s">Bas depuis 52 semaines</v>
      <v t="s">Type d'instrument</v>
      <v t="s">_Flags</v>
      <v t="s">UniqueName</v>
      <v t="s">_DisplayString</v>
      <v t="s">LearnMoreOnLink</v>
      <v t="s">%ProviderInfo</v>
    </a>
    <a count="46">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ExchangeID</v>
      <v t="s">%ProviderInfo</v>
    </a>
    <a count="34">
      <v t="s">%EntityServiceId</v>
      <v t="s">_Format</v>
      <v t="s">%IsRefreshable</v>
      <v t="s">_CanonicalPropertyNames</v>
      <v t="s">%EntityCulture</v>
      <v t="s">%EntityId</v>
      <v t="s">_Icon</v>
      <v t="s">_Display</v>
      <v t="s">Nom</v>
      <v t="s">_SubLabel</v>
      <v t="s">Prix</v>
      <v t="s">Prix (horaires prolongés)</v>
      <v t="s">Change</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Type d'instrument</v>
      <v t="s">_Flags</v>
      <v t="s">UniqueName</v>
      <v t="s">_DisplayString</v>
      <v t="s">LearnMoreOnLink</v>
      <v t="s">%ProviderInfo</v>
    </a>
    <a count="45">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Bêta</v>
      <v t="s">Actions en circulation</v>
      <v t="s">Description</v>
      <v t="s">Employés</v>
      <v t="s">Sièges sociaux</v>
      <v t="s">Industrie</v>
      <v t="s">Type d'instrument</v>
      <v t="s">Année de constitution</v>
      <v t="s">_Flags</v>
      <v t="s">UniqueName</v>
      <v t="s">_DisplayString</v>
      <v t="s">LearnMoreOnLink</v>
      <v t="s">ExchangeID</v>
      <v t="s">%ProviderInfo</v>
    </a>
    <a count="43">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ExchangeID</v>
      <v t="s">%ProviderInfo</v>
    </a>
    <a count="45">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ExchangeID</v>
      <v t="s">%ProviderInfo</v>
    </a>
    <a count="47">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Image</v>
      <v t="s">ExchangeID</v>
      <v t="s">%ProviderInfo</v>
    </a>
    <a count="33">
      <v t="s">%EntityServiceId</v>
      <v t="s">_Format</v>
      <v t="s">%IsRefreshable</v>
      <v t="s">_CanonicalPropertyNames</v>
      <v t="s">%EntityCulture</v>
      <v t="s">%EntityId</v>
      <v t="s">_Icon</v>
      <v t="s">_Display</v>
      <v t="s">Nom</v>
      <v t="s">Prix</v>
      <v t="s">Change</v>
      <v t="s">_SubLabel</v>
      <v t="s">Dernière heure d'échange</v>
      <v t="s">Code mnémonique</v>
      <v t="s">Abréviation de change</v>
      <v t="s">Modifier</v>
      <v t="s">Taux de dépenses</v>
      <v t="s">Modification (%)</v>
      <v t="s">Devise</v>
      <v t="s">Clôture précédente</v>
      <v t="s">Ouvrir</v>
      <v t="s">Haut</v>
      <v t="s">Bas</v>
      <v t="s">Haut depuis 52 semaines</v>
      <v t="s">Bas depuis 52 semaines</v>
      <v t="s">Volume</v>
      <v t="s">Capitalisation boursière</v>
      <v t="s">Bêta</v>
      <v t="s">Type d'instrument</v>
      <v t="s">_Flags</v>
      <v t="s">UniqueName</v>
      <v t="s">_DisplayString</v>
      <v t="s">%ProviderInfo</v>
    </a>
    <a count="42">
      <v t="s">%EntityServiceId</v>
      <v t="s">_Format</v>
      <v t="s">%IsRefreshable</v>
      <v t="s">_CanonicalPropertyNames</v>
      <v t="s">%EntityCulture</v>
      <v t="s">%EntityId</v>
      <v t="s">_Icon</v>
      <v t="s">_Display</v>
      <v t="s">Nom</v>
      <v t="s">_SubLabel</v>
      <v t="s">Prix</v>
      <v t="s">Change</v>
      <v t="s">Nom officiel</v>
      <v t="s">Dernière heure d'échange</v>
      <v t="s">Abréviation de change</v>
      <v t="s">Modifier</v>
      <v t="s">Modification (%)</v>
      <v t="s">Devise</v>
      <v t="s">Clôture précédente</v>
      <v t="s">Ouvrir</v>
      <v t="s">Haut</v>
      <v t="s">Bas</v>
      <v t="s">Haut depuis 52 semaines</v>
      <v t="s">Bas depuis 52 semaines</v>
      <v t="s">Volume</v>
      <v t="s">Volume moyen</v>
      <v t="s">Capitalisation boursière</v>
      <v t="s">P/E</v>
      <v t="s">Actions en circulation</v>
      <v t="s">Description</v>
      <v t="s">Employés</v>
      <v t="s">Sièges sociaux</v>
      <v t="s">Industrie</v>
      <v t="s">Type d'instrument</v>
      <v t="s">Année de constitution</v>
      <v t="s">_Flags</v>
      <v t="s">UniqueName</v>
      <v t="s">_DisplayString</v>
      <v t="s">LearnMoreOnLink</v>
      <v t="s">ExchangeID</v>
      <v t="s">%ProviderInfo</v>
      <v t="s">%OutdatedReason</v>
    </a>
    <a count="47">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ExchangeID</v>
      <v t="s">%ProviderInfo</v>
      <v t="s">%OutdatedReason</v>
    </a>
    <a count="44">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P/E</v>
      <v t="s">Actions en circulation</v>
      <v t="s">Description</v>
      <v t="s">Employés</v>
      <v t="s">Sièges sociaux</v>
      <v t="s">Industrie</v>
      <v t="s">Type d'instrument</v>
      <v t="s">Année de constitution</v>
      <v t="s">_Flags</v>
      <v t="s">UniqueName</v>
      <v t="s">_DisplayString</v>
      <v t="s">ExchangeID</v>
      <v t="s">%ProviderInfo</v>
    </a>
    <a count="34">
      <v t="s">%EntityServiceId</v>
      <v t="s">_Format</v>
      <v t="s">%IsRefreshable</v>
      <v t="s">_CanonicalPropertyNames</v>
      <v t="s">%EntityCulture</v>
      <v t="s">%EntityId</v>
      <v t="s">_Icon</v>
      <v t="s">_Display</v>
      <v t="s">Nom</v>
      <v t="s">_SubLabel</v>
      <v t="s">Prix</v>
      <v t="s">Prix (horaires prolongés)</v>
      <v t="s">Change</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Type d'instrument</v>
      <v t="s">_Flags</v>
      <v t="s">UniqueName</v>
      <v t="s">_DisplayString</v>
      <v t="s">%ProviderInfo</v>
    </a>
    <a count="38">
      <v t="s">%EntityServiceId</v>
      <v t="s">_Format</v>
      <v t="s">%IsRefreshable</v>
      <v t="s">_CanonicalPropertyNames</v>
      <v t="s">%EntityCulture</v>
      <v t="s">%EntityId</v>
      <v t="s">_Icon</v>
      <v t="s">_Display</v>
      <v t="s">Nom</v>
      <v t="s">_SubLabel</v>
      <v t="s">Prix</v>
      <v t="s">Prix (horaires prolongés)</v>
      <v t="s">Change</v>
      <v t="s">Dernière heure d'échange</v>
      <v t="s">Code mnémonique</v>
      <v t="s">Abréviation de change</v>
      <v t="s">Modifier</v>
      <v t="s">Changement (horaires prolongés)</v>
      <v t="s">Taux de dépenses</v>
      <v t="s">Modification (%)</v>
      <v t="s">Changement en % (horaires prolongés)</v>
      <v t="s">Devise</v>
      <v t="s">Clôture précédente</v>
      <v t="s">Ouvrir</v>
      <v t="s">Haut</v>
      <v t="s">Bas</v>
      <v t="s">Haut depuis 52 semaines</v>
      <v t="s">Bas depuis 52 semaines</v>
      <v t="s">Volume</v>
      <v t="s">Volume moyen</v>
      <v t="s">Capitalisation boursière</v>
      <v t="s">Bêta</v>
      <v t="s">Type d'instrument</v>
      <v t="s">_Flags</v>
      <v t="s">UniqueName</v>
      <v t="s">_DisplayString</v>
      <v t="s">LearnMoreOnLink</v>
      <v t="s">%ProviderInfo</v>
    </a>
    <a count="46">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_Flags</v>
      <v t="s">UniqueName</v>
      <v t="s">_DisplayString</v>
      <v t="s">LearnMoreOnLink</v>
      <v t="s">ExchangeID</v>
      <v t="s">%ProviderInfo</v>
      <v t="s">%OutdatedReason</v>
    </a>
    <a count="44">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ExchangeID</v>
      <v t="s">%ProviderInfo</v>
      <v t="s">%OutdatedReason</v>
    </a>
    <a count="28">
      <v t="s">%EntityServiceId</v>
      <v t="s">_Format</v>
      <v t="s">%IsRefreshable</v>
      <v t="s">_CanonicalPropertyNames</v>
      <v t="s">%EntityCulture</v>
      <v t="s">%EntityId</v>
      <v t="s">_Icon</v>
      <v t="s">_Display</v>
      <v t="s">Nom</v>
      <v t="s">Prix</v>
      <v t="s">_SubLabel</v>
      <v t="s">Dernière heure d'échange</v>
      <v t="s">Code mnémonique</v>
      <v t="s">Modifier</v>
      <v t="s">Modification (%)</v>
      <v t="s">Devise</v>
      <v t="s">De la devise</v>
      <v t="s">Clôture précédente</v>
      <v t="s">Ouvrir</v>
      <v t="s">Haut</v>
      <v t="s">Bas</v>
      <v t="s">Haut depuis 52 semaines</v>
      <v t="s">Bas depuis 52 semaines</v>
      <v t="s">Type d'instrument</v>
      <v t="s">_Flags</v>
      <v t="s">UniqueName</v>
      <v t="s">_DisplayString</v>
      <v t="s">%ProviderInfo</v>
    </a>
  </spbArrays>
  <spbData count="81">
    <spb s="0">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Shares outstanding</v>
      <v>52 week low</v>
      <v>52 week high</v>
      <v>Market cap</v>
      <v>Last trade time</v>
      <v>Price (Extended hours)</v>
      <v>Change (Extended hours)</v>
      <v>Change % (Extended hours)</v>
    </spb>
    <spb s="1">
      <v>0</v>
      <v>Name</v>
      <v>LearnMoreOnLink</v>
    </spb>
    <spb s="2">
      <v>0</v>
      <v>0</v>
      <v>0</v>
    </spb>
    <spb s="3">
      <v>2</v>
      <v>2</v>
      <v>2</v>
      <v>2</v>
    </spb>
    <spb s="4">
      <v>1</v>
      <v>2</v>
      <v>3</v>
      <v>3</v>
      <v>1</v>
      <v>1</v>
      <v>1</v>
      <v>4</v>
      <v>4</v>
      <v>1</v>
      <v>4</v>
      <v>5</v>
      <v>6</v>
      <v>1</v>
      <v>4</v>
      <v>1</v>
      <v>1</v>
      <v>7</v>
      <v>8</v>
      <v>1</v>
      <v>1</v>
      <v>5</v>
    </spb>
    <spb s="5">
      <v xml:space="preserve">à la clôture </v>
      <v xml:space="preserve">depuis la clôture précédente </v>
      <v xml:space="preserve">depuis la clôture précédente </v>
      <v>GMT</v>
      <v>Différé de 20 minutes</v>
      <v xml:space="preserve">depuis la clôture </v>
      <v xml:space="preserve">depuis la clôture </v>
    </spb>
    <spb s="6">
      <v>Low</v>
      <v>Name</v>
      <v>Beta</v>
      <v>High</v>
      <v>Price</v>
      <v>Exchange</v>
      <v>Currency</v>
      <v>Open</v>
      <v>Volume</v>
      <v>Change</v>
      <v>UniqueName</v>
      <v>%ProviderInfo</v>
      <v>Ticker symbol</v>
      <v>LearnMoreOnLink</v>
      <v>Change (%)</v>
      <v>Expense ratio</v>
      <v>Instrument type</v>
      <v>Previous close</v>
      <v>Exchange abbreviation</v>
      <v>52 week low</v>
      <v>52 week high</v>
      <v>Market cap</v>
      <v>Last trade time</v>
    </spb>
    <spb s="1">
      <v>1</v>
      <v>Name</v>
      <v>LearnMoreOnLink</v>
    </spb>
    <spb s="7">
      <v>2</v>
      <v>2</v>
      <v>2</v>
    </spb>
    <spb s="8">
      <v>1</v>
      <v>2</v>
      <v>3</v>
      <v>1</v>
      <v>1</v>
      <v>1</v>
      <v>4</v>
      <v>1</v>
      <v>5</v>
      <v>5</v>
      <v>6</v>
      <v>1</v>
      <v>1</v>
      <v>1</v>
      <v>7</v>
      <v>8</v>
    </spb>
    <spb s="9">
      <v>Différé de 20 minutes</v>
      <v xml:space="preserve">depuis la clôture précédente </v>
      <v xml:space="preserve">depuis la clôture précédente </v>
      <v>GMT</v>
    </spb>
    <spb s="10">
      <v>Low</v>
      <v>Name</v>
      <v>High</v>
      <v>Price</v>
      <v>Open</v>
      <v>Change</v>
      <v>UniqueName</v>
      <v>Country/region</v>
      <v>%ProviderInfo</v>
      <v>Ticker symbol</v>
      <v>LearnMoreOnLink</v>
      <v>Change (%)</v>
      <v>Instrument type</v>
      <v>Previous close</v>
      <v>52 week low</v>
      <v>52 week high</v>
    </spb>
    <spb s="1">
      <v>2</v>
      <v>Name</v>
      <v>LearnMoreOnLink</v>
    </spb>
    <spb s="11">
      <v>1</v>
      <v>2</v>
      <v>1</v>
      <v>1</v>
      <v>1</v>
      <v>1</v>
      <v>5</v>
      <v>6</v>
      <v>1</v>
      <v>1</v>
      <v>1</v>
    </spb>
    <spb s="12">
      <v xml:space="preserve">depuis la clôture précédente </v>
      <v xml:space="preserve">depuis la clôture précédente </v>
    </spb>
    <spb s="11">
      <v>9</v>
      <v>2</v>
      <v>9</v>
      <v>9</v>
      <v>9</v>
      <v>9</v>
      <v>5</v>
      <v>6</v>
      <v>9</v>
      <v>9</v>
      <v>9</v>
    </spb>
    <spb s="13">
      <v>1</v>
    </spb>
    <spb s="13">
      <v>9</v>
    </spb>
    <spb s="14">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v>Price (Extended hours)</v>
      <v>Change (Extended hours)</v>
      <v>Change % (Extended hours)</v>
    </spb>
    <spb s="1">
      <v>3</v>
      <v>Name</v>
      <v>LearnMoreOnLink</v>
    </spb>
    <spb s="15">
      <v>9</v>
      <v>2</v>
      <v>3</v>
      <v>3</v>
      <v>9</v>
      <v>9</v>
      <v>9</v>
      <v>4</v>
      <v>4</v>
      <v>9</v>
      <v>4</v>
      <v>5</v>
      <v>6</v>
      <v>9</v>
      <v>10</v>
      <v>4</v>
      <v>9</v>
      <v>9</v>
      <v>11</v>
      <v>8</v>
      <v>9</v>
      <v>9</v>
      <v>5</v>
    </spb>
    <spb s="16">
      <v xml:space="preserve">à la clôture </v>
      <v xml:space="preserve">depuis la clôture précédente </v>
      <v>Source: Nasdaq Dernière vente</v>
      <v xml:space="preserve">depuis la clôture précédente </v>
      <v>GMT</v>
      <v>En temps réel  Nasdaq Dernière vente</v>
      <v xml:space="preserve">depuis la clôture </v>
      <v xml:space="preserve">depuis la clôture </v>
    </spb>
    <spb s="15">
      <v>1</v>
      <v>2</v>
      <v>3</v>
      <v>3</v>
      <v>1</v>
      <v>1</v>
      <v>1</v>
      <v>4</v>
      <v>4</v>
      <v>1</v>
      <v>4</v>
      <v>5</v>
      <v>6</v>
      <v>1</v>
      <v>10</v>
      <v>4</v>
      <v>1</v>
      <v>1</v>
      <v>7</v>
      <v>8</v>
      <v>1</v>
      <v>1</v>
      <v>5</v>
    </spb>
    <spb s="17">
      <v>Low</v>
      <v>Name</v>
      <v>High</v>
      <v>Price</v>
      <v>Exchange</v>
      <v>Currency</v>
      <v>Open</v>
      <v>Volume</v>
      <v>Change</v>
      <v>UniqueName</v>
      <v>%ProviderInfo</v>
      <v>Ticker symbol</v>
      <v>LearnMoreOnLink</v>
      <v>Change (%)</v>
      <v>Instrument type</v>
      <v>Previous close</v>
      <v>Exchange abbreviation</v>
      <v>52 week low</v>
      <v>52 week high</v>
      <v>Last trade time</v>
      <v>Price (Extended hours)</v>
      <v>Change (Extended hours)</v>
      <v>Change % (Extended hours)</v>
    </spb>
    <spb s="1">
      <v>4</v>
      <v>Name</v>
      <v>LearnMoreOnLink</v>
    </spb>
    <spb s="18">
      <v>1</v>
      <v>2</v>
      <v>1</v>
      <v>1</v>
      <v>1</v>
      <v>4</v>
      <v>1</v>
      <v>5</v>
      <v>6</v>
      <v>1</v>
      <v>1</v>
      <v>1</v>
      <v>8</v>
      <v>1</v>
      <v>1</v>
      <v>5</v>
    </spb>
    <spb s="19">
      <v>Low</v>
      <v>Name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v>Price (Extended hours)</v>
      <v>Change (Extended hours)</v>
      <v>Change % (Extended hours)</v>
    </spb>
    <spb s="1">
      <v>5</v>
      <v>Name</v>
      <v>LearnMoreOnLink</v>
    </spb>
    <spb s="20">
      <v>9</v>
      <v>2</v>
      <v>3</v>
      <v>9</v>
      <v>9</v>
      <v>9</v>
      <v>4</v>
      <v>4</v>
      <v>9</v>
      <v>4</v>
      <v>5</v>
      <v>6</v>
      <v>9</v>
      <v>10</v>
      <v>4</v>
      <v>9</v>
      <v>9</v>
      <v>11</v>
      <v>8</v>
      <v>9</v>
      <v>9</v>
      <v>5</v>
    </spb>
    <spb s="16">
      <v xml:space="preserve">à la clôture </v>
      <v xml:space="preserve">depuis la clôture précédente </v>
      <v>Source: Nasdaq</v>
      <v xml:space="preserve">depuis la clôture précédente </v>
      <v>GMT</v>
      <v>Différé de 15 minutes</v>
      <v xml:space="preserve">depuis la clôture </v>
      <v xml:space="preserve">depuis la clôture </v>
    </spb>
    <spb s="21">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spb>
    <spb s="1">
      <v>6</v>
      <v>Name</v>
      <v>LearnMoreOnLink</v>
    </spb>
    <spb s="22">
      <v>1</v>
      <v>2</v>
      <v>3</v>
      <v>3</v>
      <v>1</v>
      <v>1</v>
      <v>1</v>
      <v>4</v>
      <v>4</v>
      <v>1</v>
      <v>4</v>
      <v>5</v>
      <v>6</v>
      <v>1</v>
      <v>10</v>
      <v>4</v>
      <v>1</v>
      <v>1</v>
      <v>7</v>
      <v>8</v>
    </spb>
    <spb s="23">
      <v>Low</v>
      <v>Name</v>
      <v>P/E</v>
      <v>Beta</v>
      <v>High</v>
      <v>Price</v>
      <v>Exchange</v>
      <v>Currency</v>
      <v>Open</v>
      <v>Volume</v>
      <v>Employees</v>
      <v>Change</v>
      <v>Industry</v>
      <v>ExchangeID</v>
      <v>UniqueName</v>
      <v>Description</v>
      <v>Official name</v>
      <v>Volume average</v>
      <v>%ProviderInfo</v>
      <v>Headquarters</v>
      <v>Ticker symbol</v>
      <v>Change (%)</v>
      <v>Instrument type</v>
      <v>Previous close</v>
      <v>Exchange abbreviation</v>
      <v>Year incorporated</v>
      <v>Shares outstanding</v>
      <v>52 week low</v>
      <v>52 week high</v>
      <v>Market cap</v>
      <v>Last trade time</v>
      <v>Price (Extended hours)</v>
      <v>Change (Extended hours)</v>
      <v>Change % (Extended hours)</v>
    </spb>
    <spb s="24">
      <v>7</v>
      <v>Name</v>
    </spb>
    <spb s="25">
      <v>2</v>
      <v>2</v>
      <v>2</v>
    </spb>
    <spb s="26">
      <v>Low</v>
      <v>Name</v>
      <v>P/E</v>
      <v>Beta</v>
      <v>High</v>
      <v>Price</v>
      <v>Image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v>Price (Extended hours)</v>
      <v>Change (Extended hours)</v>
      <v>Change % (Extended hours)</v>
    </spb>
    <spb s="1">
      <v>8</v>
      <v>Name</v>
      <v>LearnMoreOnLink</v>
    </spb>
    <spb s="27">
      <v>0</v>
      <v>0</v>
    </spb>
    <spb s="28">
      <v>38</v>
      <v>2</v>
      <v>2</v>
      <v>2</v>
      <v>2</v>
    </spb>
    <spb s="29">
      <v>1</v>
      <v>2</v>
      <v>3</v>
      <v>3</v>
      <v>1</v>
      <v>1</v>
      <v>12</v>
      <v>1</v>
      <v>4</v>
      <v>4</v>
      <v>1</v>
      <v>4</v>
      <v>5</v>
      <v>6</v>
      <v>1</v>
      <v>10</v>
      <v>4</v>
      <v>1</v>
      <v>1</v>
      <v>7</v>
      <v>8</v>
      <v>1</v>
      <v>1</v>
      <v>5</v>
    </spb>
    <spb s="30">
      <v>Avec Refinitiv</v>
    </spb>
    <spb s="31">
      <v>Low</v>
      <v>Name</v>
      <v>Beta</v>
      <v>High</v>
      <v>Price</v>
      <v>Exchange</v>
      <v>Currency</v>
      <v>Open</v>
      <v>Volume</v>
      <v>Change</v>
      <v>UniqueName</v>
      <v>%ProviderInfo</v>
      <v>Ticker symbol</v>
      <v>Change (%)</v>
      <v>Expense ratio</v>
      <v>Instrument type</v>
      <v>Previous close</v>
      <v>Exchange abbreviation</v>
      <v>52 week low</v>
      <v>52 week high</v>
      <v>Market cap</v>
      <v>Last trade time</v>
    </spb>
    <spb s="24">
      <v>9</v>
      <v>Name</v>
    </spb>
    <spb s="32">
      <v>2</v>
      <v>2</v>
    </spb>
    <spb s="33">
      <v xml:space="preserve">depuis la clôture précédente </v>
      <v xml:space="preserve">depuis la clôture précédente </v>
      <v>GMT</v>
    </spb>
    <spb s="29">
      <v>9</v>
      <v>2</v>
      <v>3</v>
      <v>3</v>
      <v>9</v>
      <v>9</v>
      <v>12</v>
      <v>9</v>
      <v>4</v>
      <v>4</v>
      <v>9</v>
      <v>4</v>
      <v>5</v>
      <v>6</v>
      <v>9</v>
      <v>10</v>
      <v>4</v>
      <v>9</v>
      <v>9</v>
      <v>11</v>
      <v>8</v>
      <v>9</v>
      <v>9</v>
      <v>5</v>
    </spb>
    <spb s="34">
      <v>Low</v>
      <v>Name</v>
      <v>P/E</v>
      <v>High</v>
      <v>Price</v>
      <v>Exchange</v>
      <v>Currency</v>
      <v>Open</v>
      <v>Volume</v>
      <v>Employees</v>
      <v>Change</v>
      <v>Industry</v>
      <v>ExchangeID</v>
      <v>UniqueName</v>
      <v>Description</v>
      <v>Official name</v>
      <v>Volume average</v>
      <v>%ProviderInfo</v>
      <v>Headquarters</v>
      <v>LearnMoreOnLink</v>
      <v>Change (%)</v>
      <v>Instrument type</v>
      <v>Previous close</v>
      <v>Exchange abbreviation</v>
      <v>Year incorporated</v>
      <v>Shares outstanding</v>
      <v>52 week low</v>
      <v>52 week high</v>
      <v>Market cap</v>
      <v>Last trade time</v>
    </spb>
    <spb s="1">
      <v>10</v>
      <v>Name</v>
      <v>LearnMoreOnLink</v>
    </spb>
    <spb s="35">
      <v>9</v>
      <v>2</v>
      <v>3</v>
      <v>9</v>
      <v>9</v>
      <v>9</v>
      <v>4</v>
      <v>4</v>
      <v>9</v>
      <v>4</v>
      <v>5</v>
      <v>6</v>
      <v>9</v>
      <v>10</v>
      <v>4</v>
      <v>9</v>
      <v>9</v>
      <v>11</v>
      <v>8</v>
    </spb>
    <spb s="9">
      <v>Différé de 15 minutes</v>
      <v xml:space="preserve">depuis la clôture précédente </v>
      <v xml:space="preserve">depuis la clôture précédente </v>
      <v>GMT</v>
    </spb>
    <spb s="1">
      <v>11</v>
      <v>Name</v>
      <v>LearnMoreOnLink</v>
    </spb>
    <spb s="36">
      <v>Low</v>
      <v>Name</v>
      <v>P/E</v>
      <v>High</v>
      <v>Price</v>
      <v>Exchange</v>
      <v>Currency</v>
      <v>Open</v>
      <v>Volume</v>
      <v>Employees</v>
      <v>Change</v>
      <v>Industry</v>
      <v>ExchangeID</v>
      <v>UniqueName</v>
      <v>Description</v>
      <v>Official name</v>
      <v>Volume average</v>
      <v>%ProviderInfo</v>
      <v>Headquarters</v>
      <v>Ticker symbol</v>
      <v>Change (%)</v>
      <v>Instrument type</v>
      <v>Previous close</v>
      <v>Exchange abbreviation</v>
      <v>Year incorporated</v>
      <v>Shares outstanding</v>
      <v>52 week low</v>
      <v>52 week high</v>
      <v>Market cap</v>
      <v>Last trade time</v>
      <v>Price (Extended hours)</v>
      <v>Change (Extended hours)</v>
      <v>Change % (Extended hours)</v>
    </spb>
    <spb s="24">
      <v>12</v>
      <v>Name</v>
    </spb>
    <spb s="37">
      <v>1</v>
      <v>2</v>
      <v>3</v>
      <v>1</v>
      <v>1</v>
      <v>1</v>
      <v>4</v>
      <v>4</v>
      <v>1</v>
      <v>4</v>
      <v>5</v>
      <v>6</v>
      <v>1</v>
      <v>10</v>
      <v>4</v>
      <v>1</v>
      <v>1</v>
      <v>7</v>
      <v>8</v>
      <v>1</v>
      <v>1</v>
      <v>5</v>
    </spb>
    <spb s="38">
      <v>Low</v>
      <v>Name</v>
      <v>High</v>
      <v>Price</v>
      <v>Exchange</v>
      <v>Currency</v>
      <v>Open</v>
      <v>Volume</v>
      <v>Change</v>
      <v>UniqueName</v>
      <v>Volume average</v>
      <v>%ProviderInfo</v>
      <v>Ticker symbol</v>
      <v>Change (%)</v>
      <v>Instrument type</v>
      <v>Previous close</v>
      <v>Exchange abbreviation</v>
      <v>52 week low</v>
      <v>52 week high</v>
      <v>Last trade time</v>
      <v>Price (Extended hours)</v>
      <v>Change (Extended hours)</v>
      <v>Change % (Extended hours)</v>
    </spb>
    <spb s="24">
      <v>13</v>
      <v>Name</v>
    </spb>
    <spb s="39">
      <v>9</v>
      <v>2</v>
      <v>9</v>
      <v>9</v>
      <v>9</v>
      <v>4</v>
      <v>9</v>
      <v>4</v>
      <v>5</v>
      <v>6</v>
      <v>9</v>
      <v>9</v>
      <v>9</v>
      <v>8</v>
      <v>9</v>
      <v>9</v>
      <v>5</v>
    </spb>
    <spb s="40">
      <v xml:space="preserve">à la clôture </v>
      <v>Source: Nasdaq</v>
      <v xml:space="preserve">depuis la clôture précédente </v>
      <v xml:space="preserve">depuis la clôture précédente </v>
      <v>GMT</v>
      <v>Différé de 15 minutes</v>
      <v xml:space="preserve">depuis la clôture </v>
      <v xml:space="preserve">depuis la clôture </v>
    </spb>
    <spb s="41">
      <v>Low</v>
      <v>Name</v>
      <v>Beta</v>
      <v>High</v>
      <v>Price</v>
      <v>Exchange</v>
      <v>Currency</v>
      <v>Open</v>
      <v>Volume</v>
      <v>Change</v>
      <v>UniqueName</v>
      <v>Volume average</v>
      <v>%ProviderInfo</v>
      <v>Ticker symbol</v>
      <v>LearnMoreOnLink</v>
      <v>Change (%)</v>
      <v>Expense ratio</v>
      <v>Instrument type</v>
      <v>Previous close</v>
      <v>Exchange abbreviation</v>
      <v>52 week low</v>
      <v>52 week high</v>
      <v>Market cap</v>
      <v>Last trade time</v>
      <v>Price (Extended hours)</v>
      <v>Change (Extended hours)</v>
      <v>Change % (Extended hours)</v>
    </spb>
    <spb s="1">
      <v>14</v>
      <v>Name</v>
      <v>LearnMoreOnLink</v>
    </spb>
    <spb s="42">
      <v>9</v>
      <v>2</v>
      <v>3</v>
      <v>9</v>
      <v>9</v>
      <v>9</v>
      <v>4</v>
      <v>9</v>
      <v>4</v>
      <v>5</v>
      <v>5</v>
      <v>6</v>
      <v>9</v>
      <v>9</v>
      <v>9</v>
      <v>11</v>
      <v>8</v>
      <v>9</v>
      <v>9</v>
      <v>5</v>
    </spb>
    <spb s="5">
      <v xml:space="preserve">à la clôture </v>
      <v xml:space="preserve">depuis la clôture précédente </v>
      <v xml:space="preserve">depuis la clôture précédente </v>
      <v>GMT</v>
      <v>BATS BZX En temps réel  Dernier prix</v>
      <v xml:space="preserve">depuis la clôture </v>
      <v xml:space="preserve">depuis la clôture </v>
    </spb>
    <spb s="40">
      <v xml:space="preserve">à la clôture </v>
      <v>Source: Nasdaq Dernière vente</v>
      <v xml:space="preserve">depuis la clôture précédente </v>
      <v xml:space="preserve">depuis la clôture précédente </v>
      <v>GMT</v>
      <v>En temps réel  Nasdaq Dernière vente</v>
      <v xml:space="preserve">depuis la clôture </v>
      <v xml:space="preserve">depuis la clôture </v>
    </spb>
    <spb s="22">
      <v>9</v>
      <v>2</v>
      <v>3</v>
      <v>3</v>
      <v>9</v>
      <v>9</v>
      <v>9</v>
      <v>4</v>
      <v>4</v>
      <v>9</v>
      <v>4</v>
      <v>5</v>
      <v>6</v>
      <v>9</v>
      <v>10</v>
      <v>4</v>
      <v>9</v>
      <v>9</v>
      <v>11</v>
      <v>8</v>
    </spb>
    <spb s="15">
      <v>1</v>
      <v>2</v>
      <v>3</v>
      <v>3</v>
      <v>1</v>
      <v>1</v>
      <v>1</v>
      <v>4</v>
      <v>4</v>
      <v>1</v>
      <v>4</v>
      <v>5</v>
      <v>6</v>
      <v>1</v>
      <v>10</v>
      <v>4</v>
      <v>1</v>
      <v>1</v>
      <v>11</v>
      <v>8</v>
      <v>1</v>
      <v>1</v>
      <v>5</v>
    </spb>
    <spb s="13">
      <v>13</v>
    </spb>
    <spb s="13">
      <v>4</v>
    </spb>
    <spb s="1">
      <v>15</v>
      <v>Name</v>
      <v>LearnMoreOnLink</v>
    </spb>
    <spb s="1">
      <v>16</v>
      <v>Name</v>
      <v>LearnMoreOnLink</v>
    </spb>
    <spb s="22">
      <v>1</v>
      <v>2</v>
      <v>3</v>
      <v>3</v>
      <v>1</v>
      <v>1</v>
      <v>1</v>
      <v>4</v>
      <v>4</v>
      <v>1</v>
      <v>4</v>
      <v>5</v>
      <v>6</v>
      <v>1</v>
      <v>10</v>
      <v>4</v>
      <v>1</v>
      <v>1</v>
      <v>11</v>
      <v>8</v>
    </spb>
    <spb s="4">
      <v>9</v>
      <v>2</v>
      <v>3</v>
      <v>3</v>
      <v>9</v>
      <v>9</v>
      <v>9</v>
      <v>4</v>
      <v>4</v>
      <v>9</v>
      <v>4</v>
      <v>5</v>
      <v>6</v>
      <v>9</v>
      <v>4</v>
      <v>9</v>
      <v>9</v>
      <v>11</v>
      <v>8</v>
      <v>9</v>
      <v>9</v>
      <v>5</v>
    </spb>
    <spb s="15">
      <v>9</v>
      <v>2</v>
      <v>3</v>
      <v>3</v>
      <v>9</v>
      <v>9</v>
      <v>9</v>
      <v>4</v>
      <v>4</v>
      <v>9</v>
      <v>4</v>
      <v>5</v>
      <v>6</v>
      <v>9</v>
      <v>10</v>
      <v>4</v>
      <v>9</v>
      <v>9</v>
      <v>14</v>
      <v>8</v>
      <v>9</v>
      <v>9</v>
      <v>5</v>
    </spb>
    <spb s="5">
      <v xml:space="preserve">à la clôture </v>
      <v xml:space="preserve">depuis la clôture précédente </v>
      <v xml:space="preserve">depuis la clôture précédente </v>
      <v>GMT</v>
      <v>Différé de 15 minutes</v>
      <v xml:space="preserve">depuis la clôture </v>
      <v xml:space="preserve">depuis la clôture </v>
    </spb>
    <spb s="43">
      <v>Low</v>
      <v>Name</v>
      <v>High</v>
      <v>Price</v>
      <v>Currency</v>
      <v>Open</v>
      <v>Change</v>
      <v>UniqueName</v>
      <v>From currency</v>
      <v>%ProviderInfo</v>
      <v>Ticker symbol</v>
      <v>Change (%)</v>
      <v>Instrument type</v>
      <v>Previous close</v>
      <v>52 week low</v>
      <v>52 week high</v>
      <v>Last trade time</v>
    </spb>
    <spb s="24">
      <v>17</v>
      <v>Name</v>
    </spb>
    <spb s="44">
      <v>1</v>
      <v>2</v>
      <v>1</v>
      <v>1</v>
      <v>1</v>
      <v>1</v>
      <v>5</v>
      <v>6</v>
      <v>1</v>
      <v>1</v>
      <v>1</v>
      <v>8</v>
    </spb>
    <spb s="45">
      <v>GMT</v>
    </spb>
    <spb s="46">
      <v>13</v>
      <v>1</v>
    </spb>
    <spb s="47">
      <v>13</v>
      <v>4</v>
    </spb>
    <spb s="46">
      <v>13</v>
      <v>9</v>
    </spb>
  </spbData>
</supportingPropertyBags>
</file>

<file path=xl/richData/rdsupportingpropertybagstructure.xml><?xml version="1.0" encoding="utf-8"?>
<spbStructures xmlns="http://schemas.microsoft.com/office/spreadsheetml/2017/richdata2" count="48">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ctions en circulation" t="s"/>
    <k n="Bas depuis 52 semaines" t="s"/>
    <k n="Haut depuis 52 semaines" t="s"/>
    <k n="Capitalisation boursière" t="s"/>
    <k n="Dernière heure d'échange" t="s"/>
    <k n="Prix (horaires prolongés)" t="s"/>
    <k n="Changement (horaires prolongés)" t="s"/>
    <k n="Changement en % (horaires prolongés)" t="s"/>
  </s>
  <s>
    <k n="^Order" t="spba"/>
    <k n="TitleProperty" t="s"/>
    <k n="SubTitleProperty" t="s"/>
  </s>
  <s>
    <k n="ShowInCardView" t="b"/>
    <k n="ShowInDotNotation" t="b"/>
    <k n="ShowInAutoComplete" t="b"/>
  </s>
  <s>
    <k n="ExchangeID" t="spb"/>
    <k n="UniqueName" t="spb"/>
    <k n="`%ProviderInfo" t="spb"/>
    <k n="LearnMoreOnLink" t="spb"/>
  </s>
  <s>
    <k n="Bas" t="i"/>
    <k n="Nom" t="i"/>
    <k n="P/E" t="i"/>
    <k n="Bêta" t="i"/>
    <k n="Haut" t="i"/>
    <k n="Prix" t="i"/>
    <k n="Ouvrir" t="i"/>
    <k n="Volume" t="i"/>
    <k n="Employés" t="i"/>
    <k n="Modifier" t="i"/>
    <k n="Volume moyen" t="i"/>
    <k n="Modification (%)" t="i"/>
    <k n="`%EntityServiceId" t="i"/>
    <k n="Clôture précédente" t="i"/>
    <k n="Actions en circulation" t="i"/>
    <k n="Bas depuis 52 semaines" t="i"/>
    <k n="Haut depuis 52 semaines" t="i"/>
    <k n="Capitalisation boursière" t="i"/>
    <k n="Dernière heure d'échange" t="i"/>
    <k n="Prix (horaires prolongés)" t="i"/>
    <k n="Changement (horaires prolongés)" t="i"/>
    <k n="Changement en % (horaires prolongés)" t="i"/>
  </s>
  <s>
    <k n="Prix" t="s"/>
    <k n="Modifier" t="s"/>
    <k n="Modification (%)" t="s"/>
    <k n="Dernière heure d'échange" t="s"/>
    <k n="Prix (horaires prolongés)" t="s"/>
    <k n="Changement (horaires prolongés)" t="s"/>
    <k n="Changement en % (horaires prolongés)" t="s"/>
  </s>
  <s>
    <k n="Bas" t="s"/>
    <k n="Nom" t="s"/>
    <k n="Bêta" t="s"/>
    <k n="Haut" t="s"/>
    <k n="Prix" t="s"/>
    <k n="Change" t="s"/>
    <k n="Devise" t="s"/>
    <k n="Ouvrir" t="s"/>
    <k n="Volume" t="s"/>
    <k n="Modifier" t="s"/>
    <k n="UniqueName" t="s"/>
    <k n="%ProviderInfo" t="s"/>
    <k n="Code mnémonique" t="s"/>
    <k n="LearnMoreOnLink" t="s"/>
    <k n="Modification (%)" t="s"/>
    <k n="Taux de dépenses" t="s"/>
    <k n="Type d'instrument" t="s"/>
    <k n="Clôture précédente" t="s"/>
    <k n="Abréviation de change" t="s"/>
    <k n="Bas depuis 52 semaines" t="s"/>
    <k n="Haut depuis 52 semaines" t="s"/>
    <k n="Capitalisation boursière" t="s"/>
    <k n="Dernière heure d'échange" t="s"/>
  </s>
  <s>
    <k n="UniqueName" t="spb"/>
    <k n="`%ProviderInfo" t="spb"/>
    <k n="LearnMoreOnLink" t="spb"/>
  </s>
  <s>
    <k n="Bas" t="i"/>
    <k n="Nom" t="i"/>
    <k n="Bêta" t="i"/>
    <k n="Haut" t="i"/>
    <k n="Prix" t="i"/>
    <k n="Ouvrir" t="i"/>
    <k n="Volume" t="i"/>
    <k n="Modifier" t="i"/>
    <k n="Modification (%)" t="i"/>
    <k n="Taux de dépenses" t="i"/>
    <k n="`%EntityServiceId" t="i"/>
    <k n="Clôture précédente" t="i"/>
    <k n="Bas depuis 52 semaines" t="i"/>
    <k n="Haut depuis 52 semaines" t="i"/>
    <k n="Capitalisation boursière" t="i"/>
    <k n="Dernière heure d'échange" t="i"/>
  </s>
  <s>
    <k n="Prix" t="s"/>
    <k n="Modifier" t="s"/>
    <k n="Modification (%)" t="s"/>
    <k n="Dernière heure d'échange" t="s"/>
  </s>
  <s>
    <k n="Bas" t="s"/>
    <k n="Nom" t="s"/>
    <k n="Haut" t="s"/>
    <k n="Prix" t="s"/>
    <k n="Ouvrir" t="s"/>
    <k n="Modifier" t="s"/>
    <k n="UniqueName" t="s"/>
    <k n="Pays/région" t="s"/>
    <k n="%ProviderInfo" t="s"/>
    <k n="Code mnémonique" t="s"/>
    <k n="LearnMoreOnLink" t="s"/>
    <k n="Modification (%)" t="s"/>
    <k n="Type d'instrument" t="s"/>
    <k n="Clôture précédente" t="s"/>
    <k n="Bas depuis 52 semaines" t="s"/>
    <k n="Haut depuis 52 semaines" t="s"/>
  </s>
  <s>
    <k n="Bas" t="i"/>
    <k n="Nom" t="i"/>
    <k n="Haut" t="i"/>
    <k n="Prix" t="i"/>
    <k n="Ouvrir" t="i"/>
    <k n="Modifier" t="i"/>
    <k n="Modification (%)" t="i"/>
    <k n="`%EntityServiceId" t="i"/>
    <k n="Clôture précédente" t="i"/>
    <k n="Bas depuis 52 semaines" t="i"/>
    <k n="Haut depuis 52 semaines" t="i"/>
  </s>
  <s>
    <k n="Modifier" t="s"/>
    <k n="Modification (%)" t="s"/>
  </s>
  <s>
    <k n="_Self" t="i"/>
  </s>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k n="Prix (horaires prolongés)" t="s"/>
    <k n="Changement (horaires prolongés)" t="s"/>
    <k n="Changement en % (horaires prolongés)" t="s"/>
  </s>
  <s>
    <k n="Bas" t="i"/>
    <k n="Nom" t="i"/>
    <k n="P/E" t="i"/>
    <k n="Bêta"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k n="Prix (horaires prolongés)" t="i"/>
    <k n="Changement (horaires prolongés)" t="i"/>
    <k n="Changement en % (horaires prolongés)" t="i"/>
  </s>
  <s>
    <k n="Prix" t="s"/>
    <k n="Modifier" t="s"/>
    <k n="ExchangeID" t="s"/>
    <k n="Modification (%)" t="s"/>
    <k n="Dernière heure d'échange" t="s"/>
    <k n="Prix (horaires prolongés)" t="s"/>
    <k n="Changement (horaires prolongés)" t="s"/>
    <k n="Changement en % (horaires prolongés)" t="s"/>
  </s>
  <s>
    <k n="Bas" t="s"/>
    <k n="Nom" t="s"/>
    <k n="Haut" t="s"/>
    <k n="Prix" t="s"/>
    <k n="Change" t="s"/>
    <k n="Devise" t="s"/>
    <k n="Ouvrir" t="s"/>
    <k n="Volume" t="s"/>
    <k n="Modifier" t="s"/>
    <k n="UniqueName" t="s"/>
    <k n="%ProviderInfo" t="s"/>
    <k n="Code mnémonique" t="s"/>
    <k n="LearnMoreOnLink" t="s"/>
    <k n="Modification (%)" t="s"/>
    <k n="Type d'instrument" t="s"/>
    <k n="Clôture précédente" t="s"/>
    <k n="Abréviation de change" t="s"/>
    <k n="Bas depuis 52 semaines" t="s"/>
    <k n="Haut depuis 52 semaines" t="s"/>
    <k n="Dernière heure d'échange" t="s"/>
    <k n="Prix (horaires prolongés)" t="s"/>
    <k n="Changement (horaires prolongés)" t="s"/>
    <k n="Changement en % (horaires prolongés)" t="s"/>
  </s>
  <s>
    <k n="Bas" t="i"/>
    <k n="Nom" t="i"/>
    <k n="Haut" t="i"/>
    <k n="Prix" t="i"/>
    <k n="Ouvrir" t="i"/>
    <k n="Volume" t="i"/>
    <k n="Modifier" t="i"/>
    <k n="Modification (%)" t="i"/>
    <k n="`%EntityServiceId" t="i"/>
    <k n="Clôture précédente" t="i"/>
    <k n="Bas depuis 52 semaines" t="i"/>
    <k n="Haut depuis 52 semaines" t="i"/>
    <k n="Dernière heure d'échange" t="i"/>
    <k n="Prix (horaires prolongés)" t="i"/>
    <k n="Changement (horaires prolongés)" t="i"/>
    <k n="Changement en % (horaires prolongés)" t="i"/>
  </s>
  <s>
    <k n="Bas" t="s"/>
    <k n="Nom"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k n="Prix (horaires prolongés)" t="s"/>
    <k n="Changement (horaires prolongés)" t="s"/>
    <k n="Changement en % (horaires prolongés)" t="s"/>
  </s>
  <s>
    <k n="Bas" t="i"/>
    <k n="Nom" t="i"/>
    <k n="Bêta"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k n="Prix (horaires prolongés)" t="i"/>
    <k n="Changement (horaires prolongés)" t="i"/>
    <k n="Changement en % (horaires prolongés)" t="i"/>
  </s>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Bas" t="i"/>
    <k n="Nom" t="i"/>
    <k n="P/E" t="i"/>
    <k n="Bêta"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s>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k n="Prix (horaires prolongés)" t="s"/>
    <k n="Changement (horaires prolongés)" t="s"/>
    <k n="Changement en % (horaires prolongés)" t="s"/>
  </s>
  <s>
    <k n="^Order" t="spba"/>
    <k n="TitleProperty" t="s"/>
  </s>
  <s>
    <k n="ExchangeID" t="spb"/>
    <k n="UniqueName" t="spb"/>
    <k n="`%ProviderInfo" t="spb"/>
  </s>
  <s>
    <k n="Bas" t="s"/>
    <k n="Nom" t="s"/>
    <k n="P/E" t="s"/>
    <k n="Bêta" t="s"/>
    <k n="Haut" t="s"/>
    <k n="Prix" t="s"/>
    <k n="Image"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k n="Prix (horaires prolongés)" t="s"/>
    <k n="Changement (horaires prolongés)" t="s"/>
    <k n="Changement en % (horaires prolongés)" t="s"/>
  </s>
  <s>
    <k n="ShowInDotNotation" t="b"/>
    <k n="ShowInAutoComplete" t="b"/>
  </s>
  <s>
    <k n="Image" t="spb"/>
    <k n="ExchangeID" t="spb"/>
    <k n="UniqueName" t="spb"/>
    <k n="`%ProviderInfo" t="spb"/>
    <k n="LearnMoreOnLink" t="spb"/>
  </s>
  <s>
    <k n="Bas" t="i"/>
    <k n="Nom" t="i"/>
    <k n="P/E" t="i"/>
    <k n="Bêta" t="i"/>
    <k n="Haut" t="i"/>
    <k n="Prix" t="i"/>
    <k n="Image"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k n="Prix (horaires prolongés)" t="i"/>
    <k n="Changement (horaires prolongés)" t="i"/>
    <k n="Changement en % (horaires prolongés)" t="i"/>
  </s>
  <s>
    <k n="name" t="s"/>
  </s>
  <s>
    <k n="Bas" t="s"/>
    <k n="Nom" t="s"/>
    <k n="Bêta" t="s"/>
    <k n="Haut" t="s"/>
    <k n="Prix" t="s"/>
    <k n="Change" t="s"/>
    <k n="Devise" t="s"/>
    <k n="Ouvrir" t="s"/>
    <k n="Volume" t="s"/>
    <k n="Modifier" t="s"/>
    <k n="UniqueName" t="s"/>
    <k n="%ProviderInfo" t="s"/>
    <k n="Code mnémonique" t="s"/>
    <k n="Modification (%)" t="s"/>
    <k n="Taux de dépenses" t="s"/>
    <k n="Type d'instrument" t="s"/>
    <k n="Clôture précédente" t="s"/>
    <k n="Abréviation de change" t="s"/>
    <k n="Bas depuis 52 semaines" t="s"/>
    <k n="Haut depuis 52 semaines" t="s"/>
    <k n="Capitalisation boursière" t="s"/>
    <k n="Dernière heure d'échange" t="s"/>
  </s>
  <s>
    <k n="UniqueName" t="spb"/>
    <k n="`%ProviderInfo" t="spb"/>
  </s>
  <s>
    <k n="Modifier" t="s"/>
    <k n="Modification (%)" t="s"/>
    <k n="Dernière heure d'échange" t="s"/>
  </s>
  <s>
    <k n="Bas" t="s"/>
    <k n="Nom" t="s"/>
    <k n="P/E" t="s"/>
    <k n="Haut" t="s"/>
    <k n="Prix" t="s"/>
    <k n="Change" t="s"/>
    <k n="Devise" t="s"/>
    <k n="Ouvrir" t="s"/>
    <k n="Volume" t="s"/>
    <k n="Employés" t="s"/>
    <k n="Modifier" t="s"/>
    <k n="Industrie" t="s"/>
    <k n="ExchangeID" t="s"/>
    <k n="UniqueName" t="s"/>
    <k n="Description" t="s"/>
    <k n="Nom officiel" t="s"/>
    <k n="Volume moyen" t="s"/>
    <k n="%ProviderInfo" t="s"/>
    <k n="Sièges sociaux"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Bas" t="i"/>
    <k n="Nom" t="i"/>
    <k n="P/E"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s>
  <s>
    <k n="Bas" t="s"/>
    <k n="Nom" t="s"/>
    <k n="P/E"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k n="Prix (horaires prolongés)" t="s"/>
    <k n="Changement (horaires prolongés)" t="s"/>
    <k n="Changement en % (horaires prolongés)" t="s"/>
  </s>
  <s>
    <k n="Bas" t="i"/>
    <k n="Nom" t="i"/>
    <k n="P/E"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k n="Prix (horaires prolongés)" t="i"/>
    <k n="Changement (horaires prolongés)" t="i"/>
    <k n="Changement en % (horaires prolongés)" t="i"/>
  </s>
  <s>
    <k n="Bas" t="s"/>
    <k n="Nom" t="s"/>
    <k n="Haut" t="s"/>
    <k n="Prix" t="s"/>
    <k n="Change" t="s"/>
    <k n="Devise" t="s"/>
    <k n="Ouvrir" t="s"/>
    <k n="Volume" t="s"/>
    <k n="Modifier" t="s"/>
    <k n="UniqueName" t="s"/>
    <k n="Volume moyen" t="s"/>
    <k n="%ProviderInfo" t="s"/>
    <k n="Code mnémonique" t="s"/>
    <k n="Modification (%)" t="s"/>
    <k n="Type d'instrument" t="s"/>
    <k n="Clôture précédente" t="s"/>
    <k n="Abréviation de change" t="s"/>
    <k n="Bas depuis 52 semaines" t="s"/>
    <k n="Haut depuis 52 semaines" t="s"/>
    <k n="Dernière heure d'échange" t="s"/>
    <k n="Prix (horaires prolongés)" t="s"/>
    <k n="Changement (horaires prolongés)" t="s"/>
    <k n="Changement en % (horaires prolongés)" t="s"/>
  </s>
  <s>
    <k n="Bas" t="i"/>
    <k n="Nom" t="i"/>
    <k n="Haut" t="i"/>
    <k n="Prix" t="i"/>
    <k n="Ouvrir" t="i"/>
    <k n="Volume" t="i"/>
    <k n="Modifier" t="i"/>
    <k n="Volume moyen" t="i"/>
    <k n="Modification (%)" t="i"/>
    <k n="`%EntityServiceId" t="i"/>
    <k n="Clôture précédente" t="i"/>
    <k n="Bas depuis 52 semaines" t="i"/>
    <k n="Haut depuis 52 semaines" t="i"/>
    <k n="Dernière heure d'échange" t="i"/>
    <k n="Prix (horaires prolongés)" t="i"/>
    <k n="Changement (horaires prolongés)" t="i"/>
    <k n="Changement en % (horaires prolongés)" t="i"/>
  </s>
  <s>
    <k n="Prix" t="s"/>
    <k n="Change" t="s"/>
    <k n="Modifier" t="s"/>
    <k n="Modification (%)" t="s"/>
    <k n="Dernière heure d'échange" t="s"/>
    <k n="Prix (horaires prolongés)" t="s"/>
    <k n="Changement (horaires prolongés)" t="s"/>
    <k n="Changement en % (horaires prolongés)" t="s"/>
  </s>
  <s>
    <k n="Bas" t="s"/>
    <k n="Nom" t="s"/>
    <k n="Bêta" t="s"/>
    <k n="Haut" t="s"/>
    <k n="Prix" t="s"/>
    <k n="Change" t="s"/>
    <k n="Devise" t="s"/>
    <k n="Ouvrir" t="s"/>
    <k n="Volume" t="s"/>
    <k n="Modifier" t="s"/>
    <k n="UniqueName" t="s"/>
    <k n="Volume moyen" t="s"/>
    <k n="%ProviderInfo" t="s"/>
    <k n="Code mnémonique" t="s"/>
    <k n="LearnMoreOnLink" t="s"/>
    <k n="Modification (%)" t="s"/>
    <k n="Taux de dépenses" t="s"/>
    <k n="Type d'instrument" t="s"/>
    <k n="Clôture précédente" t="s"/>
    <k n="Abréviation de change" t="s"/>
    <k n="Bas depuis 52 semaines" t="s"/>
    <k n="Haut depuis 52 semaines" t="s"/>
    <k n="Capitalisation boursière" t="s"/>
    <k n="Dernière heure d'échange" t="s"/>
    <k n="Prix (horaires prolongés)" t="s"/>
    <k n="Changement (horaires prolongés)" t="s"/>
    <k n="Changement en % (horaires prolongés)" t="s"/>
  </s>
  <s>
    <k n="Bas" t="i"/>
    <k n="Nom" t="i"/>
    <k n="Bêta" t="i"/>
    <k n="Haut" t="i"/>
    <k n="Prix" t="i"/>
    <k n="Ouvrir" t="i"/>
    <k n="Volume" t="i"/>
    <k n="Modifier" t="i"/>
    <k n="Volume moyen" t="i"/>
    <k n="Modification (%)" t="i"/>
    <k n="Taux de dépenses" t="i"/>
    <k n="`%EntityServiceId" t="i"/>
    <k n="Clôture précédente" t="i"/>
    <k n="Bas depuis 52 semaines" t="i"/>
    <k n="Haut depuis 52 semaines" t="i"/>
    <k n="Capitalisation boursière" t="i"/>
    <k n="Dernière heure d'échange" t="i"/>
    <k n="Prix (horaires prolongés)" t="i"/>
    <k n="Changement (horaires prolongés)" t="i"/>
    <k n="Changement en % (horaires prolongés)" t="i"/>
  </s>
  <s>
    <k n="Bas" t="s"/>
    <k n="Nom" t="s"/>
    <k n="Haut" t="s"/>
    <k n="Prix" t="s"/>
    <k n="Devise" t="s"/>
    <k n="Ouvrir" t="s"/>
    <k n="Modifier" t="s"/>
    <k n="UniqueName" t="s"/>
    <k n="De la devise" t="s"/>
    <k n="%ProviderInfo" t="s"/>
    <k n="Code mnémonique" t="s"/>
    <k n="Modification (%)" t="s"/>
    <k n="Type d'instrument" t="s"/>
    <k n="Clôture précédente" t="s"/>
    <k n="Bas depuis 52 semaines" t="s"/>
    <k n="Haut depuis 52 semaines" t="s"/>
    <k n="Dernière heure d'échange" t="s"/>
  </s>
  <s>
    <k n="Bas" t="i"/>
    <k n="Nom" t="i"/>
    <k n="Haut" t="i"/>
    <k n="Prix" t="i"/>
    <k n="Ouvrir" t="i"/>
    <k n="Modifier" t="i"/>
    <k n="Modification (%)" t="i"/>
    <k n="`%EntityServiceId" t="i"/>
    <k n="Clôture précédente" t="i"/>
    <k n="Bas depuis 52 semaines" t="i"/>
    <k n="Haut depuis 52 semaines" t="i"/>
    <k n="Dernière heure d'échange" t="i"/>
  </s>
  <s>
    <k n="Dernière heure d'échange" t="s"/>
  </s>
  <s>
    <k n="Date" t="i"/>
    <k n="Close" t="i"/>
  </s>
  <s>
    <k n="Date" t="i"/>
    <k n="Volum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14" formatCode="0.00%"/>
    </x:dxf>
    <x:dxf>
      <x:numFmt numFmtId="3" formatCode="#,##0"/>
    </x:dxf>
    <x:dxf>
      <x:numFmt numFmtId="27" formatCode="yyyy/mm/dd\ hh:mm"/>
    </x:dxf>
    <x:dxf>
      <x:numFmt numFmtId="4" formatCode="#,##0.00"/>
    </x:dxf>
    <x:dxf>
      <x:numFmt numFmtId="1" formatCode="0"/>
    </x:dxf>
    <x:dxf>
      <x:numFmt numFmtId="19" formatCode="yyyy/mm/dd"/>
    </x:dxf>
  </dxfs>
  <richProperties>
    <rPr n="NumberFormat" t="s"/>
    <rPr n="IsTitleField" t="b"/>
    <rPr n="IsHeroField" t="b"/>
  </richProperties>
  <richStyles>
    <rSty dxfid="1">
      <rpv i="0" xml:space="preserve">_ * #,##0.00_) [$$-fr-CA]_ ;_ * (#,##0.00) [$$-fr-CA]_ ;_ * "-"??_) [$$-fr-CA]_ ;_ @_ </rpv>
    </rSty>
    <rSty>
      <rpv i="1">1</rpv>
    </rSty>
    <rSty dxfid="5">
      <rpv i="0">#,##0.00</rpv>
    </rSty>
    <rSty dxfid="3">
      <rpv i="0">#,##0</rpv>
    </rSty>
    <rSty dxfid="2"/>
    <rSty dxfid="0">
      <rpv i="0">0.00</rpv>
    </rSty>
    <rSty dxfid="1">
      <rpv i="0" xml:space="preserve">_ * #,##0_) [$$-fr-CA]_ ;_ * (#,##0) [$$-fr-CA]_ ;_ * "-"_) [$$-fr-CA]_ ;_ @_ </rpv>
    </rSty>
    <rSty dxfid="4"/>
    <rSty dxfid="1">
      <rpv i="0">_([$$-en-US]* #,##0.00_);_([$$-en-US]* (#,##0.00);_([$$-en-US]* "-"??_);_(@_)</rpv>
    </rSty>
    <rSty dxfid="6">
      <rpv i="0">0</rpv>
    </rSty>
    <rSty dxfid="1">
      <rpv i="0">_([$$-en-US]* #,##0_);_([$$-en-US]* (#,##0);_([$$-en-US]* "-"_);_(@_)</rpv>
    </rSty>
    <rSty>
      <rpv i="2">1</rpv>
    </rSty>
    <rSty dxfid="7"/>
    <rSty dxfid="1">
      <rpv i="0">_-[$$-en-HK]* #,##0_-;-[$$-en-HK]* #,##0_-;_-[$$-en-HK]* "-"_-;_-@_-</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Compte" xr10:uid="{BD1262A9-F78E-4AF9-B907-A4C5AF215C86}" sourceName="Compte">
  <extLst>
    <x:ext xmlns:x15="http://schemas.microsoft.com/office/spreadsheetml/2010/11/main" uri="{2F2917AC-EB37-4324-AD4E-5DD8C200BD13}">
      <x15:tableSlicerCache tableId="7"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te" xr10:uid="{41FF7FE2-90D2-47FA-91C0-B918CE91E4C4}" cache="Segment_Compte" caption="Compte" columnCount="4" showCaption="0"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8C44953-D6C0-4D56-AA05-E982EC92C3F7}" name="Titres" displayName="Titres" ref="B5:DI79" totalsRowCount="1" headerRowDxfId="292">
  <autoFilter ref="B5:DI78" xr:uid="{B8C44953-D6C0-4D56-AA05-E982EC92C3F7}"/>
  <sortState xmlns:xlrd2="http://schemas.microsoft.com/office/spreadsheetml/2017/richdata2" ref="B7:DH76">
    <sortCondition ref="D5:D77"/>
  </sortState>
  <tableColumns count="112">
    <tableColumn id="1" xr3:uid="{96606AC6-D224-410C-A4C3-1E1B94B77020}" name="# de compte" totalsRowLabel="Total" dataDxfId="291" totalsRowDxfId="290">
      <calculatedColumnFormula>IF(C6="","",_xlfn.XLOOKUP(C6,Type_Compte,Num_Compte))</calculatedColumnFormula>
    </tableColumn>
    <tableColumn id="2" xr3:uid="{1A380531-0B4C-47C8-A131-824DB0958298}" name="Compte" dataDxfId="289" totalsRowDxfId="288"/>
    <tableColumn id="3" xr3:uid="{8E352011-D0E8-4F1C-AEFE-C169BB48546D}" name="Action"/>
    <tableColumn id="5" xr3:uid="{A7DA7FF0-FE16-4EB7-AB09-1C91B61A4821}" name="Symbole" totalsRowFunction="count" dataDxfId="287" totalsRowDxfId="286">
      <calculatedColumnFormula array="1">_FV(Titres[[#This Row],[Action]],"Code mnémonique",TRUE)</calculatedColumnFormula>
    </tableColumn>
    <tableColumn id="6" xr3:uid="{4CF6C3D3-27B9-45AC-AC6A-7A9C02A5CCA0}" name="Bourse" dataDxfId="285">
      <calculatedColumnFormula array="1">_FV(D6,"Change")</calculatedColumnFormula>
    </tableColumn>
    <tableColumn id="18" xr3:uid="{426587A2-5F88-4EA9-B5A6-93EA04A19638}" name="Industrie" dataDxfId="284">
      <calculatedColumnFormula array="1">IFERROR(_FV(Titres[[#This Row],[Action]],"Industrie"),"")</calculatedColumnFormula>
    </tableColumn>
    <tableColumn id="49" xr3:uid="{C470110A-D24D-4C8B-9C16-311D54B9BDCA}" name="Catégorie"/>
    <tableColumn id="7" xr3:uid="{A297C1FB-119D-4353-820A-9899B7D3936B}" name="Devise" dataDxfId="283" totalsRowDxfId="282">
      <calculatedColumnFormula array="1">_FV(D6,"Devise")</calculatedColumnFormula>
    </tableColumn>
    <tableColumn id="8" xr3:uid="{3F781C0B-9CE0-404C-AED7-A8996428AFC7}" name="Nb d'actions" dataDxfId="281" totalsRowDxfId="280"/>
    <tableColumn id="9" xr3:uid="{08E13D97-326B-4D71-855F-E96EC90EF9FC}" name="Coût moyen" totalsRowFunction="average" dataDxfId="279" totalsRowDxfId="278"/>
    <tableColumn id="10" xr3:uid="{D46E4A8B-3768-416D-95ED-19207870053D}" name="Coût total" totalsRowFunction="sum" dataDxfId="277" totalsRowDxfId="276">
      <calculatedColumnFormula>J6*K6</calculatedColumnFormula>
    </tableColumn>
    <tableColumn id="11" xr3:uid="{409A92C0-CFDE-4819-A767-B8F4F3FBC7EE}" name="Prix actuel" totalsRowFunction="average" dataDxfId="275" totalsRowDxfId="274">
      <calculatedColumnFormula array="1">_FV(D6,"Prix")</calculatedColumnFormula>
    </tableColumn>
    <tableColumn id="12" xr3:uid="{93FBD3BA-3083-43A7-8408-3781DAA0744E}" name="Valeur au marché_x000a_($ local)" totalsRowFunction="sum" dataDxfId="273" totalsRowDxfId="272">
      <calculatedColumnFormula>J6*M6</calculatedColumnFormula>
    </tableColumn>
    <tableColumn id="62" xr3:uid="{2D8C53EB-BEB5-45EB-AA01-ABB9A027D6CD}" name="Valeur au marché (CAD)" totalsRowFunction="sum" dataDxfId="271" totalsRowDxfId="270">
      <calculatedColumnFormula>IF(Titres[[#This Row],[Devise]]="CAD",Titres[[#This Row],[Valeur au marché
($ local)]],Titres[[#This Row],[Valeur au marché
($ local)]]*Ressources!$I$3)</calculatedColumnFormula>
    </tableColumn>
    <tableColumn id="47" xr3:uid="{F1DEF0AF-1BA0-4812-9C98-2815C2DDCAA8}" name="Variation du jour ($)" totalsRowFunction="sum" dataDxfId="269" totalsRowDxfId="268">
      <calculatedColumnFormula array="1">(Titres[[#This Row],[Prix actuel]]-_FV(Titres[[#This Row],[Action]],"Clôture précédente",TRUE))*Titres[[#This Row],[Nb d''actions]]</calculatedColumnFormula>
    </tableColumn>
    <tableColumn id="48" xr3:uid="{62B994B7-BDDA-483B-A1F2-F3D4F71A6122}" name="Variation du jour (%)" totalsRowFunction="custom" dataDxfId="267" totalsRowDxfId="266">
      <calculatedColumnFormula>Titres[[#This Row],[Variation du jour ($)]]/(Titres[[#This Row],[Valeur au marché
($ local)]]-Titres[[#This Row],[Variation du jour ($)]])</calculatedColumnFormula>
      <totalsRowFormula>Titres[[#Totals],[Variation du jour ($)]]/(Titres[[#Totals],[Valeur au marché
($ local)]]-Titres[[#Totals],[Variation du jour ($)]])</totalsRowFormula>
    </tableColumn>
    <tableColumn id="19" xr3:uid="{741ECEAA-B276-4EB0-95FD-62199539A6CB}" name="Gain non réalisé ($)" totalsRowFunction="sum" dataDxfId="265" totalsRowDxfId="264">
      <calculatedColumnFormula>Titres[[#This Row],[Valeur au marché
($ local)]]-Titres[[#This Row],[Coût total]]</calculatedColumnFormula>
    </tableColumn>
    <tableColumn id="20" xr3:uid="{8BA7F982-DAC5-407E-B0E9-C1B6EF14489E}" name="Gain non réalisé (%)" totalsRowFunction="custom" dataDxfId="263" totalsRowDxfId="262">
      <calculatedColumnFormula>Titres[[#This Row],[Gain non réalisé ($)]]/Titres[[#This Row],[Coût total]]</calculatedColumnFormula>
      <totalsRowFormula>Titres[[#Totals],[Gain non réalisé ($)]]/Titres[[#Totals],[Coût total]]</totalsRowFormula>
    </tableColumn>
    <tableColumn id="13" xr3:uid="{F20BAA40-C72F-4373-BE89-69AFE8DD71AD}" name="Dividende trimestriel" totalsRowFunction="sum" dataDxfId="261" totalsRowDxfId="260"/>
    <tableColumn id="14" xr3:uid="{7A668EEF-A3C5-405F-8338-3EF7C7D9363C}" name="Dividende annuel" totalsRowFunction="sum" dataDxfId="259" totalsRowDxfId="258">
      <calculatedColumnFormula>4*Titres[[#This Row],[Dividende trimestriel]]</calculatedColumnFormula>
    </tableColumn>
    <tableColumn id="15" xr3:uid="{1C5A4C60-DC85-4C9A-87EA-7EBAAF153980}" name="Revenu annuel anticipé" totalsRowFunction="sum" dataDxfId="257" totalsRowDxfId="256">
      <calculatedColumnFormula>Titres[[#This Row],[Dividende annuel]]*Titres[[#This Row],[Nb d''actions]]</calculatedColumnFormula>
    </tableColumn>
    <tableColumn id="16" xr3:uid="{75D7F3D2-8ABF-46B9-92C0-C5D941A2819F}" name="Rendement des dividendes" totalsRowFunction="custom" dataDxfId="255" totalsRowDxfId="254">
      <calculatedColumnFormula>Titres[[#This Row],[Dividende annuel]]/Titres[[#This Row],[Prix actuel]]</calculatedColumnFormula>
      <totalsRowFormula>Titres[[#Totals],[Revenu annuel anticipé]]/Titres[[#Totals],[Valeur au marché
($ local)]]</totalsRowFormula>
    </tableColumn>
    <tableColumn id="83" xr3:uid="{D23A0814-9047-4C0F-BAB0-D7CD40EDEB41}" name="$ de dividendes par $ investi" totalsRowFunction="average" dataDxfId="253" totalsRowDxfId="252">
      <calculatedColumnFormula>Titres[[#This Row],[Dividende annuel]]/Titres[[#This Row],[Coût moyen]]</calculatedColumnFormula>
    </tableColumn>
    <tableColumn id="17" xr3:uid="{A0FBE108-C198-44F0-99D7-FF22A8B1D11B}" name="Croissance (années)" dataDxfId="251" totalsRowDxfId="250"/>
    <tableColumn id="4" xr3:uid="{F9504AB8-7C85-4D1F-8108-E978BD53585F}" name="Retour total" totalsRowFunction="custom" dataDxfId="249" totalsRowDxfId="248">
      <calculatedColumnFormula>(((Titres[[#This Row],[Valeur au marché
($ local)]]-Titres[[#This Row],[Coût total]])+Titres[[#This Row],[Total - dividendes reçus]])/Titres[[#This Row],[Coût total]])</calculatedColumnFormula>
      <totalsRowFormula>(((Titres[[#Totals],[Valeur au marché
($ local)]]-Titres[[#Totals],[Coût total]])+Titres[[#Totals],[Total - dividendes reçus]])/Titres[[#Totals],[Coût total]])</totalsRowFormula>
    </tableColumn>
    <tableColumn id="21" xr3:uid="{7CA690C5-9DA1-42FD-8CAD-9D116D3E9C0C}" name="Total - dividendes reçus" totalsRowFunction="sum" dataDxfId="247" totalsRowDxfId="246">
      <calculatedColumnFormula>SUM(Titres[[#This Row],[Janvier 2019]:[Août 2024]])</calculatedColumnFormula>
    </tableColumn>
    <tableColumn id="63" xr3:uid="{F6532F4A-3FCF-4A13-BD89-D43AEB2195B3}" name="Janvier 2019" totalsRowFunction="sum" dataDxfId="245" totalsRowDxfId="244"/>
    <tableColumn id="64" xr3:uid="{3DEE21E8-DAE9-49ED-9BF3-B700C37D493D}" name="Février 2019" totalsRowFunction="sum" dataDxfId="243" totalsRowDxfId="242"/>
    <tableColumn id="65" xr3:uid="{D0972D4F-63BB-4924-BB3B-44A76874DE93}" name="Mars 2019" totalsRowFunction="sum" dataDxfId="241" totalsRowDxfId="240"/>
    <tableColumn id="66" xr3:uid="{17A76731-9E5F-49B7-8D4F-DD5DD6055DA0}" name="Avril 2019" totalsRowFunction="sum" dataDxfId="239" totalsRowDxfId="238"/>
    <tableColumn id="67" xr3:uid="{EC9B9C79-34B9-4F0F-BFAC-A2ADA6EF01B7}" name="Mai 2019" totalsRowFunction="sum" dataDxfId="237" totalsRowDxfId="236"/>
    <tableColumn id="68" xr3:uid="{E16634AF-F412-4A17-A648-C4FED183DFD5}" name="Juin 2019" totalsRowFunction="sum" dataDxfId="235" totalsRowDxfId="234"/>
    <tableColumn id="69" xr3:uid="{7CFE1BD2-74C4-4989-BD7D-35E5036ACA7D}" name="Juillet 2019" totalsRowFunction="sum" dataDxfId="233" totalsRowDxfId="232"/>
    <tableColumn id="70" xr3:uid="{A3883A0D-3776-4A6A-A099-94C66CFB7419}" name="Août 2019" totalsRowFunction="sum" dataDxfId="231" totalsRowDxfId="230"/>
    <tableColumn id="71" xr3:uid="{76C2AEE7-3EBC-4674-A460-1BD195D46240}" name="Septembre 2019" totalsRowFunction="sum" dataDxfId="229" totalsRowDxfId="228"/>
    <tableColumn id="72" xr3:uid="{365A239A-0D04-432A-9476-92E682AF25D7}" name="Octobre 2019" totalsRowFunction="sum" dataDxfId="227" totalsRowDxfId="226"/>
    <tableColumn id="73" xr3:uid="{20B9EF8A-05BB-4B57-B416-39C68542CA78}" name="Novembre 2019" totalsRowFunction="sum" dataDxfId="225" totalsRowDxfId="224"/>
    <tableColumn id="74" xr3:uid="{6F4FD04E-5551-4527-809A-64954AE0DDA4}" name="Décembre 2019" totalsRowFunction="sum" dataDxfId="223" totalsRowDxfId="222"/>
    <tableColumn id="53" xr3:uid="{12E4C391-39CC-4148-96C2-73E6FB096F40}" name="Janvier 2020" totalsRowFunction="sum" dataDxfId="221" totalsRowDxfId="220"/>
    <tableColumn id="54" xr3:uid="{E8FD2EF7-6EDE-4E9E-98C9-146E70BE3A7E}" name="Février 2020" totalsRowFunction="sum" dataDxfId="219" totalsRowDxfId="218"/>
    <tableColumn id="55" xr3:uid="{D33B9C89-320D-4B55-B0E1-AB322183F42D}" name="Mars 2020" totalsRowFunction="sum" dataDxfId="217" totalsRowDxfId="216"/>
    <tableColumn id="56" xr3:uid="{20B81A1E-82FD-4C6D-970D-55E77B2E2AC3}" name="Avril 2020" totalsRowFunction="sum" dataDxfId="215" totalsRowDxfId="214"/>
    <tableColumn id="57" xr3:uid="{9F0C34C4-BD33-40DD-9914-9C4522F5CD88}" name="Mai 2020" totalsRowFunction="sum" dataDxfId="213" totalsRowDxfId="212"/>
    <tableColumn id="58" xr3:uid="{5DFD109E-D54B-43B5-A66A-7C40F4F3498A}" name="Juin 2020" totalsRowFunction="sum" dataDxfId="211" totalsRowDxfId="210"/>
    <tableColumn id="59" xr3:uid="{F4BDDBC5-A820-4FE5-B205-29D55CB41DC5}" name="Juillet 2020" totalsRowFunction="sum" dataDxfId="209" totalsRowDxfId="208"/>
    <tableColumn id="60" xr3:uid="{2D111A18-3622-4E5B-96BD-970FB91AC8F5}" name="Août 2020" totalsRowFunction="sum" dataDxfId="207" totalsRowDxfId="206"/>
    <tableColumn id="61" xr3:uid="{168AC8AA-4EA6-4DF0-8436-2C8C6DE0EB7D}" name="Septembre 2020" totalsRowFunction="sum" dataDxfId="205" totalsRowDxfId="204"/>
    <tableColumn id="52" xr3:uid="{0707310E-03F5-4F5D-85F2-B88B8FCB5279}" name="Octobre 2020" totalsRowFunction="sum" dataDxfId="203" totalsRowDxfId="202"/>
    <tableColumn id="51" xr3:uid="{1BD0686A-A0C0-4425-A2C4-ED568AC361FC}" name="Novembre 2020" totalsRowFunction="sum" dataDxfId="201" totalsRowDxfId="200"/>
    <tableColumn id="50" xr3:uid="{1A5C6634-ED8C-47A9-8F74-0E0EF375FD98}" name="Décembre 2020" totalsRowFunction="sum" dataDxfId="199" totalsRowDxfId="198"/>
    <tableColumn id="22" xr3:uid="{2F8CB8BD-6816-48FD-A838-8C4071C32AE5}" name="Janvier 2021" totalsRowFunction="sum" dataDxfId="197" totalsRowDxfId="196"/>
    <tableColumn id="23" xr3:uid="{9B8A48F8-66B5-4E5C-9B95-50620D8CC36A}" name="Février 2021" totalsRowFunction="sum" dataDxfId="195" totalsRowDxfId="194"/>
    <tableColumn id="24" xr3:uid="{2C2559EB-02BE-4ED2-9894-6E72741D26CD}" name="Mars 2021" totalsRowFunction="sum" dataDxfId="193" totalsRowDxfId="192"/>
    <tableColumn id="25" xr3:uid="{6BEF288F-D08A-433C-9606-FD3D1FFB1D32}" name="Avril 2021" totalsRowFunction="sum" dataDxfId="191" totalsRowDxfId="190"/>
    <tableColumn id="26" xr3:uid="{84CAC009-FECD-495C-8F33-B035B601E1BE}" name="Mai 2021" totalsRowFunction="sum" dataDxfId="189" totalsRowDxfId="188"/>
    <tableColumn id="27" xr3:uid="{27ED7911-9745-4CF4-808D-C5AC6E9E728F}" name="Juin 2021" totalsRowFunction="sum" dataDxfId="187" totalsRowDxfId="186"/>
    <tableColumn id="28" xr3:uid="{5125819A-F640-48B9-B6AB-8069ACE339A9}" name="Juillet 2021" totalsRowFunction="sum" dataDxfId="185" totalsRowDxfId="184"/>
    <tableColumn id="29" xr3:uid="{7DF1F7F8-EB52-4364-ABDC-410660AEAB48}" name="Août 2021" totalsRowFunction="sum" dataDxfId="183" totalsRowDxfId="182"/>
    <tableColumn id="30" xr3:uid="{630C8FC2-0C1F-45AB-A525-9DDA92EA4130}" name="Septembre 2021" totalsRowFunction="sum" dataDxfId="181" totalsRowDxfId="180"/>
    <tableColumn id="31" xr3:uid="{53627957-6427-408B-8505-330A3A2C530C}" name="Octobre 2021" totalsRowFunction="sum" dataDxfId="179" totalsRowDxfId="178"/>
    <tableColumn id="32" xr3:uid="{E5E0B6FC-E50A-4513-8E63-8164F5598496}" name="Novembre 2021" totalsRowFunction="sum" dataDxfId="177" totalsRowDxfId="176"/>
    <tableColumn id="33" xr3:uid="{990C71BD-1299-4E5A-BEED-5D4363819968}" name="Décembre 2021" totalsRowFunction="sum" dataDxfId="175" totalsRowDxfId="174"/>
    <tableColumn id="34" xr3:uid="{DDFE9C2D-95EB-477E-8FD7-70189E2B7737}" name="Janvier 2022" totalsRowFunction="sum" dataDxfId="173" totalsRowDxfId="172"/>
    <tableColumn id="35" xr3:uid="{ACE2FB70-B8D4-4BB9-987E-BE9E086F9D2D}" name="Février 2022" totalsRowFunction="sum" dataDxfId="171" totalsRowDxfId="170"/>
    <tableColumn id="36" xr3:uid="{215BEDED-9C37-49D8-B726-07B534BDFB25}" name="Mars 2022" totalsRowFunction="sum" dataDxfId="169" totalsRowDxfId="168"/>
    <tableColumn id="37" xr3:uid="{51F84E03-37D2-478E-9ED4-D3D43A53E79C}" name="Avril 2022" totalsRowFunction="sum" dataDxfId="167" totalsRowDxfId="166"/>
    <tableColumn id="38" xr3:uid="{488FEB92-14CD-4E41-94DF-E287CF057EAE}" name="Mai 2022" totalsRowFunction="sum" dataDxfId="165" totalsRowDxfId="164"/>
    <tableColumn id="39" xr3:uid="{30D74021-D6A3-4315-B832-7DB37737058C}" name="Juin 2022" totalsRowFunction="sum" dataDxfId="163" totalsRowDxfId="162"/>
    <tableColumn id="40" xr3:uid="{CF91BCE0-6D00-49B8-B96F-0850261B0D4C}" name="Juillet 2022" totalsRowFunction="sum" dataDxfId="161" totalsRowDxfId="160"/>
    <tableColumn id="41" xr3:uid="{9B506ADC-3CF5-4EB2-AED1-C629D66D5CEE}" name="Août 2022" totalsRowFunction="sum" dataDxfId="159" totalsRowDxfId="158"/>
    <tableColumn id="42" xr3:uid="{91D3FA90-F01D-476D-B6DD-DA5E0C51BA3A}" name="Septembre 2022" totalsRowFunction="sum" dataDxfId="157" totalsRowDxfId="156"/>
    <tableColumn id="43" xr3:uid="{3283634C-AF75-486A-B6B4-069947965211}" name="Octobre 2022" totalsRowFunction="sum" dataDxfId="155" totalsRowDxfId="154"/>
    <tableColumn id="44" xr3:uid="{E3FEE626-7055-4187-A4A6-4D67C085D541}" name="Novembre 2022" totalsRowFunction="sum" dataDxfId="153" totalsRowDxfId="152"/>
    <tableColumn id="45" xr3:uid="{38A135DF-8856-44C7-8531-7EE1F971C8AB}" name="Décembre 2022" totalsRowFunction="sum" dataDxfId="151" totalsRowDxfId="150"/>
    <tableColumn id="46" xr3:uid="{F01A0370-D9CF-4AEB-99C4-289F979E943C}" name="Janvier 2023" totalsRowFunction="sum" dataDxfId="149" totalsRowDxfId="148"/>
    <tableColumn id="75" xr3:uid="{32C5D905-5DA6-4419-9DB4-3685BBE0B3A2}" name="Février 2023" totalsRowFunction="sum" dataDxfId="147" totalsRowDxfId="146"/>
    <tableColumn id="76" xr3:uid="{BB78A916-48B9-4E11-8751-352A40FF6B96}" name="Mars 2023" totalsRowFunction="sum" dataDxfId="145" totalsRowDxfId="144"/>
    <tableColumn id="77" xr3:uid="{F77B2701-22FE-427D-B04B-50A2D83E1E8B}" name="Avril 2023" totalsRowFunction="sum" dataDxfId="143" totalsRowDxfId="142"/>
    <tableColumn id="78" xr3:uid="{62FE83B3-55BB-467C-9750-90FC4577B5E0}" name="Mai 2023" totalsRowFunction="sum" dataDxfId="141" totalsRowDxfId="140"/>
    <tableColumn id="79" xr3:uid="{A8BBF28F-C979-4C57-85F2-D176B9BACEAE}" name=".Juin 2023" totalsRowFunction="sum" dataDxfId="139" totalsRowDxfId="138"/>
    <tableColumn id="80" xr3:uid="{D2B4E375-98B9-43D3-A679-37CD1B1A7D48}" name="Juillet 2023" totalsRowFunction="sum" dataDxfId="137" totalsRowDxfId="136"/>
    <tableColumn id="81" xr3:uid="{AC5C472B-BC39-4306-8129-9A44E29EFD78}" name="Août 2023" totalsRowFunction="sum" dataDxfId="135" totalsRowDxfId="134">
      <calculatedColumnFormula>25.55-3.83</calculatedColumnFormula>
    </tableColumn>
    <tableColumn id="82" xr3:uid="{5C911EB8-0936-418A-AC0E-FC566855F63B}" name="Septembre 2023" totalsRowFunction="sum" dataDxfId="133" totalsRowDxfId="132"/>
    <tableColumn id="84" xr3:uid="{13ECC33E-6686-49F0-9D41-D31A9BCFB9A5}" name="Octobre 2023" totalsRowFunction="sum" dataDxfId="131" totalsRowDxfId="130"/>
    <tableColumn id="85" xr3:uid="{347FDAE7-4682-4895-93F0-D7436C7D8EA3}" name="Novembre 2023" totalsRowFunction="sum" dataDxfId="129" totalsRowDxfId="128"/>
    <tableColumn id="86" xr3:uid="{8BB7C005-2F0C-4991-9B63-CC0B94ADD931}" name="Décembre 2023" totalsRowFunction="sum" dataDxfId="127" totalsRowDxfId="126"/>
    <tableColumn id="87" xr3:uid="{674A1D3C-9465-42E5-9227-DBE1F09FFF8D}" name="Janvier 2024" totalsRowFunction="sum" dataDxfId="125" totalsRowDxfId="124"/>
    <tableColumn id="88" xr3:uid="{7AC8594F-CA54-4B67-8C59-BDF4E1CD9F54}" name="Février 2024" totalsRowFunction="sum" dataDxfId="123" totalsRowDxfId="122"/>
    <tableColumn id="89" xr3:uid="{A7648E6E-1C2E-4CA6-883C-FFE1D4FBE726}" name="Mars 2024" totalsRowFunction="sum" dataDxfId="121" totalsRowDxfId="120"/>
    <tableColumn id="90" xr3:uid="{1B226EAD-E36F-4D5B-B90C-5A824FFA49E2}" name="Avril 2024" totalsRowFunction="sum" dataDxfId="119" totalsRowDxfId="118"/>
    <tableColumn id="91" xr3:uid="{A24BAD70-B1CD-4CC3-96C4-3549CDDCA5B8}" name="Mai 2024" totalsRowFunction="sum" dataDxfId="117" totalsRowDxfId="116"/>
    <tableColumn id="92" xr3:uid="{90D16B68-D12C-4637-A519-81F72A388B7E}" name="Juin 2024" totalsRowFunction="sum" dataDxfId="115" totalsRowDxfId="114"/>
    <tableColumn id="93" xr3:uid="{D1491369-4DA3-47BC-BB0E-B85ACD8CFB14}" name="Juillet 2024" totalsRowFunction="sum" dataDxfId="113" totalsRowDxfId="112"/>
    <tableColumn id="94" xr3:uid="{E22C5229-1098-4665-BF80-708BDA9C18F4}" name="Août 2024" totalsRowFunction="sum" dataDxfId="111" totalsRowDxfId="110"/>
    <tableColumn id="95" xr3:uid="{9C09B646-7E87-4D31-9B37-B682575F9BB1}" name="Septembre 2024" totalsRowFunction="sum" dataDxfId="109" totalsRowDxfId="108"/>
    <tableColumn id="96" xr3:uid="{35F1D2BC-03B9-4674-85F2-ED6A40CB587B}" name="Octobre 2024" totalsRowFunction="sum" dataDxfId="107" totalsRowDxfId="106"/>
    <tableColumn id="97" xr3:uid="{ECFD7C61-896E-4AA4-8AA0-5DB8062FF94E}" name="Novembre 2024" totalsRowFunction="sum" dataDxfId="105" totalsRowDxfId="104"/>
    <tableColumn id="98" xr3:uid="{08B3FDA4-1EC2-4A27-83C9-48088C089BF0}" name="Décembre 2024" totalsRowFunction="sum" dataDxfId="103" totalsRowDxfId="102"/>
    <tableColumn id="99" xr3:uid="{39813E6A-281E-43A0-B7EB-F3F80CF7A697}" name="Janvier 2025" totalsRowFunction="sum" dataDxfId="101" totalsRowDxfId="100"/>
    <tableColumn id="100" xr3:uid="{F7835C99-9077-4201-9D03-E6C66AFD6C20}" name="Février 2025" totalsRowFunction="sum" dataDxfId="99" totalsRowDxfId="98"/>
    <tableColumn id="101" xr3:uid="{C0AB8EBC-17CD-45D4-8B8C-1888CEA45975}" name="Mars 2025" totalsRowFunction="sum" dataDxfId="97" totalsRowDxfId="96"/>
    <tableColumn id="102" xr3:uid="{B5FA039B-6921-40A3-8BD2-4F528F00881D}" name="Avril 2025" totalsRowFunction="sum" dataDxfId="95" totalsRowDxfId="94"/>
    <tableColumn id="103" xr3:uid="{636C8F23-8CD6-4FE6-8B59-AE4ABE861BF7}" name="Mai 2025" totalsRowFunction="sum" dataDxfId="93" totalsRowDxfId="92"/>
    <tableColumn id="104" xr3:uid="{E0D80FC1-63A3-4CD6-9ADB-133AE059F0FB}" name="Juin 2025" totalsRowFunction="sum" dataDxfId="91" totalsRowDxfId="90"/>
    <tableColumn id="105" xr3:uid="{3301EEDB-EEF9-4DCD-9FB7-F68F01FC3476}" name="Juillet 2025" totalsRowFunction="sum" dataDxfId="89" totalsRowDxfId="88"/>
    <tableColumn id="106" xr3:uid="{862B2DC3-3EC5-41C7-A13C-2B544C546E25}" name="Août 2025" totalsRowFunction="sum" dataDxfId="87" totalsRowDxfId="86"/>
    <tableColumn id="107" xr3:uid="{C000188D-671E-4C21-A001-03CD11BE7B4D}" name="Septembre 2025" totalsRowFunction="sum" dataDxfId="85" totalsRowDxfId="84"/>
    <tableColumn id="108" xr3:uid="{7B305DA6-3242-4A3A-8CB9-692509F481BE}" name="Octobre 2025" totalsRowFunction="sum" dataDxfId="83" totalsRowDxfId="82"/>
    <tableColumn id="109" xr3:uid="{771A6051-AE34-4212-B8B7-FC50ECEF07EB}" name="Novembre 2025" totalsRowFunction="sum" dataDxfId="81" totalsRowDxfId="80"/>
    <tableColumn id="110" xr3:uid="{F40108BA-81B9-456A-B39C-1F2992D19D56}" name="Décembre 2025" totalsRowFunction="sum" dataDxfId="79" totalsRowDxfId="78"/>
    <tableColumn id="111" xr3:uid="{81414ABD-522C-40CA-9E41-7745D36D1643}" name="Janvier 2026" totalsRowFunction="sum" dataDxfId="77" totalsRowDxfId="76"/>
    <tableColumn id="112" xr3:uid="{3724D09F-192B-4418-A6A8-101A5831CED2}" name="Février 2026" totalsRowFunction="sum" dataDxfId="75" totalsRowDxfId="74"/>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05D659-BC93-4E15-B811-0B9C2C4F5206}" name="Tableau4" displayName="Tableau4" ref="B3:J7" totalsRowCount="1" headerRowDxfId="73" dataDxfId="72">
  <autoFilter ref="B3:J6" xr:uid="{4105D659-BC93-4E15-B811-0B9C2C4F5206}"/>
  <tableColumns count="9">
    <tableColumn id="1" xr3:uid="{18780146-F40D-4C85-AE40-6EB9F68FC1E4}" name="Année d'émission" totalsRowLabel="Total" dataDxfId="71" totalsRowDxfId="70"/>
    <tableColumn id="2" xr3:uid="{3386DB98-3DDE-45B7-B72E-2436C799D762}" name="Nb" dataDxfId="69" totalsRowDxfId="68"/>
    <tableColumn id="3" xr3:uid="{80BD92F0-1D26-4E35-B7E1-14C9FDD9ED87}" name="Prix d'achat" dataDxfId="67" totalsRowDxfId="66"/>
    <tableColumn id="4" xr3:uid="{210DBDE1-6C93-41CB-BA7B-2C4D401E4DAA}" name="Coût total" totalsRowFunction="sum" dataDxfId="65" totalsRowDxfId="64">
      <calculatedColumnFormula>C4*D4</calculatedColumnFormula>
    </tableColumn>
    <tableColumn id="5" xr3:uid="{C7CBD36B-032C-4CDF-B3F9-ACBCE80E47B5}" name="Admissibilité au rachat" dataDxfId="63" totalsRowDxfId="62"/>
    <tableColumn id="6" xr3:uid="{3428CA12-2159-4A08-97E1-7936C181C855}" name="Prix actuel" dataDxfId="61" totalsRowDxfId="60">
      <calculatedColumnFormula>$J$1</calculatedColumnFormula>
    </tableColumn>
    <tableColumn id="7" xr3:uid="{CF57D024-27E2-488F-BD2B-FC82B0257AAE}" name="Valeur marchande" totalsRowFunction="sum" dataDxfId="59" totalsRowDxfId="58">
      <calculatedColumnFormula>Tableau4[[#This Row],[Nb]]*Tableau4[[#This Row],[Prix actuel]]</calculatedColumnFormula>
    </tableColumn>
    <tableColumn id="8" xr3:uid="{262C54B3-C6DA-468D-9FF4-97B436371CAB}" name="Gain ($)" totalsRowFunction="custom" dataDxfId="57" totalsRowDxfId="56">
      <calculatedColumnFormula>Tableau4[[#This Row],[Valeur marchande]]-Tableau4[[#This Row],[Coût total]]</calculatedColumnFormula>
      <totalsRowFormula>Tableau4[[#Totals],[Valeur marchande]]-Tableau4[[#Totals],[Coût total]]</totalsRowFormula>
    </tableColumn>
    <tableColumn id="9" xr3:uid="{7F697FD1-DF23-4ED8-84FC-9D88DC429EB6}" name="Gain (%)" totalsRowFunction="custom" dataDxfId="55" totalsRowDxfId="54">
      <calculatedColumnFormula>Tableau4[[#This Row],[Gain ($)]]/Tableau4[[#This Row],[Coût total]]</calculatedColumnFormula>
      <totalsRowFormula>Tableau4[[#Totals],[Gain ($)]]/Tableau4[[#Totals],[Coût total]]</totalsRowFormula>
    </tableColumn>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2D7B548-EE92-420E-B23F-14937FA30379}" name="Tableau8" displayName="Tableau8" ref="B3:Q80" totalsRowShown="0" headerRowDxfId="53">
  <autoFilter ref="B3:Q80" xr:uid="{42D7B548-EE92-420E-B23F-14937FA30379}"/>
  <sortState xmlns:xlrd2="http://schemas.microsoft.com/office/spreadsheetml/2017/richdata2" ref="B4:Q80">
    <sortCondition descending="1" ref="M3:M80"/>
  </sortState>
  <tableColumns count="16">
    <tableColumn id="11" xr3:uid="{84EDCACA-AF80-4275-B5E6-067A0317728B}" name="Source"/>
    <tableColumn id="16" xr3:uid="{F75CCF55-7F6D-42AE-9464-DA8030C076D3}" name="Politique ?" dataDxfId="52"/>
    <tableColumn id="1" xr3:uid="{2DC528AF-FCC3-420E-BF6C-D3395C587531}" name="Action"/>
    <tableColumn id="2" xr3:uid="{F3D10A65-5161-4651-91B2-333549C0311E}" name="Symbole">
      <calculatedColumnFormula array="1">_FV(Tableau8[[#This Row],[Action]],"Code mnémonique",TRUE)</calculatedColumnFormula>
    </tableColumn>
    <tableColumn id="3" xr3:uid="{E4047F23-4E4C-4027-8332-DB336FE6E073}" name="Bourse">
      <calculatedColumnFormula array="1">_FV(Tableau8[[#This Row],[Action]],"Change")</calculatedColumnFormula>
    </tableColumn>
    <tableColumn id="4" xr3:uid="{6AEFF7AD-7185-485E-9B63-03551D45231A}" name="Industrie" dataDxfId="51">
      <calculatedColumnFormula array="1">IFERROR(_FV(Tableau8[[#This Row],[Action]],"industrie"),"")</calculatedColumnFormula>
    </tableColumn>
    <tableColumn id="5" xr3:uid="{24BB83EF-5B75-4AC5-9776-14579C925484}" name="Devise" dataDxfId="50">
      <calculatedColumnFormula array="1">_FV(Tableau8[[#This Row],[Action]],"Devise")</calculatedColumnFormula>
    </tableColumn>
    <tableColumn id="6" xr3:uid="{3C3E5F29-B8A0-4145-8DFC-2FA6F9B96088}" name="Prix actuel" dataDxfId="49">
      <calculatedColumnFormula array="1">_FV(Tableau8[[#This Row],[Action]],"Prix")</calculatedColumnFormula>
    </tableColumn>
    <tableColumn id="17" xr3:uid="{2C0F1C13-D8DF-4E3B-8E9A-26BD711514AC}" name="Mensuel ?" dataDxfId="48"/>
    <tableColumn id="9" xr3:uid="{10D77575-CCC9-44DB-8276-1D62A65DF8F0}" name="Dividende trimestriel" dataDxfId="47"/>
    <tableColumn id="10" xr3:uid="{8B0B94C2-2DF7-4E34-A818-C331D3419828}" name="Dividende annuel" dataDxfId="46">
      <calculatedColumnFormula>4*Tableau8[[#This Row],[Dividende trimestriel]]</calculatedColumnFormula>
    </tableColumn>
    <tableColumn id="7" xr3:uid="{60F828F1-70CB-4C3F-8C74-A303FA77789F}" name="Rendement des dividendes" dataDxfId="45">
      <calculatedColumnFormula>Tableau8[[#This Row],[Dividende annuel]]/Tableau8[[#This Row],[Prix actuel]]</calculatedColumnFormula>
    </tableColumn>
    <tableColumn id="8" xr3:uid="{1A727815-673E-409C-94DE-0D90EEEC3335}" name="Croissance (années)" dataDxfId="44"/>
    <tableColumn id="12" xr3:uid="{EFED914B-C786-4919-835E-F1743D77E343}" name="Beta" dataDxfId="43">
      <calculatedColumnFormula array="1">IFERROR(_FV(Tableau8[[#This Row],[Action]],"Bêta"),"")</calculatedColumnFormula>
    </tableColumn>
    <tableColumn id="13" xr3:uid="{867DD77C-FA6E-4D4A-9606-1D5D3E7B366B}" name="Capitalisation boursière_x000a_(en milliard)" dataDxfId="42">
      <calculatedColumnFormula array="1">_FV(Tableau8[[#This Row],[Action]],"Capitalisation boursière",TRUE)</calculatedColumnFormula>
    </tableColumn>
    <tableColumn id="15" xr3:uid="{EDF37D88-CAD2-44F2-BD0E-0F49B5CC3669}" name="Année de constitution" dataDxfId="41">
      <calculatedColumnFormula array="1">IFERROR(_FV(Tableau8[[#This Row],[Action]],"Année de constitution",TRUE),"")</calculatedColumnFormula>
    </tableColumn>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80EAA72-9EFE-4CC0-B008-0428C148F656}" name="Tableau410" displayName="Tableau410" ref="B9:T14" totalsRowCount="1" headerRowDxfId="40">
  <autoFilter ref="B9:T13" xr:uid="{F0DDA38C-D100-4717-8AD9-57D6812B4923}"/>
  <tableColumns count="19">
    <tableColumn id="1" xr3:uid="{9D9D7233-C2A5-48F8-B541-8014985DD534}" name="Action" totalsRowLabel="Total"/>
    <tableColumn id="13" xr3:uid="{559AF135-2C6E-4953-9ECF-89B276957529}" name="Symbole" dataDxfId="39">
      <calculatedColumnFormula array="1">_FV(Tableau410[[#This Row],[Action]],"Code mnémonique",TRUE)</calculatedColumnFormula>
    </tableColumn>
    <tableColumn id="17" xr3:uid="{E9D8E951-5D4E-4FD9-B7A2-22D0FCB16B37}" name="Devise" dataDxfId="38">
      <calculatedColumnFormula array="1">_FV(Tableau410[[#This Row],[Action]],"Devise")</calculatedColumnFormula>
    </tableColumn>
    <tableColumn id="2" xr3:uid="{8CFF0224-9F5A-4CCF-ACB6-DA4293317088}" name="Nb" dataDxfId="37"/>
    <tableColumn id="3" xr3:uid="{C334E3E1-82C8-42C2-A203-9802D7CA6E31}" name="Prix - achat (USD)" dataDxfId="36"/>
    <tableColumn id="4" xr3:uid="{AB028C87-9149-421C-8CC6-76C4E422D1F0}" name="Montant - achat (USD)" totalsRowFunction="sum" dataDxfId="35" totalsRowDxfId="34">
      <calculatedColumnFormula>Tableau410[[#This Row],[Nb]]*Tableau410[[#This Row],[Prix - achat (USD)]]</calculatedColumnFormula>
    </tableColumn>
    <tableColumn id="5" xr3:uid="{85E40389-F73B-48E3-A737-CB81C16A0C9D}" name="Taux de change - achat" dataDxfId="33"/>
    <tableColumn id="6" xr3:uid="{D29D5055-A273-4A95-9BF8-45F94940D27C}" name="Prix - achat (CAD)" dataDxfId="32">
      <calculatedColumnFormula>Tableau410[[#This Row],[Taux de change - achat]]*Tableau410[[#This Row],[Prix - achat (USD)]]</calculatedColumnFormula>
    </tableColumn>
    <tableColumn id="7" xr3:uid="{47A157CD-425C-44D7-9B79-FAF8F7016248}" name="Montant - achat (CAD)" totalsRowFunction="sum" dataDxfId="31" totalsRowDxfId="30">
      <calculatedColumnFormula>Tableau410[[#This Row],[Prix - achat (CAD)]]*Tableau410[[#This Row],[Nb]]</calculatedColumnFormula>
    </tableColumn>
    <tableColumn id="8" xr3:uid="{6B006AE2-DE00-4D4E-8CAE-294FC5FE2377}" name="Cible - vente (USD)" dataDxfId="29"/>
    <tableColumn id="12" xr3:uid="{D3A2655F-B7C4-40EC-A45C-7409D606D632}" name="Prix actuel (USD)" dataDxfId="28">
      <calculatedColumnFormula array="1">_FV(Tableau410[[#This Row],[Action]],"Prix")</calculatedColumnFormula>
    </tableColumn>
    <tableColumn id="15" xr3:uid="{64E561BE-624A-4773-B90D-E3A7058FA610}" name="Variation du jour (USD)" dataDxfId="27" totalsRowDxfId="26">
      <calculatedColumnFormula array="1">(_FV(Tableau410[[#This Row],[Action]],"Prix")-_FV(Tableau410[[#This Row],[Action]],"Clôture précédente",TRUE))*Tableau410[[#This Row],[Nb]]</calculatedColumnFormula>
    </tableColumn>
    <tableColumn id="14" xr3:uid="{E501F826-C6B4-4138-B52A-FED552B3DDD0}" name="Progression sur la cible" dataDxfId="25">
      <calculatedColumnFormula>Tableau410[[#This Row],[Prix actuel (USD)]]/Tableau410[[#This Row],[Cible - vente (USD)]]</calculatedColumnFormula>
    </tableColumn>
    <tableColumn id="16" xr3:uid="{BFE8982D-9040-4BB1-AED9-798F277E2A90}" name="Profit actuel (USD)" totalsRowFunction="sum" dataDxfId="24" totalsRowDxfId="23">
      <calculatedColumnFormula>(Tableau410[[#This Row],[Prix actuel (USD)]]-Tableau410[[#This Row],[Prix - achat (USD)]])*Tableau410[[#This Row],[Nb]]</calculatedColumnFormula>
    </tableColumn>
    <tableColumn id="10" xr3:uid="{217086C2-BD99-46A8-9547-902F549EB346}" name="Taux de change - actuel" dataDxfId="22">
      <calculatedColumnFormula>Ressources!$I$3</calculatedColumnFormula>
    </tableColumn>
    <tableColumn id="11" xr3:uid="{33FDB568-C94E-4A88-807F-6F0CFC3C96BD}" name="Cible - vente (CAD)" dataDxfId="21">
      <calculatedColumnFormula>Tableau410[[#This Row],[Cible - vente (USD)]]*Tableau410[[#This Row],[Taux de change - actuel]]</calculatedColumnFormula>
    </tableColumn>
    <tableColumn id="9" xr3:uid="{D27C76CC-9146-418E-8E12-001AE275052F}" name="Prix de vente_x000a_(CAD)"/>
    <tableColumn id="18" xr3:uid="{273A7A5C-B5E4-4D81-A7AD-9BAEF681949B}" name="Vente total_x000a_(CAD)" dataDxfId="20">
      <calculatedColumnFormula>Tableau410[[#This Row],[Prix de vente
(CAD)]]*Tableau410[[#This Row],[Nb]]</calculatedColumnFormula>
    </tableColumn>
    <tableColumn id="19" xr3:uid="{919F566B-CD60-404F-AEAE-E6F989726270}" name="Profit réel_x000a_(CAD)" totalsRowFunction="sum" dataDxfId="19" totalsRowDxfId="18">
      <calculatedColumnFormula>IF(Tableau410[[#This Row],[Vente total
(CAD)]]=0,"",Tableau410[[#This Row],[Vente total
(CAD)]]-Tableau410[[#This Row],[Montant - achat (CAD)]])</calculatedColumnFormula>
    </tableColumn>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A1E45D7-5377-4FB9-B4C5-E5097501991D}" name="Tableau5" displayName="Tableau5" ref="B6:O20" totalsRowShown="0">
  <autoFilter ref="B6:O20" xr:uid="{CA1E45D7-5377-4FB9-B4C5-E5097501991D}"/>
  <sortState xmlns:xlrd2="http://schemas.microsoft.com/office/spreadsheetml/2017/richdata2" ref="B7:O20">
    <sortCondition ref="K6:K20"/>
  </sortState>
  <tableColumns count="14">
    <tableColumn id="1" xr3:uid="{0EFF8089-A8B5-42BF-9C41-89B1509E3D8E}" name="Bourse" dataDxfId="17">
      <calculatedColumnFormula array="1">_FV(Tableau5[[#This Row],[Symbole]],"Devise")</calculatedColumnFormula>
    </tableColumn>
    <tableColumn id="2" xr3:uid="{E3C12C56-CB15-4743-8802-D27794664327}" name="Symbole" dataDxfId="16"/>
    <tableColumn id="3" xr3:uid="{90DA6E51-8FBB-4328-B306-D35B2B7E71A4}" name="Nom" dataDxfId="15">
      <calculatedColumnFormula array="1">_FV(Tableau5[[#This Row],[Symbole]],"Nom")</calculatedColumnFormula>
    </tableColumn>
    <tableColumn id="4" xr3:uid="{8FF1FB6C-A9EB-4AFF-A54B-76B0350F711F}" name="Évaluation" dataDxfId="14"/>
    <tableColumn id="8" xr3:uid="{847FFFB3-A35A-4C57-B955-BDCB3036A239}" name="Secteur" dataDxfId="13"/>
    <tableColumn id="5" xr3:uid="{CA456895-D9BE-432E-93AF-D2349FAFF69D}" name="Gérance" dataDxfId="12"/>
    <tableColumn id="7" xr3:uid="{D7037DD5-EC44-4ABD-883C-82507D0E5B24}" name="Bastille" dataDxfId="11"/>
    <tableColumn id="12" xr3:uid="{6CAA085D-6FAE-4F7E-862D-9E254B9F7CD5}" name="Prix" dataDxfId="10">
      <calculatedColumnFormula array="1">_FV(Tableau5[[#This Row],[Symbole]],"Prix")</calculatedColumnFormula>
    </tableColumn>
    <tableColumn id="11" xr3:uid="{70CDF422-93F5-46B4-9321-A3FD0C496CDC}" name="FVE" dataDxfId="9"/>
    <tableColumn id="10" xr3:uid="{70921EDF-8D03-4ABD-92FF-86C7068142DA}" name="P / FVE" dataDxfId="8">
      <calculatedColumnFormula>Tableau5[[#This Row],[Prix]]/Tableau5[[#This Row],[FVE]]</calculatedColumnFormula>
    </tableColumn>
    <tableColumn id="13" xr3:uid="{4E0BF5F1-A065-47E5-86C5-D3534260095C}" name="Pépite" dataDxfId="7">
      <calculatedColumnFormula>IF(Tableau5[[#This Row],[P / FVE]]&lt;0.45,"Or",IF(Tableau5[[#This Row],[P / FVE]]&lt;0.55,"Argent",IF(Tableau5[[#This Row],[P / FVE]]&lt;0.65,"Bronze",IF(Tableau5[[#This Row],[P / FVE]]&lt;0.75,"Fer","Plomb"))))</calculatedColumnFormula>
    </tableColumn>
    <tableColumn id="14" xr3:uid="{F2226DF6-E359-48D9-A333-9AF46EAD0DE0}" name="Capitalisation (en milliard)" dataDxfId="6"/>
    <tableColumn id="15" xr3:uid="{889C9E6C-0DB8-42B5-AD40-7AED06B35924}" name="Dividendes" dataDxfId="5"/>
    <tableColumn id="9" xr3:uid="{7D1FA4F8-C5BD-42C0-B20C-75034465C008}" name="Décision" dataDxfId="4"/>
  </tableColumns>
  <tableStyleInfo name="TableStyleMedium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3" dT="2023-01-21T18:08:39.45" personId="{00000000-0000-0000-0000-000000000000}" id="{D6A406C4-C582-4EEB-92E6-E3A55B0ECF87}">
    <text>Volatilité du marché = 1
Plus que 1 : plus volatile
Moins que 1 : moins volatile</text>
  </threadedComment>
</ThreadedComments>
</file>

<file path=xl/threadedComments/threadedComment2.xml><?xml version="1.0" encoding="utf-8"?>
<ThreadedComments xmlns="http://schemas.microsoft.com/office/spreadsheetml/2018/threadedcomments" xmlns:x="http://schemas.openxmlformats.org/spreadsheetml/2006/main">
  <threadedComment ref="U3" dT="2025-10-03T14:40:27.20" personId="{00000000-0000-0000-0000-000000000000}" id="{BD167ECD-0419-4A0E-A6F9-3767FA3C64C3}">
    <text>Selon le relevé de portefeuille de l’année (donc au 31 décembre)</text>
  </threadedComment>
</ThreadedComments>
</file>

<file path=xl/threadedComments/threadedComment3.xml><?xml version="1.0" encoding="utf-8"?>
<ThreadedComments xmlns="http://schemas.microsoft.com/office/spreadsheetml/2018/threadedcomments" xmlns:x="http://schemas.openxmlformats.org/spreadsheetml/2006/main">
  <threadedComment ref="P3" dT="2023-01-15T01:18:39.79" personId="{00000000-0000-0000-0000-000000000000}" id="{BC87A7CA-4E72-420A-97F7-38F04380D70B}">
    <text>Taux préférentiel Desjardins</text>
  </threadedComment>
  <threadedComment ref="Q3" dT="2023-01-15T01:18:56.34" personId="{00000000-0000-0000-0000-000000000000}" id="{3235E216-C7CE-4D56-B832-69CA3BE5C44C}">
    <text>Taux préférentiel U.S. Desjardins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EAE1153-D667-4F8E-B6F6-5B7A6BA9CF0C}">
  <we:reference id="wa200001365" version="1.0.0.0" store="en-US" storeType="OMEX"/>
  <we:alternateReferences>
    <we:reference id="WA200001365"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_xldudf_ALPHAVANTAGE_EQUITYQUOTEUPDATING</we:customFunctionIds>
        <we:customFunctionIds>_xldudf_ALPHAVANTAGE_EQUITYTIMESERIES</we:customFunctionIds>
        <we:customFunctionIds>_xldudf_ALPHAVANTAGE_EQUITYTIMESERIESUPDATING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_xldudf_ALPHAVANTAGE_TECHNICALINDICATORUPDATING</we:customFunctionIds>
        <we:customFunctionIds>_xldudf_ALPHAVANTAGE_SYMBOLSEARCH</we:customFunctionIds>
        <we:customFunctionIds>_xldudf_ALPHAVANTAGE_AVAILABLECRYPTOCURRENCIES</we:customFunctionIds>
        <we:customFunctionIds>_xldudf_ALPHAVANTAGE_AVAILABLEPHYSICALCURRENCIES</we:customFunctionIds>
        <we:customFunctionIds>_xldudf_ALPHAVANTAGE_SECTORPERFORMANCE</we:customFunctionIds>
        <we:customFunctionIds>_xldudf_ALPHAVANTAGE_SECTORPERFORMANCEUPDATING</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C7A39-5638-4412-9A42-10856165E0FC}">
  <sheetPr codeName="Feuil1">
    <tabColor theme="8" tint="-0.499984740745262"/>
  </sheetPr>
  <dimension ref="B1:IX45"/>
  <sheetViews>
    <sheetView showGridLines="0" workbookViewId="0">
      <selection activeCell="E34" sqref="E34"/>
    </sheetView>
  </sheetViews>
  <sheetFormatPr baseColWidth="10" defaultColWidth="11.42578125" defaultRowHeight="15" x14ac:dyDescent="0.25"/>
  <cols>
    <col min="1" max="1" width="2" customWidth="1"/>
    <col min="2" max="2" width="27.5703125" customWidth="1"/>
    <col min="3" max="3" width="5" customWidth="1"/>
    <col min="4" max="4" width="26.42578125" customWidth="1"/>
    <col min="5" max="5" width="14" customWidth="1"/>
    <col min="6" max="6" width="5" customWidth="1"/>
    <col min="7" max="7" width="24" customWidth="1"/>
    <col min="8" max="8" width="5" customWidth="1"/>
    <col min="9" max="9" width="24" customWidth="1"/>
    <col min="10" max="10" width="5" customWidth="1"/>
    <col min="11" max="11" width="24" customWidth="1"/>
    <col min="12" max="12" width="5" customWidth="1"/>
    <col min="13" max="13" width="24" customWidth="1"/>
    <col min="14" max="14" width="8.140625" customWidth="1"/>
    <col min="15" max="20" width="12.7109375" customWidth="1"/>
  </cols>
  <sheetData>
    <row r="1" spans="2:20" ht="22.5" x14ac:dyDescent="0.3">
      <c r="B1" s="152" t="s">
        <v>168</v>
      </c>
      <c r="C1" s="152"/>
      <c r="D1" s="152"/>
      <c r="E1" s="152"/>
      <c r="F1" s="152"/>
      <c r="G1" s="152"/>
      <c r="H1" s="152"/>
      <c r="I1" s="152"/>
      <c r="J1" s="152"/>
      <c r="K1" s="152"/>
      <c r="L1" s="152"/>
      <c r="M1" s="152"/>
      <c r="N1" s="152"/>
      <c r="O1" s="152"/>
      <c r="P1" s="152"/>
      <c r="Q1" s="152"/>
      <c r="R1" s="152"/>
      <c r="S1" s="152"/>
      <c r="T1" s="152"/>
    </row>
    <row r="2" spans="2:20" x14ac:dyDescent="0.25">
      <c r="D2" s="96" t="s">
        <v>223</v>
      </c>
    </row>
    <row r="3" spans="2:20" x14ac:dyDescent="0.25">
      <c r="B3" s="53" t="s">
        <v>61</v>
      </c>
      <c r="D3" s="136" t="s">
        <v>224</v>
      </c>
      <c r="E3" s="138"/>
      <c r="G3" s="153" t="s">
        <v>57</v>
      </c>
      <c r="H3" s="154"/>
      <c r="I3" s="155"/>
      <c r="J3" s="159">
        <f ca="1">E4+E12+E20+E28+E36+B38</f>
        <v>677602.58529500011</v>
      </c>
      <c r="K3" s="160"/>
      <c r="L3" s="160"/>
      <c r="M3" s="161"/>
      <c r="O3" s="168" t="s">
        <v>202</v>
      </c>
      <c r="P3" s="168"/>
      <c r="Q3" s="168"/>
      <c r="R3" s="168"/>
      <c r="S3" s="168"/>
    </row>
    <row r="4" spans="2:20" x14ac:dyDescent="0.25">
      <c r="B4" s="175" t="s">
        <v>299</v>
      </c>
      <c r="D4" s="91" t="s">
        <v>76</v>
      </c>
      <c r="E4" s="92">
        <f ca="1">SUMIF(Titres[Compte],"Marge (CAD)",Titres[Valeur au marché
($ local)])</f>
        <v>253641.8</v>
      </c>
      <c r="G4" s="156" t="s">
        <v>120</v>
      </c>
      <c r="H4" s="157"/>
      <c r="I4" s="158"/>
      <c r="J4" s="115">
        <f>'Titre et dividendes'!L79</f>
        <v>388303.03700000007</v>
      </c>
      <c r="K4" s="128"/>
      <c r="L4" s="128"/>
      <c r="M4" s="117"/>
      <c r="N4" s="165">
        <v>1</v>
      </c>
      <c r="O4" s="149" t="s">
        <v>200</v>
      </c>
      <c r="P4" s="143" t="e" vm="1">
        <f ca="1">_xlfn.XLOOKUP(MAX(Titres[Variation du jour ($)]),Titres[Variation du jour ($)],Titres[Action])</f>
        <v>#VALUE!</v>
      </c>
      <c r="Q4" s="143"/>
      <c r="R4" s="143"/>
      <c r="S4" s="144"/>
    </row>
    <row r="5" spans="2:20" x14ac:dyDescent="0.25">
      <c r="B5" s="175"/>
      <c r="D5" s="54" t="s">
        <v>58</v>
      </c>
      <c r="E5" s="55">
        <f ca="1">SUMIF(Titres[Compte],"Marge (CAD)",Titres[Gain non réalisé ($)])</f>
        <v>86721.65</v>
      </c>
      <c r="G5" s="156" t="s">
        <v>58</v>
      </c>
      <c r="H5" s="157"/>
      <c r="I5" s="158"/>
      <c r="J5" s="115">
        <f ca="1">'Titre et dividendes'!R79</f>
        <v>238690.97800000006</v>
      </c>
      <c r="K5" s="128"/>
      <c r="L5" s="128"/>
      <c r="M5" s="117"/>
      <c r="N5" s="165"/>
      <c r="O5" s="150"/>
      <c r="P5" s="145">
        <f ca="1">_xlfn.XLOOKUP(P4,Titres[Action],Titres[Variation du jour ($)])</f>
        <v>383.94000000000108</v>
      </c>
      <c r="Q5" s="145"/>
      <c r="R5" s="145"/>
      <c r="S5" s="146"/>
    </row>
    <row r="6" spans="2:20" x14ac:dyDescent="0.25">
      <c r="B6" s="175"/>
      <c r="D6" s="54" t="s">
        <v>59</v>
      </c>
      <c r="E6" s="56">
        <f ca="1">SUMIF(Titres[Compte],"Marge (CAD)",Titres[Gain non réalisé ($)])/SUMIF(Titres[Compte],"Marge (CAD)",Titres[Coût total])</f>
        <v>0.51953973202156833</v>
      </c>
      <c r="G6" s="156" t="s">
        <v>59</v>
      </c>
      <c r="H6" s="157"/>
      <c r="I6" s="158"/>
      <c r="J6" s="162">
        <f ca="1">J5/J3</f>
        <v>0.35225806863780468</v>
      </c>
      <c r="K6" s="163"/>
      <c r="L6" s="163"/>
      <c r="M6" s="164"/>
      <c r="N6" s="165"/>
      <c r="O6" s="150"/>
      <c r="P6" s="166">
        <f ca="1">_xlfn.XLOOKUP(P4,Titres[Action],Titres[Variation du jour (%)])</f>
        <v>1.926049221257882E-2</v>
      </c>
      <c r="Q6" s="166"/>
      <c r="R6" s="166"/>
      <c r="S6" s="167"/>
    </row>
    <row r="7" spans="2:20" x14ac:dyDescent="0.25">
      <c r="B7" s="175"/>
      <c r="D7" s="54" t="s">
        <v>167</v>
      </c>
      <c r="E7" s="55">
        <f>SUMIF(Titres[Compte],"Marge (CAD)",Titres[Revenu annuel anticipé])</f>
        <v>5793.8399999999992</v>
      </c>
      <c r="G7" s="156" t="s">
        <v>121</v>
      </c>
      <c r="H7" s="157"/>
      <c r="I7" s="158"/>
      <c r="J7" s="115">
        <f ca="1">'Titre et dividendes'!P79</f>
        <v>-4389.7149999999783</v>
      </c>
      <c r="K7" s="128"/>
      <c r="L7" s="128"/>
      <c r="M7" s="117"/>
      <c r="N7" s="142">
        <v>-1</v>
      </c>
      <c r="O7" s="149" t="s">
        <v>201</v>
      </c>
      <c r="P7" s="143" t="e" vm="2">
        <f ca="1">_xlfn.XLOOKUP(MIN(Titres[Variation du jour ($)]),Titres[Variation du jour ($)],Titres[Action])</f>
        <v>#VALUE!</v>
      </c>
      <c r="Q7" s="143"/>
      <c r="R7" s="143"/>
      <c r="S7" s="144"/>
    </row>
    <row r="8" spans="2:20" x14ac:dyDescent="0.25">
      <c r="B8" s="175"/>
      <c r="D8" s="54" t="s">
        <v>75</v>
      </c>
      <c r="E8" s="93">
        <f ca="1">E7/E4</f>
        <v>2.2842607172792496E-2</v>
      </c>
      <c r="G8" s="177" t="s">
        <v>122</v>
      </c>
      <c r="H8" s="178"/>
      <c r="I8" s="179"/>
      <c r="J8" s="131">
        <f ca="1">'Titre et dividendes'!Q79</f>
        <v>-6.952531070130644E-3</v>
      </c>
      <c r="K8" s="132"/>
      <c r="L8" s="132"/>
      <c r="M8" s="133"/>
      <c r="N8" s="142"/>
      <c r="O8" s="150"/>
      <c r="P8" s="145">
        <f ca="1">_xlfn.XLOOKUP(P7,Titres[Action],Titres[Variation du jour ($)])</f>
        <v>-1956.9999999999752</v>
      </c>
      <c r="Q8" s="145"/>
      <c r="R8" s="145"/>
      <c r="S8" s="146"/>
    </row>
    <row r="9" spans="2:20" x14ac:dyDescent="0.25">
      <c r="B9" s="175"/>
      <c r="D9" s="57" t="s">
        <v>116</v>
      </c>
      <c r="E9" s="94">
        <v>0</v>
      </c>
      <c r="N9" s="142"/>
      <c r="O9" s="151"/>
      <c r="P9" s="147">
        <f ca="1">_xlfn.XLOOKUP(P7,Titres[Action],Titres[Variation du jour (%)])</f>
        <v>-1.402123604682803E-2</v>
      </c>
      <c r="Q9" s="147"/>
      <c r="R9" s="147"/>
      <c r="S9" s="148"/>
    </row>
    <row r="10" spans="2:20" x14ac:dyDescent="0.25">
      <c r="B10" s="175"/>
      <c r="G10" s="170" t="e" vm="3">
        <v>#VALUE!</v>
      </c>
      <c r="H10" s="171"/>
      <c r="I10" s="172"/>
      <c r="J10" s="139"/>
      <c r="K10" s="140"/>
      <c r="L10" s="140"/>
      <c r="M10" s="140"/>
    </row>
    <row r="11" spans="2:20" x14ac:dyDescent="0.25">
      <c r="B11" s="175"/>
      <c r="D11" s="136" t="s">
        <v>36</v>
      </c>
      <c r="E11" s="138"/>
      <c r="G11" s="54" t="s">
        <v>60</v>
      </c>
      <c r="H11" s="64"/>
      <c r="I11" s="37" cm="1">
        <f t="array" aca="1" ref="I11" ca="1">_FV(G10,"Prix")</f>
        <v>33808.300000000003</v>
      </c>
      <c r="J11" s="139"/>
      <c r="K11" s="140"/>
      <c r="L11" s="140"/>
      <c r="M11" s="140"/>
    </row>
    <row r="12" spans="2:20" x14ac:dyDescent="0.25">
      <c r="B12" s="175"/>
      <c r="D12" s="91" t="s">
        <v>76</v>
      </c>
      <c r="E12" s="92">
        <f ca="1">Ressources!I3*SUMIF(Titres[Compte],"Marge (USD)",Titres[Valeur au marché
($ local)])</f>
        <v>8747.8640000000014</v>
      </c>
      <c r="G12" s="54" t="s">
        <v>121</v>
      </c>
      <c r="H12" s="64"/>
      <c r="I12" s="37" cm="1">
        <f t="array" aca="1" ref="I12" ca="1">I11-_FV(G10,"Clôture précédente",TRUE)</f>
        <v>-551.72999999999593</v>
      </c>
      <c r="J12" s="139"/>
      <c r="K12" s="140"/>
      <c r="L12" s="140"/>
      <c r="M12" s="140"/>
    </row>
    <row r="13" spans="2:20" x14ac:dyDescent="0.25">
      <c r="B13" s="175"/>
      <c r="D13" s="54" t="s">
        <v>58</v>
      </c>
      <c r="E13" s="55">
        <f ca="1">Ressources!I3*SUMIF(Titres[Compte],"Marge (USD)",Titres[Gain non réalisé ($)])</f>
        <v>-213.09599999999753</v>
      </c>
      <c r="G13" s="57" t="s">
        <v>122</v>
      </c>
      <c r="H13" s="65"/>
      <c r="I13" s="36">
        <f ca="1">I12/(I11-I12)</f>
        <v>-1.6057320089650561E-2</v>
      </c>
      <c r="J13" s="139"/>
      <c r="K13" s="140"/>
      <c r="L13" s="140"/>
      <c r="M13" s="140"/>
    </row>
    <row r="14" spans="2:20" x14ac:dyDescent="0.25">
      <c r="B14" s="175"/>
      <c r="D14" s="54" t="s">
        <v>59</v>
      </c>
      <c r="E14" s="56">
        <f ca="1">SUMIF(Titres[Compte],"Marge (USD)",Titres[Gain non réalisé ($)])/SUMIF(Titres[Compte],"Marge (USD)",Titres[Coût total])</f>
        <v>-2.3780487804877775E-2</v>
      </c>
    </row>
    <row r="15" spans="2:20" x14ac:dyDescent="0.25">
      <c r="B15" s="175"/>
      <c r="D15" s="54" t="s">
        <v>167</v>
      </c>
      <c r="E15" s="55">
        <f>SUMIF(Titres[Compte],"Marge (USD)",Titres[Revenu annuel anticipé])</f>
        <v>324</v>
      </c>
      <c r="G15" s="170" t="e" vm="4">
        <v>#VALUE!</v>
      </c>
      <c r="H15" s="171"/>
      <c r="I15" s="172"/>
      <c r="J15" s="139"/>
      <c r="K15" s="140"/>
      <c r="L15" s="140"/>
      <c r="M15" s="140"/>
    </row>
    <row r="16" spans="2:20" x14ac:dyDescent="0.25">
      <c r="B16" s="175"/>
      <c r="D16" s="54" t="s">
        <v>75</v>
      </c>
      <c r="E16" s="93">
        <f ca="1">E15/E12</f>
        <v>3.7037612838974172E-2</v>
      </c>
      <c r="G16" s="54" t="s">
        <v>60</v>
      </c>
      <c r="H16" s="64"/>
      <c r="I16" s="37" cm="1">
        <f t="array" aca="1" ref="I16" ca="1">_FV(G15,"Prix")</f>
        <v>7064.01</v>
      </c>
      <c r="J16" s="139"/>
      <c r="K16" s="140"/>
      <c r="L16" s="140"/>
      <c r="M16" s="140"/>
    </row>
    <row r="17" spans="2:13" x14ac:dyDescent="0.25">
      <c r="B17" s="175"/>
      <c r="D17" s="57" t="s">
        <v>116</v>
      </c>
      <c r="E17" s="94">
        <f ca="1">Ressources!I3*-3144.92</f>
        <v>-4295.96072</v>
      </c>
      <c r="G17" s="54" t="s">
        <v>121</v>
      </c>
      <c r="H17" s="64"/>
      <c r="I17" s="37" cm="1">
        <f t="array" aca="1" ref="I17" ca="1">I16-_FV(G15,"Clôture précédente",TRUE)</f>
        <v>-45.130000000000109</v>
      </c>
      <c r="J17" s="139"/>
      <c r="K17" s="140"/>
      <c r="L17" s="140"/>
      <c r="M17" s="140"/>
    </row>
    <row r="18" spans="2:13" x14ac:dyDescent="0.25">
      <c r="B18" s="175"/>
      <c r="G18" s="57" t="s">
        <v>122</v>
      </c>
      <c r="H18" s="65"/>
      <c r="I18" s="36">
        <f ca="1">I17/(I16-I17)</f>
        <v>-6.3481658822304955E-3</v>
      </c>
      <c r="J18" s="139"/>
      <c r="K18" s="140"/>
      <c r="L18" s="140"/>
      <c r="M18" s="140"/>
    </row>
    <row r="19" spans="2:13" x14ac:dyDescent="0.25">
      <c r="B19" s="175"/>
      <c r="D19" s="136" t="s">
        <v>11</v>
      </c>
      <c r="E19" s="138"/>
      <c r="M19" s="38"/>
    </row>
    <row r="20" spans="2:13" x14ac:dyDescent="0.25">
      <c r="B20" s="175"/>
      <c r="D20" s="91" t="s">
        <v>76</v>
      </c>
      <c r="E20" s="92">
        <f ca="1">SUMIF(Titres[Compte],"CELI (CAD)",Titres[Valeur au marché
($ local)])</f>
        <v>262273.6100000001</v>
      </c>
      <c r="G20" s="66" t="s">
        <v>172</v>
      </c>
      <c r="I20" s="66" t="s">
        <v>176</v>
      </c>
      <c r="K20" s="66" t="str">
        <f>"Dividendes "&amp;RIGHT(M20,4)-1</f>
        <v>Dividendes 2025</v>
      </c>
      <c r="M20" s="66" t="s">
        <v>305</v>
      </c>
    </row>
    <row r="21" spans="2:13" x14ac:dyDescent="0.25">
      <c r="B21" s="175"/>
      <c r="D21" s="54" t="s">
        <v>58</v>
      </c>
      <c r="E21" s="55">
        <f ca="1">SUMIF(Titres[Compte],"CELI (CAD)",Titres[Gain non réalisé ($)])</f>
        <v>112596.913</v>
      </c>
      <c r="G21" s="134">
        <f>Titres[[#Totals],[Revenu annuel anticipé]]</f>
        <v>17184.78</v>
      </c>
      <c r="I21" s="134">
        <f>G21/12</f>
        <v>1432.0649999999998</v>
      </c>
      <c r="K21" s="134">
        <f>SUMIF('Titre et dividendes'!$AB$5:$XFD$5,_xlfn.CONCAT("*",RIGHT(M20,4)-1),'Titre et dividendes'!$AB$79:$XFD$79)</f>
        <v>13549.22</v>
      </c>
      <c r="L21" s="51"/>
      <c r="M21" s="134">
        <f>SUMIF('Titre et dividendes'!$AB$5:$XFD$5,_xlfn.CONCAT("*",RIGHT(M20,4)),'Titre et dividendes'!$AB$79:$XFD$79)</f>
        <v>2910.24</v>
      </c>
    </row>
    <row r="22" spans="2:13" x14ac:dyDescent="0.25">
      <c r="B22" s="175"/>
      <c r="D22" s="54" t="s">
        <v>59</v>
      </c>
      <c r="E22" s="56">
        <f ca="1">SUMIF(Titres[Compte],"CELI (CAD)",Titres[Gain non réalisé ($)])/SUMIF(Titres[Compte],"CELI (CAD)",Titres[Coût total])</f>
        <v>0.75226748890643957</v>
      </c>
      <c r="G22" s="135"/>
      <c r="I22" s="135"/>
      <c r="K22" s="135"/>
      <c r="L22" s="51"/>
      <c r="M22" s="135"/>
    </row>
    <row r="23" spans="2:13" x14ac:dyDescent="0.25">
      <c r="B23" s="175"/>
      <c r="D23" s="54" t="s">
        <v>167</v>
      </c>
      <c r="E23" s="55">
        <f>SUMIF(Titres[Compte],"CELI (CAD)",Titres[Revenu annuel anticipé])</f>
        <v>8092.5800000000017</v>
      </c>
      <c r="I23" s="3"/>
      <c r="J23" s="3"/>
      <c r="M23" s="103" t="str">
        <f>"MaJ de "&amp;LOOKUP("zz",'Titre et dividendes'!5:5)</f>
        <v>MaJ de Février 2026</v>
      </c>
    </row>
    <row r="24" spans="2:13" x14ac:dyDescent="0.25">
      <c r="B24" s="175"/>
      <c r="D24" s="54" t="s">
        <v>75</v>
      </c>
      <c r="E24" s="93">
        <f ca="1">E23/E20</f>
        <v>3.0855487138031153E-2</v>
      </c>
      <c r="G24" s="136" t="s">
        <v>169</v>
      </c>
      <c r="H24" s="137"/>
      <c r="I24" s="137"/>
      <c r="J24" s="137"/>
      <c r="K24" s="137"/>
      <c r="L24" s="137"/>
      <c r="M24" s="138"/>
    </row>
    <row r="25" spans="2:13" x14ac:dyDescent="0.25">
      <c r="B25" s="175"/>
      <c r="D25" s="57" t="s">
        <v>116</v>
      </c>
      <c r="E25" s="95">
        <v>1386.72</v>
      </c>
      <c r="G25" s="70" t="s">
        <v>42</v>
      </c>
      <c r="H25" s="141" t="s">
        <v>171</v>
      </c>
      <c r="I25" s="130"/>
      <c r="J25" s="129" t="s">
        <v>173</v>
      </c>
      <c r="K25" s="130"/>
      <c r="L25" s="129" t="s">
        <v>150</v>
      </c>
      <c r="M25" s="169"/>
    </row>
    <row r="26" spans="2:13" x14ac:dyDescent="0.25">
      <c r="B26" s="175"/>
      <c r="G26" s="71" t="str">
        <f ca="1">"Dans 5 ans ("&amp;YEAR(TODAY())-1984+5&amp;" ans)"</f>
        <v>Dans 5 ans (47 ans)</v>
      </c>
      <c r="H26" s="128">
        <f ca="1">IF($G$25="Réinvestissement",_xlfn.XLOOKUP(DATE(YEAR(TODAY())+5,MONTH(TODAY()),1),Projection!$F$12:$F$503,Projection!$M$12:$M$503),_xlfn.XLOOKUP(DATE(YEAR(TODAY())+5,MONTH(TODAY()),1),Projection!$F$12:$F$503,Projection!$L$12:$L$503))</f>
        <v>3034.9346229174571</v>
      </c>
      <c r="I26" s="116"/>
      <c r="J26" s="115">
        <f ca="1">IF($G$25="Réinvestissement",_xlfn.XLOOKUP(DATE(YEAR(TODAY())+5,MONTH(TODAY()),1),Projection!$F$12:$F$503,Projection!$P$12:$P$503),_xlfn.XLOOKUP(DATE(YEAR(TODAY())+5,MONTH(TODAY()),1),Projection!$F$12:$F$503,Projection!$O$12:$O$503))</f>
        <v>151912.25429281389</v>
      </c>
      <c r="K26" s="116"/>
      <c r="L26" s="115">
        <f ca="1">IF($G$25="Réinvestissement",_xlfn.XLOOKUP(DATE(YEAR(TODAY())+5,MONTH(TODAY()),1),Projection!$F$12:$F$503,Projection!$S$12:$S$503),_xlfn.XLOOKUP(DATE(YEAR(TODAY())+5,MONTH(TODAY()),1),Projection!$F$12:$F$503,Projection!$R$12:$R$503))</f>
        <v>1093830.8242751195</v>
      </c>
      <c r="M26" s="117"/>
    </row>
    <row r="27" spans="2:13" x14ac:dyDescent="0.25">
      <c r="B27" s="175"/>
      <c r="D27" s="180" t="s">
        <v>10</v>
      </c>
      <c r="E27" s="181"/>
      <c r="G27" s="71" t="str">
        <f ca="1">"Dans 10 ans ("&amp;YEAR(TODAY())-1984+10&amp;" ans)"</f>
        <v>Dans 10 ans (52 ans)</v>
      </c>
      <c r="H27" s="128">
        <f ca="1">+IF($G$25="Réinvestissement",_xlfn.XLOOKUP(DATE(YEAR(TODAY())+10,MONTH(TODAY()),1),Projection!$F$12:$F$503,Projection!$M$12:$M$503),_xlfn.XLOOKUP(DATE(YEAR(TODAY())+10,MONTH(TODAY()),1),Projection!$F$12:$F$503,Projection!$L$12:$L$503))</f>
        <v>4292.9860725347944</v>
      </c>
      <c r="I27" s="116"/>
      <c r="J27" s="115">
        <f ca="1">IF($G$25="Réinvestissement",_xlfn.XLOOKUP(DATE(YEAR(TODAY())+10,MONTH(TODAY()),1),Projection!$F$12:$F$503,Projection!$P$12:$P$503),_xlfn.XLOOKUP(DATE(YEAR(TODAY())+10,MONTH(TODAY()),1),Projection!$F$12:$F$503,Projection!$O$12:$O$503))</f>
        <v>371315.15219817602</v>
      </c>
      <c r="K27" s="116"/>
      <c r="L27" s="115">
        <f ca="1">IF($G$25="Réinvestissement",_xlfn.XLOOKUP(DATE(YEAR(TODAY())+10,MONTH(TODAY()),1),Projection!$F$12:$F$503,Projection!$S$12:$S$503),_xlfn.XLOOKUP(DATE(YEAR(TODAY())+10,MONTH(TODAY()),1),Projection!$F$12:$F$503,Projection!$R$12:$R$503))</f>
        <v>1626476.9497275562</v>
      </c>
      <c r="M27" s="117"/>
    </row>
    <row r="28" spans="2:13" x14ac:dyDescent="0.25">
      <c r="B28" s="176"/>
      <c r="D28" s="91" t="s">
        <v>76</v>
      </c>
      <c r="E28" s="92">
        <f ca="1">SUMIF(Titres[Compte],"REER (USD)",Titres[Valeur au marché (CAD)])</f>
        <v>142985.51043000002</v>
      </c>
      <c r="G28" s="71" t="str">
        <f ca="1">"Dans 15 ans ("&amp;YEAR(TODAY())-1984+15&amp;" ans)"</f>
        <v>Dans 15 ans (57 ans)</v>
      </c>
      <c r="H28" s="128">
        <f ca="1">+IF($G$25="Réinvestissement",_xlfn.XLOOKUP(DATE(YEAR(TODAY())+15,MONTH(TODAY()),1),Projection!$F$12:$F$503,Projection!$M$12:$M$503),_xlfn.XLOOKUP(DATE(YEAR(TODAY())+15,MONTH(TODAY()),1),Projection!$F$12:$F$503,Projection!$L$12:$L$503))</f>
        <v>5777.9479754641852</v>
      </c>
      <c r="I28" s="116"/>
      <c r="J28" s="115">
        <f ca="1">IF($G$25="Réinvestissement",_xlfn.XLOOKUP(DATE(YEAR(TODAY())+15,MONTH(TODAY()),1),Projection!$F$12:$F$503,Projection!$P$12:$P$503),_xlfn.XLOOKUP(DATE(YEAR(TODAY())+15,MONTH(TODAY()),1),Projection!$F$12:$F$503,Projection!$O$12:$O$503))</f>
        <v>672979.5770866503</v>
      </c>
      <c r="K28" s="116"/>
      <c r="L28" s="115">
        <f ca="1">IF($G$25="Réinvestissement",_xlfn.XLOOKUP(DATE(YEAR(TODAY())+15,MONTH(TODAY()),1),Projection!$F$12:$F$503,Projection!$S$12:$S$503),_xlfn.XLOOKUP(DATE(YEAR(TODAY())+15,MONTH(TODAY()),1),Projection!$F$12:$F$503,Projection!$R$12:$R$503))</f>
        <v>2301175.1543660737</v>
      </c>
      <c r="M28" s="117"/>
    </row>
    <row r="29" spans="2:13" x14ac:dyDescent="0.25">
      <c r="D29" s="54" t="s">
        <v>58</v>
      </c>
      <c r="E29" s="55">
        <f ca="1">SUMIF(Titres[Compte],"REER (USD)",Titres[Gain non réalisé ($)])</f>
        <v>39528.415000000001</v>
      </c>
      <c r="G29" s="71" t="str">
        <f ca="1">"Dans 20 ans ("&amp;YEAR(TODAY())-1984+20&amp;" ans)"</f>
        <v>Dans 20 ans (62 ans)</v>
      </c>
      <c r="H29" s="128">
        <f ca="1">IF($G$25="Réinvestissement",_xlfn.XLOOKUP(DATE(YEAR(TODAY())+20,MONTH(TODAY()),1),Projection!$F$12:$F$503,Projection!$M$12:$M$503),_xlfn.XLOOKUP(DATE(YEAR(TODAY())+20,MONTH(TODAY()),1),Projection!$F$12:$F$503,Projection!$L$12:$L$503))</f>
        <v>7519.299982660883</v>
      </c>
      <c r="I29" s="116"/>
      <c r="J29" s="115">
        <f ca="1">IF($G$25="Réinvestissement",_xlfn.XLOOKUP(DATE(YEAR(TODAY())+20,MONTH(TODAY()),1),Projection!$F$12:$F$503,Projection!$P$12:$P$503),_xlfn.XLOOKUP(DATE(YEAR(TODAY())+20,MONTH(TODAY()),1),Projection!$F$12:$F$503,Projection!$O$12:$O$503))</f>
        <v>1071409.2604166921</v>
      </c>
      <c r="K29" s="116"/>
      <c r="L29" s="115">
        <f ca="1">IF($G$25="Réinvestissement",_xlfn.XLOOKUP(DATE(YEAR(TODAY())+20,MONTH(TODAY()),1),Projection!$F$12:$F$503,Projection!$S$12:$S$503),_xlfn.XLOOKUP(DATE(YEAR(TODAY())+20,MONTH(TODAY()),1),Projection!$F$12:$F$503,Projection!$R$12:$R$503))</f>
        <v>3148046.0480241408</v>
      </c>
      <c r="M29" s="117"/>
    </row>
    <row r="30" spans="2:13" x14ac:dyDescent="0.25">
      <c r="B30" s="61" t="s">
        <v>30</v>
      </c>
      <c r="D30" s="54" t="s">
        <v>59</v>
      </c>
      <c r="E30" s="56">
        <f ca="1">SUMIF(Titres[Compte],"REER (USD)",Titres[Gain non réalisé ($)])/SUMIF(Titres[Compte],"REER (USD)",Titres[Coût total])</f>
        <v>0.60676480082718576</v>
      </c>
      <c r="G30" s="71" t="str">
        <f ca="1">"Dans 25 ans ("&amp;YEAR(TODAY())-1984+25&amp;" ans)"</f>
        <v>Dans 25 ans (67 ans)</v>
      </c>
      <c r="H30" s="128">
        <f ca="1">IF($G$25="Réinvestissement",_xlfn.XLOOKUP(DATE(YEAR(TODAY())+25,MONTH(TODAY()),1),Projection!$F$12:$F$503,Projection!$M$12:$M$503),_xlfn.XLOOKUP(DATE(YEAR(TODAY())+25,MONTH(TODAY()),1),Projection!$F$12:$F$503,Projection!$L$12:$L$503))</f>
        <v>9548.5011285146811</v>
      </c>
      <c r="I30" s="116"/>
      <c r="J30" s="115">
        <f ca="1">IF($G$25="Réinvestissement",_xlfn.XLOOKUP(DATE(YEAR(TODAY())+25,MONTH(TODAY()),1),Projection!$F$12:$F$503,Projection!$P$12:$P$503),_xlfn.XLOOKUP(DATE(YEAR(TODAY())+25,MONTH(TODAY()),1),Projection!$F$12:$F$503,Projection!$O$12:$O$503))</f>
        <v>1582937.3536540112</v>
      </c>
      <c r="K30" s="116"/>
      <c r="L30" s="115">
        <f ca="1">IF($G$25="Réinvestissement",_xlfn.XLOOKUP(DATE(YEAR(TODAY())+25,MONTH(TODAY()),1),Projection!$F$12:$F$503,Projection!$S$12:$S$503),_xlfn.XLOOKUP(DATE(YEAR(TODAY())+25,MONTH(TODAY()),1),Projection!$F$12:$F$503,Projection!$R$12:$R$503))</f>
        <v>4202294.4978566421</v>
      </c>
      <c r="M30" s="117"/>
    </row>
    <row r="31" spans="2:13" x14ac:dyDescent="0.25">
      <c r="B31" s="173">
        <f ca="1">Titres[[#Totals],[Symbole]]</f>
        <v>73</v>
      </c>
      <c r="D31" s="54" t="s">
        <v>167</v>
      </c>
      <c r="E31" s="55">
        <f>SUMIF(Titres[Compte],"REER (USD)",Titres[Revenu annuel anticipé])</f>
        <v>2974.3599999999997</v>
      </c>
      <c r="G31" s="71" t="str">
        <f ca="1">"Dans 30 ans ("&amp;YEAR(TODAY())-1984+30&amp;" ans)"</f>
        <v>Dans 30 ans (72 ans)</v>
      </c>
      <c r="H31" s="128">
        <f ca="1">IF($G$25="Réinvestissement",_xlfn.XLOOKUP(DATE(YEAR(TODAY())+30,MONTH(TODAY()),1),Projection!$F$12:$F$503,Projection!$M$12:$M$503),_xlfn.XLOOKUP(DATE(YEAR(TODAY())+30,MONTH(TODAY()),1),Projection!$F$12:$F$503,Projection!$L$12:$L$503))</f>
        <v>11898.930489916667</v>
      </c>
      <c r="I31" s="116"/>
      <c r="J31" s="115">
        <f ca="1">IF($G$25="Réinvestissement",_xlfn.XLOOKUP(DATE(YEAR(TODAY())+30,MONTH(TODAY()),1),Projection!$F$12:$F$503,Projection!$P$12:$P$503),_xlfn.XLOOKUP(DATE(YEAR(TODAY())+30,MONTH(TODAY()),1),Projection!$F$12:$F$503,Projection!$O$12:$O$503))</f>
        <v>2225843.4330759984</v>
      </c>
      <c r="K31" s="116"/>
      <c r="L31" s="115">
        <f ca="1">IF($G$25="Réinvestissement",_xlfn.XLOOKUP(DATE(YEAR(TODAY())+30,MONTH(TODAY()),1),Projection!$F$12:$F$503,Projection!$S$12:$S$503),_xlfn.XLOOKUP(DATE(YEAR(TODAY())+30,MONTH(TODAY()),1),Projection!$F$12:$F$503,Projection!$R$12:$R$503))</f>
        <v>5504866.9174987599</v>
      </c>
      <c r="M31" s="117"/>
    </row>
    <row r="32" spans="2:13" x14ac:dyDescent="0.25">
      <c r="B32" s="173"/>
      <c r="D32" s="54" t="s">
        <v>75</v>
      </c>
      <c r="E32" s="93">
        <f ca="1">E31/E28</f>
        <v>2.0801828038765697E-2</v>
      </c>
      <c r="G32" s="72" t="str">
        <f>"À "&amp;H36&amp;" ans (Retraite)"</f>
        <v>À 55 ans (Retraite)</v>
      </c>
      <c r="H32" s="182">
        <f ca="1">IF($G$25="Réinvestissement",_xlfn.XLOOKUP(DATE(1984+H36,6,1),Projection!$F$12:$F$503,Projection!$M$12:$M$503),_xlfn.XLOOKUP(DATE(1984+H36,6,1),Projection!$F$12:$F$503,Projection!$L$12:$L$503))</f>
        <v>5205.29482994314</v>
      </c>
      <c r="I32" s="114"/>
      <c r="J32" s="113">
        <f ca="1">IF($G$25="Réinvestissement",_xlfn.XLOOKUP(DATE(1984+H36,6,1),Projection!$F$12:$F$503,Projection!$P$12:$P$503),_xlfn.XLOOKUP(DATE(1984+H36,6,1),Projection!$F$12:$F$503,Projection!$O$12:$O$503))</f>
        <v>551939.23911848001</v>
      </c>
      <c r="K32" s="114"/>
      <c r="L32" s="113">
        <f ca="1">IF($G$25="Réinvestissement",_xlfn.XLOOKUP(DATE(1984+H36,6,1),Projection!$F$12:$F$503,Projection!$S$12:$S$503),_xlfn.XLOOKUP(DATE(1984+H36,6,1),Projection!$F$12:$F$503,Projection!$R$12:$R$503))</f>
        <v>2035491.3283776755</v>
      </c>
      <c r="M32" s="127"/>
    </row>
    <row r="33" spans="2:258" x14ac:dyDescent="0.25">
      <c r="B33" s="173"/>
      <c r="D33" s="57" t="s">
        <v>116</v>
      </c>
      <c r="E33" s="95">
        <f ca="1">Ressources!I3*724.4</f>
        <v>989.5304000000001</v>
      </c>
    </row>
    <row r="34" spans="2:258" x14ac:dyDescent="0.25">
      <c r="B34" s="173"/>
      <c r="G34" s="136" t="s">
        <v>185</v>
      </c>
      <c r="H34" s="137"/>
      <c r="I34" s="137"/>
      <c r="J34" s="137"/>
      <c r="K34" s="137"/>
      <c r="L34" s="137"/>
      <c r="M34" s="138"/>
    </row>
    <row r="35" spans="2:258" x14ac:dyDescent="0.25">
      <c r="B35" s="174"/>
      <c r="D35" s="136" t="s">
        <v>43</v>
      </c>
      <c r="E35" s="138"/>
      <c r="G35" s="120" t="s">
        <v>9</v>
      </c>
      <c r="H35" s="121"/>
      <c r="I35" s="122" t="s">
        <v>14</v>
      </c>
      <c r="J35" s="121"/>
      <c r="K35" s="122" t="s">
        <v>41</v>
      </c>
      <c r="L35" s="121"/>
      <c r="M35" s="69" t="s">
        <v>12</v>
      </c>
    </row>
    <row r="36" spans="2:258" x14ac:dyDescent="0.25">
      <c r="D36" s="54" t="s">
        <v>76</v>
      </c>
      <c r="E36" s="55">
        <f>Tableau4[[#Totals],[Valeur marchande]]</f>
        <v>11873.511184999999</v>
      </c>
      <c r="G36" s="17" t="s">
        <v>15</v>
      </c>
      <c r="H36" s="12">
        <v>55</v>
      </c>
      <c r="I36" s="123">
        <f ca="1">_xlfn.XLOOKUP(H36,RRMD!B:B,RRMD!G:G)</f>
        <v>46454.640675926079</v>
      </c>
      <c r="J36" s="124"/>
      <c r="K36" s="123">
        <f ca="1">(IF($G$25="Réinvestissement",_xlfn.XLOOKUP(DATE(1984+H36,6,1),Projection!$F$12:$F$503,Projection!$M$12:$M$503),_xlfn.XLOOKUP(DATE(1984+H36,6,1),Projection!$F$12:$F$503,Projection!$L$12:$L$503)))*12</f>
        <v>62463.537959317677</v>
      </c>
      <c r="L36" s="124"/>
      <c r="M36" s="118">
        <f ca="1">I36+K36</f>
        <v>108918.17863524376</v>
      </c>
    </row>
    <row r="37" spans="2:258" x14ac:dyDescent="0.25">
      <c r="B37" s="61" t="s">
        <v>208</v>
      </c>
      <c r="D37" s="54" t="s">
        <v>58</v>
      </c>
      <c r="E37" s="55">
        <f>Tableau4[[#Totals],[Gain ($)]]</f>
        <v>873.51599100000021</v>
      </c>
      <c r="G37" s="18" t="s">
        <v>175</v>
      </c>
      <c r="H37" s="89">
        <v>0.7</v>
      </c>
      <c r="I37" s="125"/>
      <c r="J37" s="126"/>
      <c r="K37" s="125"/>
      <c r="L37" s="126"/>
      <c r="M37" s="119"/>
    </row>
    <row r="38" spans="2:258" x14ac:dyDescent="0.25">
      <c r="B38" s="97">
        <f ca="1">E9+E17+E25+E33</f>
        <v>-1919.7103199999997</v>
      </c>
      <c r="D38" s="57" t="s">
        <v>59</v>
      </c>
      <c r="E38" s="58">
        <f>Tableau4[[#Totals],[Gain (%)]]</f>
        <v>7.9410579331567685E-2</v>
      </c>
      <c r="G38" s="67">
        <f>H37*Ressources!G2</f>
        <v>90380.842999999993</v>
      </c>
      <c r="H38" s="68" t="s">
        <v>179</v>
      </c>
      <c r="M38" s="73">
        <f ca="1">M36/G38</f>
        <v>1.2051024865440099</v>
      </c>
    </row>
    <row r="44" spans="2:258" x14ac:dyDescent="0.25">
      <c r="F44" t="s">
        <v>170</v>
      </c>
      <c r="G44" cm="1" vm="5">
        <f t="array" aca="1" ref="G44:IX44" ca="1">TRANSPOSE(_xlfn.STOCKHISTORY(G10,TODAY()-365,TODAY(),0,0,1))</f>
        <v>24008.86</v>
      </c>
      <c r="H44" vm="6">
        <f ca="1"/>
        <v>24305.98</v>
      </c>
      <c r="I44" vm="7">
        <f ca="1"/>
        <v>24472.68</v>
      </c>
      <c r="J44" vm="8">
        <f ca="1"/>
        <v>24727.53</v>
      </c>
      <c r="K44" vm="9">
        <f ca="1"/>
        <v>24710.51</v>
      </c>
      <c r="L44" vm="10">
        <f ca="1"/>
        <v>24798.59</v>
      </c>
      <c r="M44" vm="11">
        <f ca="1"/>
        <v>24874.48</v>
      </c>
      <c r="N44" vm="12">
        <f ca="1"/>
        <v>24841.68</v>
      </c>
      <c r="O44" vm="13">
        <f ca="1"/>
        <v>24795.55</v>
      </c>
      <c r="P44" vm="14">
        <f ca="1"/>
        <v>25031.51</v>
      </c>
      <c r="Q44" vm="15">
        <f ca="1"/>
        <v>24953.52</v>
      </c>
      <c r="R44" vm="16">
        <f ca="1"/>
        <v>24974.720000000001</v>
      </c>
      <c r="S44" vm="17">
        <f ca="1"/>
        <v>25161.18</v>
      </c>
      <c r="T44" vm="18">
        <f ca="1"/>
        <v>25254.06</v>
      </c>
      <c r="U44" vm="19">
        <f ca="1"/>
        <v>25357.74</v>
      </c>
      <c r="V44" vm="20">
        <f ca="1"/>
        <v>25532.18</v>
      </c>
      <c r="W44" vm="21">
        <f ca="1"/>
        <v>25616.86</v>
      </c>
      <c r="X44" vm="22">
        <f ca="1"/>
        <v>25692.45</v>
      </c>
      <c r="Y44" vm="23">
        <f ca="1"/>
        <v>25897.48</v>
      </c>
      <c r="Z44" vm="24">
        <f ca="1"/>
        <v>25971.93</v>
      </c>
      <c r="AA44" vm="25">
        <f ca="1"/>
        <v>26055.63</v>
      </c>
      <c r="AB44" vm="26">
        <f ca="1"/>
        <v>25839.17</v>
      </c>
      <c r="AC44" vm="27">
        <f ca="1"/>
        <v>25854.01</v>
      </c>
      <c r="AD44" vm="28">
        <f ca="1"/>
        <v>25879.95</v>
      </c>
      <c r="AE44" vm="29">
        <f ca="1"/>
        <v>26073.13</v>
      </c>
      <c r="AF44" vm="30">
        <f ca="1"/>
        <v>26269</v>
      </c>
      <c r="AG44" vm="31">
        <f ca="1"/>
        <v>26283.45</v>
      </c>
      <c r="AH44" vm="32">
        <f ca="1"/>
        <v>26210.560000000001</v>
      </c>
      <c r="AI44" vm="33">
        <f ca="1"/>
        <v>26175.05</v>
      </c>
      <c r="AJ44" vm="34">
        <f ca="1"/>
        <v>26388.959999999999</v>
      </c>
      <c r="AK44" vm="35">
        <f ca="1"/>
        <v>26426.639999999999</v>
      </c>
      <c r="AL44" vm="36">
        <f ca="1"/>
        <v>26329</v>
      </c>
      <c r="AM44" vm="37">
        <f ca="1"/>
        <v>26342.29</v>
      </c>
      <c r="AN44" vm="38">
        <f ca="1"/>
        <v>26429.13</v>
      </c>
      <c r="AO44" vm="39">
        <f ca="1"/>
        <v>26375.8</v>
      </c>
      <c r="AP44" vm="40">
        <f ca="1"/>
        <v>26426.31</v>
      </c>
      <c r="AQ44" vm="41">
        <f ca="1"/>
        <v>26524.16</v>
      </c>
      <c r="AR44" vm="42">
        <f ca="1"/>
        <v>26615.75</v>
      </c>
      <c r="AS44" vm="43">
        <f ca="1"/>
        <v>26504.35</v>
      </c>
      <c r="AT44" vm="44">
        <f ca="1"/>
        <v>26568.61</v>
      </c>
      <c r="AU44" vm="45">
        <f ca="1"/>
        <v>26541.39</v>
      </c>
      <c r="AV44" vm="46">
        <f ca="1"/>
        <v>26559.85</v>
      </c>
      <c r="AW44" vm="47">
        <f ca="1"/>
        <v>26506</v>
      </c>
      <c r="AX44" vm="48">
        <f ca="1"/>
        <v>26497.57</v>
      </c>
      <c r="AY44" vm="49">
        <f ca="1"/>
        <v>26609.360000000001</v>
      </c>
      <c r="AZ44" vm="50">
        <f ca="1"/>
        <v>26718.62</v>
      </c>
      <c r="BA44" vm="51">
        <f ca="1"/>
        <v>26566.32</v>
      </c>
      <c r="BB44" vm="52">
        <f ca="1"/>
        <v>26751.95</v>
      </c>
      <c r="BC44" vm="53">
        <f ca="1"/>
        <v>26692.32</v>
      </c>
      <c r="BD44" vm="54">
        <f ca="1"/>
        <v>26857.11</v>
      </c>
      <c r="BE44" vm="55">
        <f ca="1"/>
        <v>26869.66</v>
      </c>
      <c r="BF44" vm="56">
        <f ca="1"/>
        <v>27034.26</v>
      </c>
      <c r="BG44" vm="57">
        <f ca="1"/>
        <v>27036.16</v>
      </c>
      <c r="BH44" vm="58">
        <f ca="1"/>
        <v>27020.28</v>
      </c>
      <c r="BI44" vm="59">
        <f ca="1"/>
        <v>26903.57</v>
      </c>
      <c r="BJ44" vm="60">
        <f ca="1"/>
        <v>26972.32</v>
      </c>
      <c r="BK44" vm="61">
        <f ca="1"/>
        <v>27082.3</v>
      </c>
      <c r="BL44" vm="62">
        <f ca="1"/>
        <v>27023.25</v>
      </c>
      <c r="BM44" vm="63">
        <f ca="1"/>
        <v>27198.85</v>
      </c>
      <c r="BN44" vm="64">
        <f ca="1"/>
        <v>27054.14</v>
      </c>
      <c r="BO44" vm="65">
        <f ca="1"/>
        <v>27152.97</v>
      </c>
      <c r="BP44" vm="66">
        <f ca="1"/>
        <v>27386.93</v>
      </c>
      <c r="BQ44" vm="67">
        <f ca="1"/>
        <v>27314.01</v>
      </c>
      <c r="BR44" vm="68">
        <f ca="1"/>
        <v>27317</v>
      </c>
      <c r="BS44" vm="69">
        <f ca="1"/>
        <v>27364.43</v>
      </c>
      <c r="BT44" vm="70">
        <f ca="1"/>
        <v>27416.41</v>
      </c>
      <c r="BU44" vm="71">
        <f ca="1"/>
        <v>27372.26</v>
      </c>
      <c r="BV44" vm="72">
        <f ca="1"/>
        <v>27494.35</v>
      </c>
      <c r="BW44" vm="73">
        <f ca="1"/>
        <v>27405.42</v>
      </c>
      <c r="BX44" vm="74">
        <f ca="1"/>
        <v>27539.88</v>
      </c>
      <c r="BY44" vm="75">
        <f ca="1"/>
        <v>27369.96</v>
      </c>
      <c r="BZ44" vm="76">
        <f ca="1"/>
        <v>27259.78</v>
      </c>
      <c r="CA44" vm="77">
        <f ca="1"/>
        <v>27020.43</v>
      </c>
      <c r="CB44" vm="78">
        <f ca="1"/>
        <v>27570.080000000002</v>
      </c>
      <c r="CC44" vm="79">
        <f ca="1"/>
        <v>27920.87</v>
      </c>
      <c r="CD44" vm="80">
        <f ca="1"/>
        <v>27761.27</v>
      </c>
      <c r="CE44" vm="81">
        <f ca="1"/>
        <v>27758.68</v>
      </c>
      <c r="CF44" vm="82">
        <f ca="1"/>
        <v>27775.23</v>
      </c>
      <c r="CG44" vm="83">
        <f ca="1"/>
        <v>27921.26</v>
      </c>
      <c r="CH44" vm="84">
        <f ca="1"/>
        <v>27993.43</v>
      </c>
      <c r="CI44" vm="85">
        <f ca="1"/>
        <v>27915.99</v>
      </c>
      <c r="CJ44" vm="86">
        <f ca="1"/>
        <v>27905.49</v>
      </c>
      <c r="CK44" vm="87">
        <f ca="1"/>
        <v>27922.85</v>
      </c>
      <c r="CL44" vm="88">
        <f ca="1"/>
        <v>27823.88</v>
      </c>
      <c r="CM44" vm="89">
        <f ca="1"/>
        <v>27878.76</v>
      </c>
      <c r="CN44" vm="90">
        <f ca="1"/>
        <v>28055.43</v>
      </c>
      <c r="CO44" vm="91">
        <f ca="1"/>
        <v>28333.13</v>
      </c>
      <c r="CP44" vm="92">
        <f ca="1"/>
        <v>28169.94</v>
      </c>
      <c r="CQ44" vm="93">
        <f ca="1"/>
        <v>28339.88</v>
      </c>
      <c r="CR44" vm="94">
        <f ca="1"/>
        <v>28433</v>
      </c>
      <c r="CS44" vm="95">
        <f ca="1"/>
        <v>28434.799999999999</v>
      </c>
      <c r="CT44" vm="96">
        <f ca="1"/>
        <v>28564.45</v>
      </c>
      <c r="CU44" vm="97">
        <f ca="1"/>
        <v>28615.62</v>
      </c>
      <c r="CV44" vm="98">
        <f ca="1"/>
        <v>28751.360000000001</v>
      </c>
      <c r="CW44" vm="99">
        <f ca="1"/>
        <v>28915.89</v>
      </c>
      <c r="CX44" vm="100">
        <f ca="1"/>
        <v>29050.63</v>
      </c>
      <c r="CY44" vm="101">
        <f ca="1"/>
        <v>29027.73</v>
      </c>
      <c r="CZ44" vm="102">
        <f ca="1"/>
        <v>29063.01</v>
      </c>
      <c r="DA44" vm="103">
        <f ca="1"/>
        <v>29179.39</v>
      </c>
      <c r="DB44" vm="104">
        <f ca="1"/>
        <v>29407.89</v>
      </c>
      <c r="DC44" vm="105">
        <f ca="1"/>
        <v>29283.82</v>
      </c>
      <c r="DD44" vm="106">
        <f ca="1"/>
        <v>29431.02</v>
      </c>
      <c r="DE44" vm="107">
        <f ca="1"/>
        <v>29315.23</v>
      </c>
      <c r="DF44" vm="108">
        <f ca="1"/>
        <v>29321.66</v>
      </c>
      <c r="DG44" vm="109">
        <f ca="1"/>
        <v>29453.53</v>
      </c>
      <c r="DH44" vm="110">
        <f ca="1"/>
        <v>29768.36</v>
      </c>
      <c r="DI44" vm="111">
        <f ca="1"/>
        <v>29958.98</v>
      </c>
      <c r="DJ44" vm="112">
        <f ca="1"/>
        <v>29815.63</v>
      </c>
      <c r="DK44" vm="113">
        <f ca="1"/>
        <v>29756.95</v>
      </c>
      <c r="DL44" vm="114">
        <f ca="1"/>
        <v>29731.98</v>
      </c>
      <c r="DM44" vm="115">
        <f ca="1"/>
        <v>29761.279999999999</v>
      </c>
      <c r="DN44" vm="116">
        <f ca="1"/>
        <v>29971.91</v>
      </c>
      <c r="DO44" vm="117">
        <f ca="1"/>
        <v>30022.81</v>
      </c>
      <c r="DP44" vm="118">
        <f ca="1"/>
        <v>30107.67</v>
      </c>
      <c r="DQ44" vm="119">
        <f ca="1"/>
        <v>30160.59</v>
      </c>
      <c r="DR44" vm="120">
        <f ca="1"/>
        <v>30471.68</v>
      </c>
      <c r="DS44" vm="121">
        <f ca="1"/>
        <v>30531.88</v>
      </c>
      <c r="DT44" vm="122">
        <f ca="1"/>
        <v>30351.72</v>
      </c>
      <c r="DU44" vm="123">
        <f ca="1"/>
        <v>30501.99</v>
      </c>
      <c r="DV44" vm="124">
        <f ca="1"/>
        <v>30269.98</v>
      </c>
      <c r="DW44" vm="125">
        <f ca="1"/>
        <v>29850.89</v>
      </c>
      <c r="DX44" vm="126">
        <f ca="1"/>
        <v>30353.61</v>
      </c>
      <c r="DY44" vm="127">
        <f ca="1"/>
        <v>30637.119999999999</v>
      </c>
      <c r="DZ44" vm="128">
        <f ca="1"/>
        <v>30458.799999999999</v>
      </c>
      <c r="EA44" vm="129">
        <f ca="1"/>
        <v>30108.48</v>
      </c>
      <c r="EB44" vm="130">
        <f ca="1"/>
        <v>30416.44</v>
      </c>
      <c r="EC44" vm="131">
        <f ca="1"/>
        <v>29888.82</v>
      </c>
      <c r="ED44" vm="132">
        <f ca="1"/>
        <v>29982.98</v>
      </c>
      <c r="EE44" vm="133">
        <f ca="1"/>
        <v>30186.28</v>
      </c>
      <c r="EF44" vm="134">
        <f ca="1"/>
        <v>30353.07</v>
      </c>
      <c r="EG44" vm="135">
        <f ca="1"/>
        <v>30275.759999999998</v>
      </c>
      <c r="EH44" vm="136">
        <f ca="1"/>
        <v>30419.68</v>
      </c>
      <c r="EI44" vm="137">
        <f ca="1"/>
        <v>30144.78</v>
      </c>
      <c r="EJ44" vm="138">
        <f ca="1"/>
        <v>30178.98</v>
      </c>
      <c r="EK44" vm="139">
        <f ca="1"/>
        <v>30260.74</v>
      </c>
      <c r="EL44" vm="140">
        <f ca="1"/>
        <v>30275.06</v>
      </c>
      <c r="EM44" vm="141">
        <f ca="1"/>
        <v>29777.82</v>
      </c>
      <c r="EN44" vm="142">
        <f ca="1"/>
        <v>30103.48</v>
      </c>
      <c r="EO44" vm="143">
        <f ca="1"/>
        <v>29868.59</v>
      </c>
      <c r="EP44" vm="144">
        <f ca="1"/>
        <v>29912.19</v>
      </c>
      <c r="EQ44" vm="145">
        <f ca="1"/>
        <v>30316.63</v>
      </c>
      <c r="ER44" vm="146">
        <f ca="1"/>
        <v>30409.25</v>
      </c>
      <c r="ES44" vm="147">
        <f ca="1"/>
        <v>30827.58</v>
      </c>
      <c r="ET44" vm="148">
        <f ca="1"/>
        <v>30253.64</v>
      </c>
      <c r="EU44" vm="149">
        <f ca="1"/>
        <v>30326.46</v>
      </c>
      <c r="EV44" vm="150">
        <f ca="1"/>
        <v>30076.21</v>
      </c>
      <c r="EW44" vm="151">
        <f ca="1"/>
        <v>30036.46</v>
      </c>
      <c r="EX44" vm="152">
        <f ca="1"/>
        <v>30278.41</v>
      </c>
      <c r="EY44" vm="153">
        <f ca="1"/>
        <v>29906.55</v>
      </c>
      <c r="EZ44" vm="154">
        <f ca="1"/>
        <v>30160.65</v>
      </c>
      <c r="FA44" vm="155">
        <f ca="1"/>
        <v>30604.35</v>
      </c>
      <c r="FB44" vm="156">
        <f ca="1"/>
        <v>30900.65</v>
      </c>
      <c r="FC44" vm="157">
        <f ca="1"/>
        <v>31180.25</v>
      </c>
      <c r="FD44" vm="158">
        <f ca="1"/>
        <v>31196.71</v>
      </c>
      <c r="FE44" vm="159">
        <f ca="1"/>
        <v>31382.78</v>
      </c>
      <c r="FF44" vm="160">
        <f ca="1"/>
        <v>31101.78</v>
      </c>
      <c r="FG44" vm="161">
        <f ca="1"/>
        <v>31049.279999999999</v>
      </c>
      <c r="FH44" vm="162">
        <f ca="1"/>
        <v>31160.54</v>
      </c>
      <c r="FI44" vm="163">
        <f ca="1"/>
        <v>31477.57</v>
      </c>
      <c r="FJ44" vm="164">
        <f ca="1"/>
        <v>31311.41</v>
      </c>
      <c r="FK44" vm="165">
        <f ca="1"/>
        <v>31169.97</v>
      </c>
      <c r="FL44" vm="166">
        <f ca="1"/>
        <v>31244.37</v>
      </c>
      <c r="FM44" vm="167">
        <f ca="1"/>
        <v>31490.85</v>
      </c>
      <c r="FN44" vm="168">
        <f ca="1"/>
        <v>31660.73</v>
      </c>
      <c r="FO44" vm="169">
        <f ca="1"/>
        <v>31527.39</v>
      </c>
      <c r="FP44" vm="170">
        <f ca="1"/>
        <v>31483.439999999999</v>
      </c>
      <c r="FQ44" vm="171">
        <f ca="1"/>
        <v>31263.93</v>
      </c>
      <c r="FR44" vm="172">
        <f ca="1"/>
        <v>31250.02</v>
      </c>
      <c r="FS44" vm="173">
        <f ca="1"/>
        <v>31440.85</v>
      </c>
      <c r="FT44" vm="174">
        <f ca="1"/>
        <v>31755.77</v>
      </c>
      <c r="FU44" vm="175">
        <f ca="1"/>
        <v>32000.1</v>
      </c>
      <c r="FV44" vm="176">
        <f ca="1"/>
        <v>32058.73</v>
      </c>
      <c r="FW44" vm="177">
        <f ca="1"/>
        <v>31999.759999999998</v>
      </c>
      <c r="FX44" vm="178">
        <f ca="1"/>
        <v>31896.59</v>
      </c>
      <c r="FY44" vm="179">
        <f ca="1"/>
        <v>31866.26</v>
      </c>
      <c r="FZ44" vm="180">
        <f ca="1"/>
        <v>31712.76</v>
      </c>
      <c r="GA44" vm="181">
        <f ca="1"/>
        <v>31883.37</v>
      </c>
      <c r="GB44" vm="182">
        <f ca="1"/>
        <v>32219.95</v>
      </c>
      <c r="GC44" vm="183">
        <f ca="1"/>
        <v>32407.02</v>
      </c>
      <c r="GD44" vm="184">
        <f ca="1"/>
        <v>32135.49</v>
      </c>
      <c r="GE44" vm="185">
        <f ca="1"/>
        <v>32378.639999999999</v>
      </c>
      <c r="GF44" vm="186">
        <f ca="1"/>
        <v>32612.93</v>
      </c>
      <c r="GG44" vm="187">
        <f ca="1"/>
        <v>32874.699999999997</v>
      </c>
      <c r="GH44" vm="188">
        <f ca="1"/>
        <v>32870.36</v>
      </c>
      <c r="GI44" vm="189">
        <f ca="1"/>
        <v>32916.47</v>
      </c>
      <c r="GJ44" vm="190">
        <f ca="1"/>
        <v>33028.92</v>
      </c>
      <c r="GK44" vm="191">
        <f ca="1"/>
        <v>33040.550000000003</v>
      </c>
      <c r="GL44" vm="192">
        <f ca="1"/>
        <v>33090.959999999999</v>
      </c>
      <c r="GM44" vm="193">
        <f ca="1"/>
        <v>32750.28</v>
      </c>
      <c r="GN44" vm="194">
        <f ca="1"/>
        <v>32851.53</v>
      </c>
      <c r="GO44" vm="195">
        <f ca="1"/>
        <v>33002.699999999997</v>
      </c>
      <c r="GP44" vm="196">
        <f ca="1"/>
        <v>33144.980000000003</v>
      </c>
      <c r="GQ44" vm="197">
        <f ca="1"/>
        <v>33093.32</v>
      </c>
      <c r="GR44" vm="198">
        <f ca="1"/>
        <v>33096.400000000001</v>
      </c>
      <c r="GS44" vm="199">
        <f ca="1"/>
        <v>33176.07</v>
      </c>
      <c r="GT44" vm="200">
        <f ca="1"/>
        <v>33016.129999999997</v>
      </c>
      <c r="GU44" vm="201">
        <f ca="1"/>
        <v>31923.52</v>
      </c>
      <c r="GV44" vm="202">
        <f ca="1"/>
        <v>32183.88</v>
      </c>
      <c r="GW44" vm="203">
        <f ca="1"/>
        <v>32388.6</v>
      </c>
      <c r="GX44" vm="204">
        <f ca="1"/>
        <v>32571.55</v>
      </c>
      <c r="GY44" vm="205">
        <f ca="1"/>
        <v>31994.6</v>
      </c>
      <c r="GZ44" vm="206">
        <f ca="1"/>
        <v>32470.98</v>
      </c>
      <c r="HA44" vm="207">
        <f ca="1"/>
        <v>33023.32</v>
      </c>
      <c r="HB44" vm="208">
        <f ca="1"/>
        <v>33256.83</v>
      </c>
      <c r="HC44" vm="209">
        <f ca="1"/>
        <v>33254.19</v>
      </c>
      <c r="HD44" vm="210">
        <f ca="1"/>
        <v>32465.279999999999</v>
      </c>
      <c r="HE44" vm="211">
        <f ca="1"/>
        <v>33073.71</v>
      </c>
      <c r="HF44" vm="212">
        <f ca="1"/>
        <v>32896.550000000003</v>
      </c>
      <c r="HG44" vm="213">
        <f ca="1"/>
        <v>33389.730000000003</v>
      </c>
      <c r="HH44" vm="214">
        <f ca="1"/>
        <v>33594.980000000003</v>
      </c>
      <c r="HI44" vm="215">
        <f ca="1"/>
        <v>33817.51</v>
      </c>
      <c r="HJ44" vm="216">
        <f ca="1"/>
        <v>33776.5</v>
      </c>
      <c r="HK44" vm="217">
        <f ca="1"/>
        <v>33970.379999999997</v>
      </c>
      <c r="HL44" vm="218">
        <f ca="1"/>
        <v>34127.33</v>
      </c>
      <c r="HM44" vm="219">
        <f ca="1"/>
        <v>34501.96</v>
      </c>
      <c r="HN44" vm="220">
        <f ca="1"/>
        <v>34339.99</v>
      </c>
      <c r="HO44" vm="221">
        <f ca="1"/>
        <v>34541.269999999997</v>
      </c>
      <c r="HP44" vm="222">
        <f ca="1"/>
        <v>33784.94</v>
      </c>
      <c r="HQ44" vm="223">
        <f ca="1"/>
        <v>33942.86</v>
      </c>
      <c r="HR44" vm="224">
        <f ca="1"/>
        <v>33609.97</v>
      </c>
      <c r="HS44" vm="225">
        <f ca="1"/>
        <v>33083.72</v>
      </c>
      <c r="HT44" vm="226">
        <f ca="1"/>
        <v>33189.32</v>
      </c>
      <c r="HU44" vm="227">
        <f ca="1"/>
        <v>33270.65</v>
      </c>
      <c r="HV44" vm="228">
        <f ca="1"/>
        <v>33119.83</v>
      </c>
      <c r="HW44" vm="229">
        <f ca="1"/>
        <v>32840.6</v>
      </c>
      <c r="HX44" vm="230">
        <f ca="1"/>
        <v>32541.93</v>
      </c>
      <c r="HY44" vm="231">
        <f ca="1"/>
        <v>32876.65</v>
      </c>
      <c r="HZ44" vm="232">
        <f ca="1"/>
        <v>32929.089999999997</v>
      </c>
      <c r="IA44" vm="233">
        <f ca="1"/>
        <v>32312.67</v>
      </c>
      <c r="IB44" vm="234">
        <f ca="1"/>
        <v>31854.98</v>
      </c>
      <c r="IC44" vm="235">
        <f ca="1"/>
        <v>31317.41</v>
      </c>
      <c r="ID44" vm="236">
        <f ca="1"/>
        <v>31883.81</v>
      </c>
      <c r="IE44" vm="237">
        <f ca="1"/>
        <v>31941.59</v>
      </c>
      <c r="IF44" vm="238">
        <f ca="1"/>
        <v>32382.6</v>
      </c>
      <c r="IG44" vm="239">
        <f ca="1"/>
        <v>31887.52</v>
      </c>
      <c r="IH44" vm="240">
        <f ca="1"/>
        <v>31960.65</v>
      </c>
      <c r="II44" vm="241">
        <f ca="1"/>
        <v>31934.94</v>
      </c>
      <c r="IJ44" vm="242">
        <f ca="1"/>
        <v>32768.04</v>
      </c>
      <c r="IK44" vm="243">
        <f ca="1"/>
        <v>32957.949999999997</v>
      </c>
      <c r="IL44" vm="244">
        <f ca="1"/>
        <v>33108.22</v>
      </c>
      <c r="IM44" t="e" vm="245">
        <f ca="1"/>
        <v>#N/A</v>
      </c>
      <c r="IN44" vm="246">
        <f ca="1"/>
        <v>33181.97</v>
      </c>
      <c r="IO44" vm="247">
        <f ca="1"/>
        <v>33237.519999999997</v>
      </c>
      <c r="IP44" vm="248">
        <f ca="1"/>
        <v>33620.57</v>
      </c>
      <c r="IQ44" vm="249">
        <f ca="1"/>
        <v>33477.71</v>
      </c>
      <c r="IR44" vm="250">
        <f ca="1"/>
        <v>33695.760000000002</v>
      </c>
      <c r="IS44" vm="251">
        <f ca="1"/>
        <v>33879.24</v>
      </c>
      <c r="IT44" vm="252">
        <f ca="1"/>
        <v>34102.36</v>
      </c>
      <c r="IU44" vm="253">
        <f ca="1"/>
        <v>34155.99</v>
      </c>
      <c r="IV44" vm="254">
        <f ca="1"/>
        <v>34052.230000000003</v>
      </c>
      <c r="IW44" vm="255">
        <f ca="1"/>
        <v>34346.29</v>
      </c>
      <c r="IX44" vm="256">
        <f ca="1"/>
        <v>34360.03</v>
      </c>
    </row>
    <row r="45" spans="2:258" x14ac:dyDescent="0.25">
      <c r="F45" t="s">
        <v>283</v>
      </c>
      <c r="G45" cm="1" vm="257">
        <f t="array" aca="1" ref="G45:IW45" ca="1">TRANSPOSE(_xlfn.STOCKHISTORY(G15,TODAY()-365,TODAY(),0,0,1))</f>
        <v>5158.2</v>
      </c>
      <c r="H45" vm="258">
        <f ca="1"/>
        <v>5287.76</v>
      </c>
      <c r="I45" vm="259">
        <f ca="1"/>
        <v>5375.86</v>
      </c>
      <c r="J45" vm="260">
        <f ca="1"/>
        <v>5484.77</v>
      </c>
      <c r="K45" vm="261">
        <f ca="1"/>
        <v>5525.21</v>
      </c>
      <c r="L45" vm="262">
        <f ca="1"/>
        <v>5528.75</v>
      </c>
      <c r="M45" vm="263">
        <f ca="1"/>
        <v>5560.83</v>
      </c>
      <c r="N45" vm="264">
        <f ca="1"/>
        <v>5569.06</v>
      </c>
      <c r="O45" vm="265">
        <f ca="1"/>
        <v>5604.14</v>
      </c>
      <c r="P45" vm="266">
        <f ca="1"/>
        <v>5686.67</v>
      </c>
      <c r="Q45" vm="267">
        <f ca="1"/>
        <v>5650.38</v>
      </c>
      <c r="R45" vm="268">
        <f ca="1"/>
        <v>5606.91</v>
      </c>
      <c r="S45" vm="269">
        <f ca="1"/>
        <v>5631.28</v>
      </c>
      <c r="T45" vm="270">
        <f ca="1"/>
        <v>5663.94</v>
      </c>
      <c r="U45" vm="271">
        <f ca="1"/>
        <v>5659.91</v>
      </c>
      <c r="V45" vm="272">
        <f ca="1"/>
        <v>5844.19</v>
      </c>
      <c r="W45" vm="273">
        <f ca="1"/>
        <v>5886.55</v>
      </c>
      <c r="X45" vm="274">
        <f ca="1"/>
        <v>5892.58</v>
      </c>
      <c r="Y45" vm="275">
        <f ca="1"/>
        <v>5916.93</v>
      </c>
      <c r="Z45" vm="276">
        <f ca="1"/>
        <v>5958.38</v>
      </c>
      <c r="AA45" vm="277">
        <f ca="1"/>
        <v>5963.6</v>
      </c>
      <c r="AB45" vm="278">
        <f ca="1"/>
        <v>5940.46</v>
      </c>
      <c r="AC45" vm="279">
        <f ca="1"/>
        <v>5844.61</v>
      </c>
      <c r="AD45" vm="280">
        <f ca="1"/>
        <v>5842.01</v>
      </c>
      <c r="AE45" vm="281">
        <f ca="1"/>
        <v>5802.82</v>
      </c>
      <c r="AF45" vm="282">
        <f ca="1"/>
        <v>5921.54</v>
      </c>
      <c r="AG45" vm="283">
        <f ca="1"/>
        <v>5888.55</v>
      </c>
      <c r="AH45" vm="284">
        <f ca="1"/>
        <v>5912.17</v>
      </c>
      <c r="AI45" vm="285">
        <f ca="1"/>
        <v>5911.69</v>
      </c>
      <c r="AJ45" vm="286">
        <f ca="1"/>
        <v>5935.94</v>
      </c>
      <c r="AK45" vm="287">
        <f ca="1"/>
        <v>5970.37</v>
      </c>
      <c r="AL45" vm="288">
        <f ca="1"/>
        <v>5970.81</v>
      </c>
      <c r="AM45" vm="289">
        <f ca="1"/>
        <v>5939.3</v>
      </c>
      <c r="AN45" vm="290">
        <f ca="1"/>
        <v>6000.36</v>
      </c>
      <c r="AO45" vm="291">
        <f ca="1"/>
        <v>6005.88</v>
      </c>
      <c r="AP45" vm="292">
        <f ca="1"/>
        <v>6038.81</v>
      </c>
      <c r="AQ45" vm="293">
        <f ca="1"/>
        <v>6022.24</v>
      </c>
      <c r="AR45" vm="294">
        <f ca="1"/>
        <v>6045.26</v>
      </c>
      <c r="AS45" vm="295">
        <f ca="1"/>
        <v>5976.97</v>
      </c>
      <c r="AT45" vm="296">
        <f ca="1"/>
        <v>6033.11</v>
      </c>
      <c r="AU45" vm="297">
        <f ca="1"/>
        <v>5982.72</v>
      </c>
      <c r="AV45" vm="298">
        <f ca="1"/>
        <v>5980.87</v>
      </c>
      <c r="AW45" vm="299">
        <f ca="1"/>
        <v>5967.84</v>
      </c>
      <c r="AX45" vm="300">
        <f ca="1"/>
        <v>6025.17</v>
      </c>
      <c r="AY45" vm="301">
        <f ca="1"/>
        <v>6092.18</v>
      </c>
      <c r="AZ45" vm="302">
        <f ca="1"/>
        <v>6092.16</v>
      </c>
      <c r="BA45" vm="303">
        <f ca="1"/>
        <v>6141.02</v>
      </c>
      <c r="BB45" vm="304">
        <f ca="1"/>
        <v>6173.07</v>
      </c>
      <c r="BC45" vm="305">
        <f ca="1"/>
        <v>6204.95</v>
      </c>
      <c r="BD45" vm="306">
        <f ca="1"/>
        <v>6198.01</v>
      </c>
      <c r="BE45" vm="307">
        <f ca="1"/>
        <v>6227.42</v>
      </c>
      <c r="BF45" vm="308">
        <f ca="1"/>
        <v>6279.35</v>
      </c>
      <c r="BG45" vm="309">
        <f ca="1"/>
        <v>6229.98</v>
      </c>
      <c r="BH45" vm="310">
        <f ca="1"/>
        <v>6225.52</v>
      </c>
      <c r="BI45" vm="311">
        <f ca="1"/>
        <v>6263.26</v>
      </c>
      <c r="BJ45" vm="312">
        <f ca="1"/>
        <v>6280.46</v>
      </c>
      <c r="BK45" vm="313">
        <f ca="1"/>
        <v>6259.75</v>
      </c>
      <c r="BL45" vm="314">
        <f ca="1"/>
        <v>6268.56</v>
      </c>
      <c r="BM45" vm="315">
        <f ca="1"/>
        <v>6243.76</v>
      </c>
      <c r="BN45" vm="316">
        <f ca="1"/>
        <v>6263.7</v>
      </c>
      <c r="BO45" vm="317">
        <f ca="1"/>
        <v>6297.36</v>
      </c>
      <c r="BP45" vm="318">
        <f ca="1"/>
        <v>6296.79</v>
      </c>
      <c r="BQ45" vm="319">
        <f ca="1"/>
        <v>6305.6</v>
      </c>
      <c r="BR45" vm="320">
        <f ca="1"/>
        <v>6309.62</v>
      </c>
      <c r="BS45" vm="321">
        <f ca="1"/>
        <v>6358.91</v>
      </c>
      <c r="BT45" vm="322">
        <f ca="1"/>
        <v>6363.35</v>
      </c>
      <c r="BU45" vm="323">
        <f ca="1"/>
        <v>6388.64</v>
      </c>
      <c r="BV45" vm="324">
        <f ca="1"/>
        <v>6389.77</v>
      </c>
      <c r="BW45" vm="325">
        <f ca="1"/>
        <v>6370.86</v>
      </c>
      <c r="BX45" vm="326">
        <f ca="1"/>
        <v>6362.9</v>
      </c>
      <c r="BY45" vm="327">
        <f ca="1"/>
        <v>6339.39</v>
      </c>
      <c r="BZ45" vm="328">
        <f ca="1"/>
        <v>6238.01</v>
      </c>
      <c r="CA45" vm="329">
        <f ca="1"/>
        <v>6329.94</v>
      </c>
      <c r="CB45" vm="330">
        <f ca="1"/>
        <v>6299.19</v>
      </c>
      <c r="CC45" vm="331">
        <f ca="1"/>
        <v>6345.06</v>
      </c>
      <c r="CD45" vm="332">
        <f ca="1"/>
        <v>6340</v>
      </c>
      <c r="CE45" vm="333">
        <f ca="1"/>
        <v>6389.45</v>
      </c>
      <c r="CF45" vm="334">
        <f ca="1"/>
        <v>6373.45</v>
      </c>
      <c r="CG45" vm="335">
        <f ca="1"/>
        <v>6445.76</v>
      </c>
      <c r="CH45" vm="336">
        <f ca="1"/>
        <v>6466.58</v>
      </c>
      <c r="CI45" vm="337">
        <f ca="1"/>
        <v>6468.54</v>
      </c>
      <c r="CJ45" vm="338">
        <f ca="1"/>
        <v>6449.8</v>
      </c>
      <c r="CK45" vm="339">
        <f ca="1"/>
        <v>6449.15</v>
      </c>
      <c r="CL45" vm="340">
        <f ca="1"/>
        <v>6411.37</v>
      </c>
      <c r="CM45" vm="341">
        <f ca="1"/>
        <v>6395.78</v>
      </c>
      <c r="CN45" vm="342">
        <f ca="1"/>
        <v>6370.17</v>
      </c>
      <c r="CO45" vm="343">
        <f ca="1"/>
        <v>6466.91</v>
      </c>
      <c r="CP45" vm="344">
        <f ca="1"/>
        <v>6439.32</v>
      </c>
      <c r="CQ45" vm="345">
        <f ca="1"/>
        <v>6465.94</v>
      </c>
      <c r="CR45" vm="346">
        <f ca="1"/>
        <v>6481.4</v>
      </c>
      <c r="CS45" vm="347">
        <f ca="1"/>
        <v>6501.86</v>
      </c>
      <c r="CT45" vm="348">
        <f ca="1"/>
        <v>6460.26</v>
      </c>
      <c r="CU45" vm="349">
        <f ca="1"/>
        <v>6415.54</v>
      </c>
      <c r="CV45" vm="350">
        <f ca="1"/>
        <v>6448.26</v>
      </c>
      <c r="CW45" vm="351">
        <f ca="1"/>
        <v>6502.08</v>
      </c>
      <c r="CX45" vm="352">
        <f ca="1"/>
        <v>6481.5</v>
      </c>
      <c r="CY45" vm="353">
        <f ca="1"/>
        <v>6495.15</v>
      </c>
      <c r="CZ45" vm="354">
        <f ca="1"/>
        <v>6512.61</v>
      </c>
      <c r="DA45" vm="355">
        <f ca="1"/>
        <v>6532.04</v>
      </c>
      <c r="DB45" vm="356">
        <f ca="1"/>
        <v>6587.47</v>
      </c>
      <c r="DC45" vm="357">
        <f ca="1"/>
        <v>6584.29</v>
      </c>
      <c r="DD45" vm="358">
        <f ca="1"/>
        <v>6615.28</v>
      </c>
      <c r="DE45" vm="359">
        <f ca="1"/>
        <v>6606.76</v>
      </c>
      <c r="DF45" vm="360">
        <f ca="1"/>
        <v>6600.35</v>
      </c>
      <c r="DG45" vm="361">
        <f ca="1"/>
        <v>6631.96</v>
      </c>
      <c r="DH45" vm="362">
        <f ca="1"/>
        <v>6664.36</v>
      </c>
      <c r="DI45" vm="363">
        <f ca="1"/>
        <v>6693.75</v>
      </c>
      <c r="DJ45" vm="364">
        <f ca="1"/>
        <v>6656.92</v>
      </c>
      <c r="DK45" vm="365">
        <f ca="1"/>
        <v>6637.97</v>
      </c>
      <c r="DL45" vm="366">
        <f ca="1"/>
        <v>6604.72</v>
      </c>
      <c r="DM45" vm="367">
        <f ca="1"/>
        <v>6643.7</v>
      </c>
      <c r="DN45" vm="368">
        <f ca="1"/>
        <v>6661.21</v>
      </c>
      <c r="DO45" vm="369">
        <f ca="1"/>
        <v>6688.46</v>
      </c>
      <c r="DP45" vm="370">
        <f ca="1"/>
        <v>6711.2</v>
      </c>
      <c r="DQ45" vm="371">
        <f ca="1"/>
        <v>6715.35</v>
      </c>
      <c r="DR45" vm="372">
        <f ca="1"/>
        <v>6715.79</v>
      </c>
      <c r="DS45" vm="373">
        <f ca="1"/>
        <v>6740.28</v>
      </c>
      <c r="DT45" vm="374">
        <f ca="1"/>
        <v>6714.59</v>
      </c>
      <c r="DU45" vm="375">
        <f ca="1"/>
        <v>6753.72</v>
      </c>
      <c r="DV45" vm="376">
        <f ca="1"/>
        <v>6735.11</v>
      </c>
      <c r="DW45" vm="377">
        <f ca="1"/>
        <v>6552.51</v>
      </c>
      <c r="DX45" vm="378">
        <f ca="1"/>
        <v>6654.72</v>
      </c>
      <c r="DY45" vm="379">
        <f ca="1"/>
        <v>6644.31</v>
      </c>
      <c r="DZ45" vm="380">
        <f ca="1"/>
        <v>6671.06</v>
      </c>
      <c r="EA45" vm="381">
        <f ca="1"/>
        <v>6629.07</v>
      </c>
      <c r="EB45" vm="382">
        <f ca="1"/>
        <v>6664.01</v>
      </c>
      <c r="EC45" vm="383">
        <f ca="1"/>
        <v>6735.13</v>
      </c>
      <c r="ED45" vm="384">
        <f ca="1"/>
        <v>6735.35</v>
      </c>
      <c r="EE45" vm="385">
        <f ca="1"/>
        <v>6699.4</v>
      </c>
      <c r="EF45" vm="386">
        <f ca="1"/>
        <v>6738.44</v>
      </c>
      <c r="EG45" vm="387">
        <f ca="1"/>
        <v>6791.69</v>
      </c>
      <c r="EH45" vm="388">
        <f ca="1"/>
        <v>6875.16</v>
      </c>
      <c r="EI45" vm="389">
        <f ca="1"/>
        <v>6890.89</v>
      </c>
      <c r="EJ45" vm="390">
        <f ca="1"/>
        <v>6890.59</v>
      </c>
      <c r="EK45" vm="391">
        <f ca="1"/>
        <v>6822.34</v>
      </c>
      <c r="EL45" vm="392">
        <f ca="1"/>
        <v>6840.2</v>
      </c>
      <c r="EM45" vm="393">
        <f ca="1"/>
        <v>6851.97</v>
      </c>
      <c r="EN45" vm="394">
        <f ca="1"/>
        <v>6771.55</v>
      </c>
      <c r="EO45" vm="395">
        <f ca="1"/>
        <v>6796.29</v>
      </c>
      <c r="EP45" vm="396">
        <f ca="1"/>
        <v>6720.32</v>
      </c>
      <c r="EQ45" vm="397">
        <f ca="1"/>
        <v>6728.8</v>
      </c>
      <c r="ER45" vm="398">
        <f ca="1"/>
        <v>6832.43</v>
      </c>
      <c r="ES45" vm="399">
        <f ca="1"/>
        <v>6846.61</v>
      </c>
      <c r="ET45" vm="400">
        <f ca="1"/>
        <v>6850.92</v>
      </c>
      <c r="EU45" vm="401">
        <f ca="1"/>
        <v>6737.49</v>
      </c>
      <c r="EV45" vm="402">
        <f ca="1"/>
        <v>6734.11</v>
      </c>
      <c r="EW45" vm="403">
        <f ca="1"/>
        <v>6672.41</v>
      </c>
      <c r="EX45" vm="404">
        <f ca="1"/>
        <v>6617.32</v>
      </c>
      <c r="EY45" vm="405">
        <f ca="1"/>
        <v>6642.16</v>
      </c>
      <c r="EZ45" vm="406">
        <f ca="1"/>
        <v>6538.76</v>
      </c>
      <c r="FA45" vm="407">
        <f ca="1"/>
        <v>6602.99</v>
      </c>
      <c r="FB45" vm="408">
        <f ca="1"/>
        <v>6705.12</v>
      </c>
      <c r="FC45" vm="409">
        <f ca="1"/>
        <v>6765.88</v>
      </c>
      <c r="FD45" vm="410">
        <f ca="1"/>
        <v>6812.61</v>
      </c>
      <c r="FE45" vm="411">
        <f ca="1"/>
        <v>6849.09</v>
      </c>
      <c r="FF45" vm="412">
        <f ca="1"/>
        <v>6812.63</v>
      </c>
      <c r="FG45" vm="413">
        <f ca="1"/>
        <v>6829.37</v>
      </c>
      <c r="FH45" vm="414">
        <f ca="1"/>
        <v>6849.72</v>
      </c>
      <c r="FI45" vm="415">
        <f ca="1"/>
        <v>6857.12</v>
      </c>
      <c r="FJ45" vm="416">
        <f ca="1"/>
        <v>6870.4</v>
      </c>
      <c r="FK45" vm="417">
        <f ca="1"/>
        <v>6846.51</v>
      </c>
      <c r="FL45" vm="418">
        <f ca="1"/>
        <v>6840.51</v>
      </c>
      <c r="FM45" vm="419">
        <f ca="1"/>
        <v>6886.68</v>
      </c>
      <c r="FN45" vm="420">
        <f ca="1"/>
        <v>6901</v>
      </c>
      <c r="FO45" vm="421">
        <f ca="1"/>
        <v>6827.41</v>
      </c>
      <c r="FP45" vm="422">
        <f ca="1"/>
        <v>6816.51</v>
      </c>
      <c r="FQ45" vm="423">
        <f ca="1"/>
        <v>6800.26</v>
      </c>
      <c r="FR45" vm="424">
        <f ca="1"/>
        <v>6721.43</v>
      </c>
      <c r="FS45" vm="425">
        <f ca="1"/>
        <v>6774.76</v>
      </c>
      <c r="FT45" vm="426">
        <f ca="1"/>
        <v>6834.5</v>
      </c>
      <c r="FU45" vm="427">
        <f ca="1"/>
        <v>6878.49</v>
      </c>
      <c r="FV45" vm="428">
        <f ca="1"/>
        <v>6909.79</v>
      </c>
      <c r="FW45" vm="429">
        <f ca="1"/>
        <v>6932.05</v>
      </c>
      <c r="FX45" vm="430">
        <f ca="1"/>
        <v>6929.94</v>
      </c>
      <c r="FY45" vm="431">
        <f ca="1"/>
        <v>6905.74</v>
      </c>
      <c r="FZ45" vm="432">
        <f ca="1"/>
        <v>6896.24</v>
      </c>
      <c r="GA45" vm="433">
        <f ca="1"/>
        <v>6845.5</v>
      </c>
      <c r="GB45" vm="434">
        <f ca="1"/>
        <v>6858.47</v>
      </c>
      <c r="GC45" vm="435">
        <f ca="1"/>
        <v>6902.05</v>
      </c>
      <c r="GD45" vm="436">
        <f ca="1"/>
        <v>6944.82</v>
      </c>
      <c r="GE45" vm="437">
        <f ca="1"/>
        <v>6920.93</v>
      </c>
      <c r="GF45" vm="438">
        <f ca="1"/>
        <v>6921.46</v>
      </c>
      <c r="GG45" vm="439">
        <f ca="1"/>
        <v>6966.28</v>
      </c>
      <c r="GH45" vm="440">
        <f ca="1"/>
        <v>6977.27</v>
      </c>
      <c r="GI45" vm="441">
        <f ca="1"/>
        <v>6963.74</v>
      </c>
      <c r="GJ45" vm="442">
        <f ca="1"/>
        <v>6926.6</v>
      </c>
      <c r="GK45" vm="443">
        <f ca="1"/>
        <v>6944.47</v>
      </c>
      <c r="GL45" vm="444">
        <f ca="1"/>
        <v>6940.01</v>
      </c>
      <c r="GM45" vm="445">
        <f ca="1"/>
        <v>6796.86</v>
      </c>
      <c r="GN45" vm="446">
        <f ca="1"/>
        <v>6875.62</v>
      </c>
      <c r="GO45" vm="447">
        <f ca="1"/>
        <v>6913.35</v>
      </c>
      <c r="GP45" vm="448">
        <f ca="1"/>
        <v>6915.61</v>
      </c>
      <c r="GQ45" vm="449">
        <f ca="1"/>
        <v>6950.23</v>
      </c>
      <c r="GR45" vm="450">
        <f ca="1"/>
        <v>6978.6</v>
      </c>
      <c r="GS45" vm="451">
        <f ca="1"/>
        <v>6978.03</v>
      </c>
      <c r="GT45" vm="452">
        <f ca="1"/>
        <v>6969.01</v>
      </c>
      <c r="GU45" vm="453">
        <f ca="1"/>
        <v>6939.03</v>
      </c>
      <c r="GV45" vm="454">
        <f ca="1"/>
        <v>6976.44</v>
      </c>
      <c r="GW45" vm="455">
        <f ca="1"/>
        <v>6917.81</v>
      </c>
      <c r="GX45" vm="456">
        <f ca="1"/>
        <v>6882.72</v>
      </c>
      <c r="GY45" vm="457">
        <f ca="1"/>
        <v>6798.4</v>
      </c>
      <c r="GZ45" vm="458">
        <f ca="1"/>
        <v>6932.3</v>
      </c>
      <c r="HA45" vm="459">
        <f ca="1"/>
        <v>6964.82</v>
      </c>
      <c r="HB45" vm="460">
        <f ca="1"/>
        <v>6941.81</v>
      </c>
      <c r="HC45" vm="461">
        <f ca="1"/>
        <v>6941.47</v>
      </c>
      <c r="HD45" vm="462">
        <f ca="1"/>
        <v>6832.76</v>
      </c>
      <c r="HE45" vm="463">
        <f ca="1"/>
        <v>6836.17</v>
      </c>
      <c r="HF45" vm="464">
        <f ca="1"/>
        <v>6843.22</v>
      </c>
      <c r="HG45" vm="465">
        <f ca="1"/>
        <v>6881.31</v>
      </c>
      <c r="HH45" vm="466">
        <f ca="1"/>
        <v>6861.89</v>
      </c>
      <c r="HI45" vm="467">
        <f ca="1"/>
        <v>6909.51</v>
      </c>
      <c r="HJ45" vm="468">
        <f ca="1"/>
        <v>6837.75</v>
      </c>
      <c r="HK45" vm="469">
        <f ca="1"/>
        <v>6890.07</v>
      </c>
      <c r="HL45" vm="470">
        <f ca="1"/>
        <v>6946.13</v>
      </c>
      <c r="HM45" vm="471">
        <f ca="1"/>
        <v>6908.86</v>
      </c>
      <c r="HN45" vm="472">
        <f ca="1"/>
        <v>6878.88</v>
      </c>
      <c r="HO45" vm="473">
        <f ca="1"/>
        <v>6881.62</v>
      </c>
      <c r="HP45" vm="474">
        <f ca="1"/>
        <v>6816.63</v>
      </c>
      <c r="HQ45" vm="475">
        <f ca="1"/>
        <v>6869.5</v>
      </c>
      <c r="HR45" vm="476">
        <f ca="1"/>
        <v>6830.71</v>
      </c>
      <c r="HS45" vm="477">
        <f ca="1"/>
        <v>6740.02</v>
      </c>
      <c r="HT45" vm="478">
        <f ca="1"/>
        <v>6795.99</v>
      </c>
      <c r="HU45" vm="479">
        <f ca="1"/>
        <v>6781.48</v>
      </c>
      <c r="HV45" vm="480">
        <f ca="1"/>
        <v>6775.8</v>
      </c>
      <c r="HW45" vm="481">
        <f ca="1"/>
        <v>6672.62</v>
      </c>
      <c r="HX45" vm="482">
        <f ca="1"/>
        <v>6632.19</v>
      </c>
      <c r="HY45" vm="483">
        <f ca="1"/>
        <v>6699.38</v>
      </c>
      <c r="HZ45" vm="484">
        <f ca="1"/>
        <v>6716.09</v>
      </c>
      <c r="IA45" vm="485">
        <f ca="1"/>
        <v>6624.7</v>
      </c>
      <c r="IB45" vm="486">
        <f ca="1"/>
        <v>6606.49</v>
      </c>
      <c r="IC45" vm="487">
        <f ca="1"/>
        <v>6506.48</v>
      </c>
      <c r="ID45" vm="488">
        <f ca="1"/>
        <v>6581</v>
      </c>
      <c r="IE45" vm="489">
        <f ca="1"/>
        <v>6556.37</v>
      </c>
      <c r="IF45" vm="490">
        <f ca="1"/>
        <v>6591.9</v>
      </c>
      <c r="IG45" vm="491">
        <f ca="1"/>
        <v>6477.16</v>
      </c>
      <c r="IH45" vm="492">
        <f ca="1"/>
        <v>6368.85</v>
      </c>
      <c r="II45" vm="493">
        <f ca="1"/>
        <v>6343.72</v>
      </c>
      <c r="IJ45" vm="494">
        <f ca="1"/>
        <v>6528.52</v>
      </c>
      <c r="IK45" vm="495">
        <f ca="1"/>
        <v>6575.32</v>
      </c>
      <c r="IL45" vm="496">
        <f ca="1"/>
        <v>6582.69</v>
      </c>
      <c r="IM45" vm="497">
        <f ca="1"/>
        <v>6611.83</v>
      </c>
      <c r="IN45" vm="498">
        <f ca="1"/>
        <v>6616.85</v>
      </c>
      <c r="IO45" vm="499">
        <f ca="1"/>
        <v>6782.81</v>
      </c>
      <c r="IP45" vm="500">
        <f ca="1"/>
        <v>6824.66</v>
      </c>
      <c r="IQ45" vm="501">
        <f ca="1"/>
        <v>6816.89</v>
      </c>
      <c r="IR45" vm="502">
        <f ca="1"/>
        <v>6886.24</v>
      </c>
      <c r="IS45" vm="503">
        <f ca="1"/>
        <v>6967.38</v>
      </c>
      <c r="IT45" vm="504">
        <f ca="1"/>
        <v>7022.95</v>
      </c>
      <c r="IU45" vm="505">
        <f ca="1"/>
        <v>7041.28</v>
      </c>
      <c r="IV45" vm="506">
        <f ca="1"/>
        <v>7126.06</v>
      </c>
      <c r="IW45" vm="507">
        <f ca="1"/>
        <v>7109.14</v>
      </c>
    </row>
  </sheetData>
  <mergeCells count="71">
    <mergeCell ref="B31:B35"/>
    <mergeCell ref="B4:B28"/>
    <mergeCell ref="G7:I7"/>
    <mergeCell ref="G8:I8"/>
    <mergeCell ref="D19:E19"/>
    <mergeCell ref="D27:E27"/>
    <mergeCell ref="D35:E35"/>
    <mergeCell ref="D11:E11"/>
    <mergeCell ref="H28:I28"/>
    <mergeCell ref="H29:I29"/>
    <mergeCell ref="H30:I30"/>
    <mergeCell ref="H31:I31"/>
    <mergeCell ref="G34:M34"/>
    <mergeCell ref="H32:I32"/>
    <mergeCell ref="J30:K30"/>
    <mergeCell ref="J31:K31"/>
    <mergeCell ref="L25:M25"/>
    <mergeCell ref="L26:M26"/>
    <mergeCell ref="G15:I15"/>
    <mergeCell ref="G10:I10"/>
    <mergeCell ref="G21:G22"/>
    <mergeCell ref="J15:M18"/>
    <mergeCell ref="B1:T1"/>
    <mergeCell ref="G3:I3"/>
    <mergeCell ref="G4:I4"/>
    <mergeCell ref="G5:I5"/>
    <mergeCell ref="G6:I6"/>
    <mergeCell ref="D3:E3"/>
    <mergeCell ref="J3:M3"/>
    <mergeCell ref="J4:M4"/>
    <mergeCell ref="J5:M5"/>
    <mergeCell ref="J6:M6"/>
    <mergeCell ref="O4:O6"/>
    <mergeCell ref="N4:N6"/>
    <mergeCell ref="P6:S6"/>
    <mergeCell ref="O3:S3"/>
    <mergeCell ref="N7:N9"/>
    <mergeCell ref="P4:S4"/>
    <mergeCell ref="P5:S5"/>
    <mergeCell ref="P7:S7"/>
    <mergeCell ref="P8:S8"/>
    <mergeCell ref="P9:S9"/>
    <mergeCell ref="O7:O9"/>
    <mergeCell ref="J7:M7"/>
    <mergeCell ref="J25:K25"/>
    <mergeCell ref="J26:K26"/>
    <mergeCell ref="J27:K27"/>
    <mergeCell ref="J28:K28"/>
    <mergeCell ref="J8:M8"/>
    <mergeCell ref="K21:K22"/>
    <mergeCell ref="G24:M24"/>
    <mergeCell ref="J10:M13"/>
    <mergeCell ref="I21:I22"/>
    <mergeCell ref="M21:M22"/>
    <mergeCell ref="H27:I27"/>
    <mergeCell ref="H25:I25"/>
    <mergeCell ref="H26:I26"/>
    <mergeCell ref="L27:M27"/>
    <mergeCell ref="L28:M28"/>
    <mergeCell ref="J32:K32"/>
    <mergeCell ref="J29:K29"/>
    <mergeCell ref="L29:M29"/>
    <mergeCell ref="M36:M37"/>
    <mergeCell ref="G35:H35"/>
    <mergeCell ref="I35:J35"/>
    <mergeCell ref="K35:L35"/>
    <mergeCell ref="I36:J37"/>
    <mergeCell ref="K36:L37"/>
    <mergeCell ref="L31:M31"/>
    <mergeCell ref="L32:M32"/>
    <mergeCell ref="L30:M30"/>
  </mergeCells>
  <dataValidations disablePrompts="1" count="1">
    <dataValidation type="list" allowBlank="1" showInputMessage="1" showErrorMessage="1" sqref="G25" xr:uid="{D89C03E3-F94B-419E-A6E1-02A3B63A84D6}">
      <formula1>"Réinvestissement,Sans réinvestissement"</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9" id="{286676A3-B985-405F-B9B3-716286026C98}">
            <x14:iconSet iconSet="3Triangles">
              <x14:cfvo type="percent">
                <xm:f>0</xm:f>
              </x14:cfvo>
              <x14:cfvo type="num">
                <xm:f>0</xm:f>
              </x14:cfvo>
              <x14:cfvo type="num" gte="0">
                <xm:f>0</xm:f>
              </x14:cfvo>
            </x14:iconSet>
          </x14:cfRule>
          <xm:sqref>I18 I13 J8 J7</xm:sqref>
        </x14:conditionalFormatting>
        <x14:conditionalFormatting xmlns:xm="http://schemas.microsoft.com/office/excel/2006/main">
          <x14:cfRule type="iconSet" priority="1" id="{05E0C538-59DA-468F-8828-85BA6E863AD8}">
            <x14:iconSet iconSet="3Triangles" showValue="0">
              <x14:cfvo type="percent">
                <xm:f>0</xm:f>
              </x14:cfvo>
              <x14:cfvo type="num">
                <xm:f>0</xm:f>
              </x14:cfvo>
              <x14:cfvo type="num">
                <xm:f>1</xm:f>
              </x14:cfvo>
            </x14:iconSet>
          </x14:cfRule>
          <xm:sqref>N4:N9</xm:sqref>
        </x14:conditionalFormatting>
      </x14:conditionalFormattings>
    </ext>
    <ext xmlns:x14="http://schemas.microsoft.com/office/spreadsheetml/2009/9/main" uri="{05C60535-1F16-4fd2-B633-F4F36F0B64E0}">
      <x14:sparklineGroups xmlns:xm="http://schemas.microsoft.com/office/excel/2006/main">
        <x14:sparklineGroup displayEmptyCellsAs="gap" xr2:uid="{98E3A614-81FD-4442-A137-34ACD0D3F780}">
          <x14:colorSeries rgb="FF376092"/>
          <x14:colorNegative rgb="FFD00000"/>
          <x14:colorAxis rgb="FF000000"/>
          <x14:colorMarkers rgb="FFD00000"/>
          <x14:colorFirst rgb="FFD00000"/>
          <x14:colorLast rgb="FFD00000"/>
          <x14:colorHigh rgb="FFD00000"/>
          <x14:colorLow rgb="FFD00000"/>
          <x14:sparklines>
            <x14:sparkline>
              <xm:f>'Tableau de bord - Portefeuille'!G45:IY45</xm:f>
              <xm:sqref>J15</xm:sqref>
            </x14:sparkline>
          </x14:sparklines>
        </x14:sparklineGroup>
        <x14:sparklineGroup displayEmptyCellsAs="gap" xr2:uid="{27777A3C-2E4D-4FB6-9B1E-A653D45DAA26}">
          <x14:colorSeries theme="3"/>
          <x14:colorNegative theme="9"/>
          <x14:colorAxis rgb="FF000000"/>
          <x14:colorMarkers theme="8"/>
          <x14:colorFirst theme="4"/>
          <x14:colorLast theme="5"/>
          <x14:colorHigh theme="6"/>
          <x14:colorLow theme="7"/>
          <x14:sparklines>
            <x14:sparkline>
              <xm:f>'Tableau de bord - Portefeuille'!G44:IU44</xm:f>
              <xm:sqref>J10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B6199-0F44-4515-B551-5B9FE8F9A6F7}">
  <sheetPr codeName="Feuil2">
    <tabColor theme="8" tint="-0.499984740745262"/>
  </sheetPr>
  <dimension ref="B1:DI79"/>
  <sheetViews>
    <sheetView workbookViewId="0">
      <pane xSplit="4" ySplit="5" topLeftCell="CX63" activePane="bottomRight" state="frozen"/>
      <selection pane="topRight" activeCell="F1" sqref="F1"/>
      <selection pane="bottomLeft" activeCell="A6" sqref="A6"/>
      <selection pane="bottomRight" activeCell="DI64" sqref="DI64"/>
    </sheetView>
  </sheetViews>
  <sheetFormatPr baseColWidth="10" defaultColWidth="11.42578125" defaultRowHeight="15" x14ac:dyDescent="0.25"/>
  <cols>
    <col min="1" max="1" width="3.28515625" customWidth="1"/>
    <col min="2" max="2" width="8.85546875" style="12" customWidth="1"/>
    <col min="3" max="3" width="11.42578125" style="12"/>
    <col min="4" max="4" width="56.85546875" bestFit="1" customWidth="1"/>
    <col min="5" max="5" width="9.42578125" style="12" customWidth="1"/>
    <col min="6" max="6" width="23.5703125" bestFit="1" customWidth="1"/>
    <col min="7" max="7" width="18.7109375" bestFit="1" customWidth="1"/>
    <col min="8" max="8" width="18.7109375" customWidth="1"/>
    <col min="9" max="9" width="8.140625" style="12" customWidth="1"/>
    <col min="10" max="10" width="9.28515625" style="12" customWidth="1"/>
    <col min="11" max="11" width="9.5703125" style="12" customWidth="1"/>
    <col min="12" max="12" width="11.85546875" style="12" customWidth="1"/>
    <col min="13" max="13" width="9.5703125" style="12" customWidth="1"/>
    <col min="14" max="17" width="11.42578125" style="12"/>
    <col min="18" max="18" width="11.7109375" style="12" bestFit="1" customWidth="1"/>
    <col min="19" max="19" width="11.42578125" style="12"/>
    <col min="20" max="22" width="12.140625" style="12" customWidth="1"/>
    <col min="23" max="24" width="12.42578125" style="12" customWidth="1"/>
    <col min="25" max="25" width="11.42578125" style="12" customWidth="1"/>
    <col min="26" max="26" width="9.140625" style="12" customWidth="1"/>
    <col min="53" max="53" width="11.42578125" style="38"/>
    <col min="54" max="78" width="10.5703125" style="51" customWidth="1"/>
  </cols>
  <sheetData>
    <row r="1" spans="2:113" ht="22.5" x14ac:dyDescent="0.3">
      <c r="B1" s="102" t="s">
        <v>248</v>
      </c>
      <c r="C1" s="102"/>
      <c r="D1" s="102"/>
      <c r="E1" s="102"/>
      <c r="F1" s="102"/>
      <c r="G1" s="102"/>
      <c r="H1" s="102"/>
      <c r="I1" s="102"/>
      <c r="J1" s="102"/>
      <c r="K1" s="102"/>
      <c r="L1" s="102"/>
      <c r="M1" s="102"/>
      <c r="N1" s="102"/>
      <c r="O1" s="102"/>
      <c r="P1" s="102"/>
      <c r="Q1" s="102"/>
      <c r="R1" s="102"/>
      <c r="S1" s="102"/>
      <c r="T1"/>
      <c r="U1"/>
      <c r="V1"/>
      <c r="W1"/>
      <c r="X1"/>
      <c r="Y1"/>
      <c r="Z1"/>
      <c r="BA1"/>
      <c r="BB1"/>
      <c r="BC1"/>
      <c r="BD1"/>
      <c r="BE1"/>
      <c r="BF1"/>
      <c r="BG1"/>
      <c r="BH1"/>
      <c r="BI1"/>
      <c r="BJ1"/>
      <c r="BK1"/>
      <c r="BL1"/>
      <c r="BM1"/>
      <c r="BN1"/>
      <c r="BO1"/>
      <c r="BP1"/>
      <c r="BQ1"/>
      <c r="BR1"/>
      <c r="BS1"/>
      <c r="BT1"/>
      <c r="BU1"/>
      <c r="BV1"/>
      <c r="BW1"/>
      <c r="BX1"/>
      <c r="BY1"/>
      <c r="BZ1"/>
      <c r="CF1" s="107"/>
    </row>
    <row r="2" spans="2:113" x14ac:dyDescent="0.25">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51"/>
      <c r="BA2" s="51"/>
      <c r="BY2"/>
      <c r="BZ2"/>
    </row>
    <row r="3" spans="2:113" x14ac:dyDescent="0.25">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51"/>
      <c r="BA3" s="51"/>
      <c r="BY3"/>
      <c r="BZ3"/>
    </row>
    <row r="4" spans="2:113" x14ac:dyDescent="0.25">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51"/>
      <c r="BA4" s="51"/>
      <c r="BY4"/>
      <c r="BZ4"/>
    </row>
    <row r="5" spans="2:113" s="8" customFormat="1" ht="60" customHeight="1" x14ac:dyDescent="0.25">
      <c r="B5" s="8" t="s">
        <v>153</v>
      </c>
      <c r="C5" s="8" t="s">
        <v>0</v>
      </c>
      <c r="D5" s="8" t="s">
        <v>8</v>
      </c>
      <c r="E5" s="8" t="s">
        <v>1</v>
      </c>
      <c r="F5" s="8" t="s">
        <v>26</v>
      </c>
      <c r="G5" s="8" t="s">
        <v>156</v>
      </c>
      <c r="H5" s="8" t="s">
        <v>25</v>
      </c>
      <c r="I5" s="8" t="s">
        <v>155</v>
      </c>
      <c r="J5" s="8" t="s">
        <v>130</v>
      </c>
      <c r="K5" s="8" t="s">
        <v>152</v>
      </c>
      <c r="L5" s="8" t="s">
        <v>120</v>
      </c>
      <c r="M5" s="8" t="s">
        <v>151</v>
      </c>
      <c r="N5" s="8" t="s">
        <v>221</v>
      </c>
      <c r="O5" s="8" t="s">
        <v>222</v>
      </c>
      <c r="P5" s="8" t="s">
        <v>121</v>
      </c>
      <c r="Q5" s="8" t="s">
        <v>122</v>
      </c>
      <c r="R5" s="8" t="s">
        <v>118</v>
      </c>
      <c r="S5" s="8" t="s">
        <v>119</v>
      </c>
      <c r="T5" s="8" t="s">
        <v>163</v>
      </c>
      <c r="U5" s="8" t="s">
        <v>164</v>
      </c>
      <c r="V5" s="8" t="s">
        <v>167</v>
      </c>
      <c r="W5" s="8" t="s">
        <v>165</v>
      </c>
      <c r="X5" s="8" t="s">
        <v>260</v>
      </c>
      <c r="Y5" s="8" t="s">
        <v>166</v>
      </c>
      <c r="Z5" s="8" t="s">
        <v>203</v>
      </c>
      <c r="AA5" s="52" t="s">
        <v>204</v>
      </c>
      <c r="AB5" s="98" t="s">
        <v>225</v>
      </c>
      <c r="AC5" s="98" t="s">
        <v>226</v>
      </c>
      <c r="AD5" s="99" t="s">
        <v>227</v>
      </c>
      <c r="AE5" s="99" t="s">
        <v>228</v>
      </c>
      <c r="AF5" s="99" t="s">
        <v>229</v>
      </c>
      <c r="AG5" s="99" t="s">
        <v>230</v>
      </c>
      <c r="AH5" s="99" t="s">
        <v>231</v>
      </c>
      <c r="AI5" s="99" t="s">
        <v>232</v>
      </c>
      <c r="AJ5" s="99" t="s">
        <v>233</v>
      </c>
      <c r="AK5" s="99" t="s">
        <v>234</v>
      </c>
      <c r="AL5" s="99" t="s">
        <v>235</v>
      </c>
      <c r="AM5" s="99" t="s">
        <v>236</v>
      </c>
      <c r="AN5" s="90" t="s">
        <v>214</v>
      </c>
      <c r="AO5" s="90" t="s">
        <v>215</v>
      </c>
      <c r="AP5" s="90" t="s">
        <v>216</v>
      </c>
      <c r="AQ5" s="90" t="s">
        <v>217</v>
      </c>
      <c r="AR5" s="90" t="s">
        <v>218</v>
      </c>
      <c r="AS5" s="90" t="s">
        <v>219</v>
      </c>
      <c r="AT5" s="90" t="s">
        <v>220</v>
      </c>
      <c r="AU5" s="90" t="s">
        <v>213</v>
      </c>
      <c r="AV5" s="90" t="s">
        <v>212</v>
      </c>
      <c r="AW5" s="90" t="s">
        <v>211</v>
      </c>
      <c r="AX5" s="90" t="s">
        <v>210</v>
      </c>
      <c r="AY5" s="90" t="s">
        <v>209</v>
      </c>
      <c r="AZ5" s="52" t="s">
        <v>63</v>
      </c>
      <c r="BA5" s="52" t="s">
        <v>64</v>
      </c>
      <c r="BB5" s="52" t="s">
        <v>65</v>
      </c>
      <c r="BC5" s="52" t="s">
        <v>66</v>
      </c>
      <c r="BD5" s="52" t="s">
        <v>67</v>
      </c>
      <c r="BE5" s="52" t="s">
        <v>68</v>
      </c>
      <c r="BF5" s="52" t="s">
        <v>69</v>
      </c>
      <c r="BG5" s="52" t="s">
        <v>70</v>
      </c>
      <c r="BH5" s="52" t="s">
        <v>71</v>
      </c>
      <c r="BI5" s="52" t="s">
        <v>72</v>
      </c>
      <c r="BJ5" s="52" t="s">
        <v>73</v>
      </c>
      <c r="BK5" s="52" t="s">
        <v>74</v>
      </c>
      <c r="BL5" s="52" t="s">
        <v>45</v>
      </c>
      <c r="BM5" s="52" t="s">
        <v>46</v>
      </c>
      <c r="BN5" s="52" t="s">
        <v>47</v>
      </c>
      <c r="BO5" s="52" t="s">
        <v>48</v>
      </c>
      <c r="BP5" s="52" t="s">
        <v>49</v>
      </c>
      <c r="BQ5" s="52" t="s">
        <v>50</v>
      </c>
      <c r="BR5" s="52" t="s">
        <v>51</v>
      </c>
      <c r="BS5" s="52" t="s">
        <v>52</v>
      </c>
      <c r="BT5" s="52" t="s">
        <v>53</v>
      </c>
      <c r="BU5" s="52" t="s">
        <v>54</v>
      </c>
      <c r="BV5" s="52" t="s">
        <v>55</v>
      </c>
      <c r="BW5" s="52" t="s">
        <v>56</v>
      </c>
      <c r="BX5" s="52" t="s">
        <v>62</v>
      </c>
      <c r="BY5" s="52" t="s">
        <v>240</v>
      </c>
      <c r="BZ5" s="52" t="s">
        <v>245</v>
      </c>
      <c r="CA5" s="52" t="s">
        <v>254</v>
      </c>
      <c r="CB5" s="90" t="s">
        <v>255</v>
      </c>
      <c r="CC5" s="90" t="s">
        <v>256</v>
      </c>
      <c r="CD5" s="90" t="s">
        <v>257</v>
      </c>
      <c r="CE5" s="90" t="s">
        <v>258</v>
      </c>
      <c r="CF5" s="90" t="s">
        <v>259</v>
      </c>
      <c r="CG5" s="90" t="s">
        <v>266</v>
      </c>
      <c r="CH5" s="90" t="s">
        <v>267</v>
      </c>
      <c r="CI5" s="106" t="s">
        <v>268</v>
      </c>
      <c r="CJ5" s="106" t="s">
        <v>275</v>
      </c>
      <c r="CK5" s="106" t="s">
        <v>276</v>
      </c>
      <c r="CL5" s="106" t="s">
        <v>277</v>
      </c>
      <c r="CM5" s="106" t="s">
        <v>278</v>
      </c>
      <c r="CN5" s="106" t="s">
        <v>279</v>
      </c>
      <c r="CO5" s="106" t="s">
        <v>280</v>
      </c>
      <c r="CP5" s="106" t="s">
        <v>281</v>
      </c>
      <c r="CQ5" s="106" t="s">
        <v>284</v>
      </c>
      <c r="CR5" s="106" t="s">
        <v>285</v>
      </c>
      <c r="CS5" s="106" t="s">
        <v>286</v>
      </c>
      <c r="CT5" s="106" t="s">
        <v>287</v>
      </c>
      <c r="CU5" s="106" t="s">
        <v>288</v>
      </c>
      <c r="CV5" s="106" t="s">
        <v>289</v>
      </c>
      <c r="CW5" s="106" t="s">
        <v>290</v>
      </c>
      <c r="CX5" s="106" t="s">
        <v>291</v>
      </c>
      <c r="CY5" s="106" t="s">
        <v>292</v>
      </c>
      <c r="CZ5" s="106" t="s">
        <v>293</v>
      </c>
      <c r="DA5" s="106" t="s">
        <v>294</v>
      </c>
      <c r="DB5" s="106" t="s">
        <v>295</v>
      </c>
      <c r="DC5" s="106" t="s">
        <v>296</v>
      </c>
      <c r="DD5" s="106" t="s">
        <v>297</v>
      </c>
      <c r="DE5" s="106" t="s">
        <v>300</v>
      </c>
      <c r="DF5" s="106" t="s">
        <v>301</v>
      </c>
      <c r="DG5" s="106" t="s">
        <v>303</v>
      </c>
      <c r="DH5" s="112" t="s">
        <v>304</v>
      </c>
      <c r="DI5" s="112" t="s">
        <v>307</v>
      </c>
    </row>
    <row r="6" spans="2:113" x14ac:dyDescent="0.25">
      <c r="B6" s="12" t="str">
        <f t="shared" ref="B6" si="0">IF(C6="","",_xlfn.XLOOKUP(C6,Type_Compte,Num_Compte))</f>
        <v>20K6HU7</v>
      </c>
      <c r="C6" s="12" t="s">
        <v>162</v>
      </c>
      <c r="D6" t="e" vm="508">
        <v>#VALUE!</v>
      </c>
      <c r="E6" s="12" t="str" cm="1">
        <f t="array" aca="1" ref="E6" ca="1">_FV(Titres[[#This Row],[Action]],"Code mnémonique",TRUE)</f>
        <v>MMM</v>
      </c>
      <c r="F6" t="str" cm="1">
        <f t="array" aca="1" ref="F6" ca="1">_FV(D6,"Change")</f>
        <v>New York Stock Exchange</v>
      </c>
      <c r="G6" t="str" cm="1">
        <f t="array" aca="1" ref="G6" ca="1">IFERROR(_FV(Titres[[#This Row],[Action]],"Industrie"),"")</f>
        <v>Consumer Goods Conglomerates</v>
      </c>
      <c r="H6" t="s">
        <v>206</v>
      </c>
      <c r="I6" s="12" t="str" cm="1">
        <f t="array" aca="1" ref="I6" ca="1">_FV(D6,"Devise")</f>
        <v>USD</v>
      </c>
      <c r="J6" s="28">
        <v>30</v>
      </c>
      <c r="K6" s="41">
        <v>89.96</v>
      </c>
      <c r="L6" s="41">
        <f t="shared" ref="L6" si="1">J6*K6</f>
        <v>2698.7999999999997</v>
      </c>
      <c r="M6" s="41" cm="1">
        <f t="array" aca="1" ref="M6" ca="1">_FV(D6,"Prix")</f>
        <v>148.47999999999999</v>
      </c>
      <c r="N6" s="49">
        <f t="shared" ref="N6" ca="1" si="2">J6*M6</f>
        <v>4454.3999999999996</v>
      </c>
      <c r="O6" s="49">
        <f ca="1">IF(Titres[[#This Row],[Devise]]="CAD",Titres[[#This Row],[Valeur au marché
($ local)]],Titres[[#This Row],[Valeur au marché
($ local)]]*Ressources!$I$3)</f>
        <v>6084.7103999999999</v>
      </c>
      <c r="P6" s="49" cm="1">
        <f t="array" aca="1" ref="P6" ca="1">(Titres[[#This Row],[Prix actuel]]-_FV(Titres[[#This Row],[Action]],"Clôture précédente",TRUE))*Titres[[#This Row],[Nb d''actions]]</f>
        <v>-87.600000000000477</v>
      </c>
      <c r="Q6" s="22">
        <f ca="1">Titres[[#This Row],[Variation du jour ($)]]/(Titres[[#This Row],[Valeur au marché
($ local)]]-Titres[[#This Row],[Variation du jour ($)]])</f>
        <v>-1.9286657859973685E-2</v>
      </c>
      <c r="R6" s="76">
        <f ca="1">Titres[[#This Row],[Valeur au marché
($ local)]]-Titres[[#This Row],[Coût total]]</f>
        <v>1755.6</v>
      </c>
      <c r="S6" s="22">
        <f ca="1">Titres[[#This Row],[Gain non réalisé ($)]]/Titres[[#This Row],[Coût total]]</f>
        <v>0.6505113383726101</v>
      </c>
      <c r="T6" s="50">
        <v>0.78</v>
      </c>
      <c r="U6" s="41">
        <f>4*Titres[[#This Row],[Dividende trimestriel]]</f>
        <v>3.12</v>
      </c>
      <c r="V6" s="41">
        <f>Titres[[#This Row],[Dividende annuel]]*Titres[[#This Row],[Nb d''actions]]</f>
        <v>93.600000000000009</v>
      </c>
      <c r="W6" s="25">
        <f ca="1">Titres[[#This Row],[Dividende annuel]]/Titres[[#This Row],[Prix actuel]]</f>
        <v>2.1012931034482762E-2</v>
      </c>
      <c r="X6" s="49">
        <f>Titres[[#This Row],[Dividende annuel]]/Titres[[#This Row],[Coût moyen]]</f>
        <v>3.4682080924855495E-2</v>
      </c>
      <c r="Y6" s="12">
        <v>64</v>
      </c>
      <c r="Z6" s="40">
        <f ca="1">(((Titres[[#This Row],[Valeur au marché
($ local)]]-Titres[[#This Row],[Coût total]])+Titres[[#This Row],[Total - dividendes reçus]])/Titres[[#This Row],[Coût total]])</f>
        <v>0.69979991107158745</v>
      </c>
      <c r="AA6" s="38">
        <f>SUM(Titres[[#This Row],[Janvier 2019]:[Août 2024]])</f>
        <v>133.01999999999998</v>
      </c>
      <c r="AB6" s="38"/>
      <c r="AC6" s="38"/>
      <c r="AD6" s="38"/>
      <c r="AE6" s="38"/>
      <c r="AF6" s="38"/>
      <c r="AG6" s="38"/>
      <c r="AH6" s="38"/>
      <c r="AI6" s="38"/>
      <c r="AJ6" s="38"/>
      <c r="AK6" s="38"/>
      <c r="AL6" s="38"/>
      <c r="AM6" s="38"/>
      <c r="AN6" s="38"/>
      <c r="AO6" s="38"/>
      <c r="AP6" s="38"/>
      <c r="AQ6" s="38"/>
      <c r="AR6" s="38"/>
      <c r="AS6" s="38"/>
      <c r="AT6" s="38"/>
      <c r="AU6" s="38"/>
      <c r="AV6" s="38"/>
      <c r="AW6" s="38"/>
      <c r="AX6" s="38"/>
      <c r="AY6" s="38"/>
      <c r="AZ6" s="51"/>
      <c r="BA6" s="51"/>
      <c r="CA6" s="51"/>
      <c r="CB6" s="51"/>
      <c r="CC6" s="51"/>
      <c r="CD6" s="51"/>
      <c r="CE6" s="51">
        <f>25.55-3.83</f>
        <v>21.72</v>
      </c>
      <c r="CF6" s="51"/>
      <c r="CG6" s="51"/>
      <c r="CH6" s="51"/>
      <c r="CI6" s="51">
        <v>45</v>
      </c>
      <c r="CJ6" s="51"/>
      <c r="CK6" s="51"/>
      <c r="CL6" s="51">
        <v>45.3</v>
      </c>
      <c r="CM6" s="51"/>
      <c r="CN6" s="51"/>
      <c r="CO6" s="51">
        <v>21</v>
      </c>
      <c r="CP6" s="51"/>
      <c r="CQ6" s="51"/>
      <c r="CR6" s="51">
        <v>21</v>
      </c>
      <c r="CS6" s="51"/>
      <c r="CT6" s="51"/>
      <c r="CU6" s="51">
        <v>21</v>
      </c>
      <c r="CV6" s="51"/>
      <c r="CW6" s="51"/>
      <c r="CX6" s="51">
        <v>21.9</v>
      </c>
      <c r="CY6" s="51"/>
      <c r="CZ6" s="51"/>
      <c r="DA6" s="51">
        <v>21.9</v>
      </c>
      <c r="DB6" s="51"/>
      <c r="DC6" s="51"/>
      <c r="DD6" s="51">
        <v>21.9</v>
      </c>
      <c r="DE6" s="51"/>
      <c r="DF6" s="51"/>
      <c r="DG6" s="51">
        <v>21.9</v>
      </c>
      <c r="DH6" s="51"/>
      <c r="DI6" s="51"/>
    </row>
    <row r="7" spans="2:113" x14ac:dyDescent="0.25">
      <c r="B7" s="12" t="str">
        <f t="shared" ref="B7:B38" si="3">IF(C7="","",_xlfn.XLOOKUP(C7,Type_Compte,Num_Compte))</f>
        <v>20K6HZ6</v>
      </c>
      <c r="C7" s="12" t="s">
        <v>160</v>
      </c>
      <c r="D7" t="e" vm="509">
        <v>#VALUE!</v>
      </c>
      <c r="E7" s="12" t="str" cm="1">
        <f t="array" aca="1" ref="E7" ca="1">_FV(Titres[[#This Row],[Action]],"Code mnémonique",TRUE)</f>
        <v>AQN</v>
      </c>
      <c r="F7" t="str" cm="1">
        <f t="array" aca="1" ref="F7" ca="1">_FV(D7,"Change")</f>
        <v>Toronto Stock Exchange</v>
      </c>
      <c r="G7" t="str" cm="1">
        <f t="array" aca="1" ref="G7" ca="1">IFERROR(_FV(Titres[[#This Row],[Action]],"Industrie"),"")</f>
        <v>Multiline Utilities</v>
      </c>
      <c r="H7" t="s">
        <v>205</v>
      </c>
      <c r="I7" s="12" t="str" cm="1">
        <f t="array" aca="1" ref="I7" ca="1">_FV(D7,"Devise")</f>
        <v>CAD</v>
      </c>
      <c r="J7" s="28">
        <v>400</v>
      </c>
      <c r="K7" s="41">
        <v>11.48</v>
      </c>
      <c r="L7" s="41">
        <f t="shared" ref="L7:L38" si="4">J7*K7</f>
        <v>4592</v>
      </c>
      <c r="M7" s="41" cm="1">
        <f t="array" aca="1" ref="M7" ca="1">_FV(D7,"Prix")</f>
        <v>8.5</v>
      </c>
      <c r="N7" s="49">
        <f t="shared" ref="N7:N38" ca="1" si="5">J7*M7</f>
        <v>3400</v>
      </c>
      <c r="O7" s="49">
        <f ca="1">IF(Titres[[#This Row],[Devise]]="CAD",Titres[[#This Row],[Valeur au marché
($ local)]],Titres[[#This Row],[Valeur au marché
($ local)]]*Ressources!$I$3)</f>
        <v>3400</v>
      </c>
      <c r="P7" s="49" cm="1">
        <f t="array" aca="1" ref="P7" ca="1">(Titres[[#This Row],[Prix actuel]]-_FV(Titres[[#This Row],[Action]],"Clôture précédente",TRUE))*Titres[[#This Row],[Nb d''actions]]</f>
        <v>-47.999999999999687</v>
      </c>
      <c r="Q7" s="22">
        <f ca="1">Titres[[#This Row],[Variation du jour ($)]]/(Titres[[#This Row],[Valeur au marché
($ local)]]-Titres[[#This Row],[Variation du jour ($)]])</f>
        <v>-1.3921113689095039E-2</v>
      </c>
      <c r="R7" s="41">
        <f ca="1">Titres[[#This Row],[Valeur au marché
($ local)]]-Titres[[#This Row],[Coût total]]</f>
        <v>-1192</v>
      </c>
      <c r="S7" s="22">
        <f ca="1">Titres[[#This Row],[Gain non réalisé ($)]]/Titres[[#This Row],[Coût total]]</f>
        <v>-0.25958188153310102</v>
      </c>
      <c r="T7" s="50">
        <v>9.1999999999999998E-2</v>
      </c>
      <c r="U7" s="41">
        <f>4*Titres[[#This Row],[Dividende trimestriel]]</f>
        <v>0.36799999999999999</v>
      </c>
      <c r="V7" s="41">
        <f>Titres[[#This Row],[Dividende annuel]]*Titres[[#This Row],[Nb d''actions]]</f>
        <v>147.19999999999999</v>
      </c>
      <c r="W7" s="25">
        <f ca="1">Titres[[#This Row],[Dividende annuel]]/Titres[[#This Row],[Prix actuel]]</f>
        <v>4.3294117647058823E-2</v>
      </c>
      <c r="X7" s="49">
        <f>Titres[[#This Row],[Dividende annuel]]/Titres[[#This Row],[Coût moyen]]</f>
        <v>3.2055749128919862E-2</v>
      </c>
      <c r="Y7" s="12">
        <v>10</v>
      </c>
      <c r="Z7" s="40">
        <f ca="1">(((Titres[[#This Row],[Valeur au marché
($ local)]]-Titres[[#This Row],[Coût total]])+Titres[[#This Row],[Total - dividendes reçus]])/Titres[[#This Row],[Coût total]])</f>
        <v>-8.0060975609756099E-2</v>
      </c>
      <c r="AA7" s="38">
        <f>SUM(Titres[[#This Row],[Janvier 2019]:[Août 2024]])</f>
        <v>824.36</v>
      </c>
      <c r="AB7" s="38"/>
      <c r="AC7" s="38"/>
      <c r="AD7" s="38"/>
      <c r="AE7" s="38"/>
      <c r="AF7" s="38"/>
      <c r="AG7" s="38"/>
      <c r="AH7" s="38">
        <v>34.380000000000003</v>
      </c>
      <c r="AI7" s="38"/>
      <c r="AJ7" s="38"/>
      <c r="AK7" s="38">
        <v>35.69</v>
      </c>
      <c r="AL7" s="38"/>
      <c r="AM7" s="38"/>
      <c r="AN7" s="38">
        <v>35.31</v>
      </c>
      <c r="AO7" s="38"/>
      <c r="AP7" s="38"/>
      <c r="AQ7" s="38">
        <v>35.65</v>
      </c>
      <c r="AR7" s="38"/>
      <c r="AS7" s="38"/>
      <c r="AT7" s="38">
        <v>41.62</v>
      </c>
      <c r="AU7" s="38"/>
      <c r="AV7" s="38"/>
      <c r="AW7" s="38">
        <v>39.06</v>
      </c>
      <c r="AX7" s="38"/>
      <c r="AY7" s="38"/>
      <c r="AZ7" s="51">
        <v>38.36</v>
      </c>
      <c r="BA7" s="51"/>
      <c r="BC7" s="51">
        <v>37.22</v>
      </c>
      <c r="BF7" s="51">
        <v>39.78</v>
      </c>
      <c r="BI7" s="51">
        <v>40.54</v>
      </c>
      <c r="BL7" s="51">
        <v>40.36</v>
      </c>
      <c r="BO7" s="51">
        <v>41.06</v>
      </c>
      <c r="BR7" s="51">
        <v>44.56</v>
      </c>
      <c r="BU7" s="51">
        <v>43.93</v>
      </c>
      <c r="BX7" s="51">
        <v>46.31</v>
      </c>
      <c r="CA7" s="51">
        <v>28.4</v>
      </c>
      <c r="CB7" s="51"/>
      <c r="CC7" s="51"/>
      <c r="CD7" s="51">
        <v>27.6</v>
      </c>
      <c r="CE7" s="51"/>
      <c r="CF7" s="51"/>
      <c r="CG7" s="51">
        <v>27.74</v>
      </c>
      <c r="CH7" s="51"/>
      <c r="CI7" s="51"/>
      <c r="CJ7" s="51">
        <v>28.44</v>
      </c>
      <c r="CK7" s="51"/>
      <c r="CL7" s="51"/>
      <c r="CM7" s="51">
        <v>58.74</v>
      </c>
      <c r="CN7" s="51"/>
      <c r="CO7" s="51"/>
      <c r="CP7" s="51">
        <v>59.61</v>
      </c>
      <c r="CQ7" s="51"/>
      <c r="CR7" s="51"/>
      <c r="CS7" s="51">
        <v>35.72</v>
      </c>
      <c r="CT7" s="51"/>
      <c r="CU7" s="51"/>
      <c r="CV7" s="51">
        <v>36.020000000000003</v>
      </c>
      <c r="CW7" s="51"/>
      <c r="CX7" s="51"/>
      <c r="CY7" s="51">
        <v>37.36</v>
      </c>
      <c r="CZ7" s="51"/>
      <c r="DA7" s="51"/>
      <c r="DB7" s="51">
        <v>35.869999999999997</v>
      </c>
      <c r="DC7" s="51"/>
      <c r="DD7" s="51"/>
      <c r="DE7" s="51">
        <v>35.74</v>
      </c>
      <c r="DF7" s="51"/>
      <c r="DG7" s="51"/>
      <c r="DH7" s="51">
        <v>36.71</v>
      </c>
      <c r="DI7" s="51"/>
    </row>
    <row r="8" spans="2:113" x14ac:dyDescent="0.25">
      <c r="B8" s="12" t="str">
        <f t="shared" si="3"/>
        <v>20K6HZ6</v>
      </c>
      <c r="C8" s="12" t="s">
        <v>160</v>
      </c>
      <c r="D8" t="e" vm="510">
        <v>#VALUE!</v>
      </c>
      <c r="E8" s="12" t="str" cm="1">
        <f t="array" aca="1" ref="E8" ca="1">_FV(Titres[[#This Row],[Action]],"Code mnémonique",TRUE)</f>
        <v>ALA</v>
      </c>
      <c r="F8" t="str" cm="1">
        <f t="array" aca="1" ref="F8" ca="1">_FV(D8,"Change")</f>
        <v>Toronto Stock Exchange</v>
      </c>
      <c r="G8" t="str" cm="1">
        <f t="array" aca="1" ref="G8" ca="1">IFERROR(_FV(Titres[[#This Row],[Action]],"Industrie"),"")</f>
        <v>Natural Gas Utilities</v>
      </c>
      <c r="H8" t="s">
        <v>205</v>
      </c>
      <c r="I8" s="12" t="str" cm="1">
        <f t="array" aca="1" ref="I8" ca="1">_FV(D8,"Devise")</f>
        <v>CAD</v>
      </c>
      <c r="J8" s="28">
        <v>90</v>
      </c>
      <c r="K8" s="41">
        <v>29.14</v>
      </c>
      <c r="L8" s="41">
        <f t="shared" si="4"/>
        <v>2622.6</v>
      </c>
      <c r="M8" s="41" cm="1">
        <f t="array" aca="1" ref="M8" ca="1">_FV(D8,"Prix")</f>
        <v>48.82</v>
      </c>
      <c r="N8" s="49">
        <f t="shared" ca="1" si="5"/>
        <v>4393.8</v>
      </c>
      <c r="O8" s="49">
        <f ca="1">IF(Titres[[#This Row],[Devise]]="CAD",Titres[[#This Row],[Valeur au marché
($ local)]],Titres[[#This Row],[Valeur au marché
($ local)]]*Ressources!$I$3)</f>
        <v>4393.8</v>
      </c>
      <c r="P8" s="49" cm="1">
        <f t="array" aca="1" ref="P8" ca="1">(Titres[[#This Row],[Prix actuel]]-_FV(Titres[[#This Row],[Action]],"Clôture précédente",TRUE))*Titres[[#This Row],[Nb d''actions]]</f>
        <v>-37.800000000000153</v>
      </c>
      <c r="Q8" s="22">
        <f ca="1">Titres[[#This Row],[Variation du jour ($)]]/(Titres[[#This Row],[Valeur au marché
($ local)]]-Titres[[#This Row],[Variation du jour ($)]])</f>
        <v>-8.5296506904955667E-3</v>
      </c>
      <c r="R8" s="41">
        <f ca="1">Titres[[#This Row],[Valeur au marché
($ local)]]-Titres[[#This Row],[Coût total]]</f>
        <v>1771.2000000000003</v>
      </c>
      <c r="S8" s="22">
        <f ca="1">Titres[[#This Row],[Gain non réalisé ($)]]/Titres[[#This Row],[Coût total]]</f>
        <v>0.67536032944406332</v>
      </c>
      <c r="T8" s="50">
        <v>0.33400000000000002</v>
      </c>
      <c r="U8" s="41">
        <f>4*Titres[[#This Row],[Dividende trimestriel]]</f>
        <v>1.3360000000000001</v>
      </c>
      <c r="V8" s="41">
        <f>Titres[[#This Row],[Dividende annuel]]*Titres[[#This Row],[Nb d''actions]]</f>
        <v>120.24000000000001</v>
      </c>
      <c r="W8" s="25">
        <f ca="1">Titres[[#This Row],[Dividende annuel]]/Titres[[#This Row],[Prix actuel]]</f>
        <v>2.7365833674723474E-2</v>
      </c>
      <c r="X8" s="49">
        <f>Titres[[#This Row],[Dividende annuel]]/Titres[[#This Row],[Coût moyen]]</f>
        <v>4.5847632120796157E-2</v>
      </c>
      <c r="Y8" s="12">
        <v>0</v>
      </c>
      <c r="Z8" s="40">
        <f ca="1">(((Titres[[#This Row],[Valeur au marché
($ local)]]-Titres[[#This Row],[Coût total]])+Titres[[#This Row],[Total - dividendes reçus]])/Titres[[#This Row],[Coût total]])</f>
        <v>0.86405094181346775</v>
      </c>
      <c r="AA8" s="38">
        <f>SUM(Titres[[#This Row],[Janvier 2019]:[Août 2024]])</f>
        <v>494.86</v>
      </c>
      <c r="AB8" s="38">
        <v>7.2</v>
      </c>
      <c r="AC8" s="38">
        <v>7.2</v>
      </c>
      <c r="AD8" s="38">
        <v>7.2</v>
      </c>
      <c r="AE8" s="38">
        <v>7.2</v>
      </c>
      <c r="AF8" s="38">
        <v>7.2</v>
      </c>
      <c r="AG8" s="38">
        <v>7.2</v>
      </c>
      <c r="AH8" s="38">
        <v>7.2</v>
      </c>
      <c r="AI8" s="38">
        <v>7.2</v>
      </c>
      <c r="AJ8" s="38">
        <v>7.2</v>
      </c>
      <c r="AK8" s="38">
        <v>7.2</v>
      </c>
      <c r="AL8" s="38">
        <v>7.2</v>
      </c>
      <c r="AM8" s="38">
        <v>7.2</v>
      </c>
      <c r="AN8" s="38">
        <v>7.2</v>
      </c>
      <c r="AO8" s="38">
        <v>7.2</v>
      </c>
      <c r="AP8" s="38">
        <v>7.2</v>
      </c>
      <c r="AQ8" s="38">
        <v>7.2</v>
      </c>
      <c r="AR8" s="38">
        <v>7.2</v>
      </c>
      <c r="AS8" s="38">
        <v>7.2</v>
      </c>
      <c r="AT8" s="38">
        <v>7.2</v>
      </c>
      <c r="AU8" s="38">
        <v>7.2</v>
      </c>
      <c r="AV8" s="38">
        <v>7.2</v>
      </c>
      <c r="AW8" s="38">
        <v>7.2</v>
      </c>
      <c r="AX8" s="38">
        <v>7.2</v>
      </c>
      <c r="AY8" s="38">
        <v>7.2</v>
      </c>
      <c r="AZ8" s="51">
        <v>7.5</v>
      </c>
      <c r="BA8" s="51">
        <v>7.5</v>
      </c>
      <c r="BB8" s="51">
        <v>7.5</v>
      </c>
      <c r="BC8" s="51">
        <v>7.5</v>
      </c>
      <c r="BD8" s="51">
        <v>7.5</v>
      </c>
      <c r="BE8" s="51">
        <v>7.5</v>
      </c>
      <c r="BF8" s="51">
        <v>7.5</v>
      </c>
      <c r="BG8" s="51">
        <v>7.5</v>
      </c>
      <c r="BH8" s="51">
        <v>7.5</v>
      </c>
      <c r="BI8" s="51">
        <v>7.5</v>
      </c>
      <c r="BJ8" s="51">
        <v>7.5</v>
      </c>
      <c r="BK8" s="51">
        <v>15</v>
      </c>
      <c r="BN8" s="51">
        <v>23.85</v>
      </c>
      <c r="BQ8" s="51">
        <v>23.85</v>
      </c>
      <c r="BT8" s="51">
        <v>23.85</v>
      </c>
      <c r="BW8" s="51">
        <v>23.85</v>
      </c>
      <c r="CA8" s="51"/>
      <c r="CB8" s="51"/>
      <c r="CC8" s="51">
        <v>25.2</v>
      </c>
      <c r="CD8" s="51"/>
      <c r="CE8" s="51"/>
      <c r="CF8" s="51">
        <v>25.2</v>
      </c>
      <c r="CG8" s="51"/>
      <c r="CH8" s="51"/>
      <c r="CI8" s="51">
        <v>25.2</v>
      </c>
      <c r="CJ8" s="51"/>
      <c r="CK8" s="51"/>
      <c r="CL8" s="51">
        <v>26.78</v>
      </c>
      <c r="CM8" s="51"/>
      <c r="CN8" s="51"/>
      <c r="CO8" s="51"/>
      <c r="CP8" s="51">
        <v>26.78</v>
      </c>
      <c r="CQ8" s="51"/>
      <c r="CR8" s="51">
        <v>26.78</v>
      </c>
      <c r="CS8" s="51"/>
      <c r="CT8" s="51"/>
      <c r="CU8" s="51">
        <v>26.78</v>
      </c>
      <c r="CV8" s="51"/>
      <c r="CW8" s="51"/>
      <c r="CX8" s="51">
        <v>28.35</v>
      </c>
      <c r="CY8" s="51"/>
      <c r="CZ8" s="51"/>
      <c r="DA8" s="51">
        <v>28.35</v>
      </c>
      <c r="DB8" s="51"/>
      <c r="DC8" s="51"/>
      <c r="DD8" s="51">
        <v>28.35</v>
      </c>
      <c r="DE8" s="51"/>
      <c r="DF8" s="51"/>
      <c r="DG8" s="51">
        <v>28.35</v>
      </c>
      <c r="DH8" s="51"/>
      <c r="DI8" s="51"/>
    </row>
    <row r="9" spans="2:113" x14ac:dyDescent="0.25">
      <c r="B9" s="12" t="str">
        <f t="shared" si="3"/>
        <v>20K6HU7</v>
      </c>
      <c r="C9" s="12" t="s">
        <v>162</v>
      </c>
      <c r="D9" t="e" vm="511">
        <v>#VALUE!</v>
      </c>
      <c r="E9" s="12" t="str" cm="1">
        <f t="array" aca="1" ref="E9" ca="1">_FV(Titres[[#This Row],[Action]],"Code mnémonique",TRUE)</f>
        <v>MO</v>
      </c>
      <c r="F9" t="str" cm="1">
        <f t="array" aca="1" ref="F9" ca="1">_FV(D9,"Change")</f>
        <v>New York Stock Exchange</v>
      </c>
      <c r="G9" t="str" cm="1">
        <f t="array" aca="1" ref="G9" ca="1">IFERROR(_FV(Titres[[#This Row],[Action]],"Industrie"),"")</f>
        <v>Food &amp; Tobacco</v>
      </c>
      <c r="H9" t="s">
        <v>206</v>
      </c>
      <c r="I9" s="12" t="str" cm="1">
        <f t="array" aca="1" ref="I9" ca="1">_FV(D9,"Devise")</f>
        <v>USD</v>
      </c>
      <c r="J9" s="28">
        <v>65</v>
      </c>
      <c r="K9" s="41">
        <v>50.26</v>
      </c>
      <c r="L9" s="41">
        <f t="shared" si="4"/>
        <v>3266.9</v>
      </c>
      <c r="M9" s="41" cm="1">
        <f t="array" aca="1" ref="M9" ca="1">_FV(D9,"Prix")</f>
        <v>64.67</v>
      </c>
      <c r="N9" s="49">
        <f t="shared" ca="1" si="5"/>
        <v>4203.55</v>
      </c>
      <c r="O9" s="49">
        <f ca="1">IF(Titres[[#This Row],[Devise]]="CAD",Titres[[#This Row],[Valeur au marché
($ local)]],Titres[[#This Row],[Valeur au marché
($ local)]]*Ressources!$I$3)</f>
        <v>5742.0493000000006</v>
      </c>
      <c r="P9" s="49" cm="1">
        <f t="array" aca="1" ref="P9" ca="1">(Titres[[#This Row],[Prix actuel]]-_FV(Titres[[#This Row],[Action]],"Clôture précédente",TRUE))*Titres[[#This Row],[Nb d''actions]]</f>
        <v>3.9000000000001478</v>
      </c>
      <c r="Q9" s="22">
        <f ca="1">Titres[[#This Row],[Variation du jour ($)]]/(Titres[[#This Row],[Valeur au marché
($ local)]]-Titres[[#This Row],[Variation du jour ($)]])</f>
        <v>9.2864881597279488E-4</v>
      </c>
      <c r="R9" s="41">
        <f ca="1">Titres[[#This Row],[Valeur au marché
($ local)]]-Titres[[#This Row],[Coût total]]</f>
        <v>936.65000000000009</v>
      </c>
      <c r="S9" s="22">
        <f ca="1">Titres[[#This Row],[Gain non réalisé ($)]]/Titres[[#This Row],[Coût total]]</f>
        <v>0.28670911261440513</v>
      </c>
      <c r="T9" s="50">
        <v>1.06</v>
      </c>
      <c r="U9" s="41">
        <f>4*Titres[[#This Row],[Dividende trimestriel]]</f>
        <v>4.24</v>
      </c>
      <c r="V9" s="41">
        <f>Titres[[#This Row],[Dividende annuel]]*Titres[[#This Row],[Nb d''actions]]</f>
        <v>275.60000000000002</v>
      </c>
      <c r="W9" s="25">
        <f ca="1">Titres[[#This Row],[Dividende annuel]]/Titres[[#This Row],[Prix actuel]]</f>
        <v>6.5563630740683471E-2</v>
      </c>
      <c r="X9" s="49">
        <f>Titres[[#This Row],[Dividende annuel]]/Titres[[#This Row],[Coût moyen]]</f>
        <v>8.436132113012336E-2</v>
      </c>
      <c r="Y9" s="12">
        <v>53</v>
      </c>
      <c r="Z9" s="40">
        <f ca="1">(((Titres[[#This Row],[Valeur au marché
($ local)]]-Titres[[#This Row],[Coût total]])+Titres[[#This Row],[Total - dividendes reçus]])/Titres[[#This Row],[Coût total]])</f>
        <v>0.61301233585356152</v>
      </c>
      <c r="AA9" s="38">
        <f>SUM(Titres[[#This Row],[Janvier 2019]:[Août 2024]])</f>
        <v>1066.0000000000002</v>
      </c>
      <c r="AB9" s="38"/>
      <c r="AC9" s="38"/>
      <c r="AD9" s="38"/>
      <c r="AE9" s="38"/>
      <c r="AF9" s="38"/>
      <c r="AG9" s="38"/>
      <c r="AH9" s="38"/>
      <c r="AI9" s="38"/>
      <c r="AJ9" s="38"/>
      <c r="AK9" s="38"/>
      <c r="AL9" s="38"/>
      <c r="AM9" s="38"/>
      <c r="AN9" s="38"/>
      <c r="AO9" s="38"/>
      <c r="AP9" s="38"/>
      <c r="AQ9" s="38">
        <v>54.6</v>
      </c>
      <c r="AR9" s="38"/>
      <c r="AS9" s="38"/>
      <c r="AT9" s="38">
        <v>54.6</v>
      </c>
      <c r="AU9" s="38"/>
      <c r="AV9" s="38"/>
      <c r="AW9" s="38">
        <v>55.9</v>
      </c>
      <c r="AX9" s="38"/>
      <c r="AY9" s="38"/>
      <c r="AZ9" s="51">
        <v>55.9</v>
      </c>
      <c r="BA9" s="51"/>
      <c r="BC9" s="51">
        <v>55.9</v>
      </c>
      <c r="BF9" s="51">
        <v>55.9</v>
      </c>
      <c r="BI9" s="51">
        <v>58.5</v>
      </c>
      <c r="BL9" s="51">
        <v>58.5</v>
      </c>
      <c r="BO9" s="51">
        <v>58.5</v>
      </c>
      <c r="BR9" s="51">
        <v>58.5</v>
      </c>
      <c r="BU9" s="51">
        <v>61.1</v>
      </c>
      <c r="BX9" s="51">
        <v>61.1</v>
      </c>
      <c r="CA9" s="51">
        <v>61.1</v>
      </c>
      <c r="CB9" s="51"/>
      <c r="CC9" s="51"/>
      <c r="CD9" s="51">
        <v>61.1</v>
      </c>
      <c r="CE9" s="51"/>
      <c r="CF9" s="51"/>
      <c r="CG9" s="51">
        <v>63.7</v>
      </c>
      <c r="CH9" s="51"/>
      <c r="CI9" s="51"/>
      <c r="CJ9" s="51">
        <v>63.7</v>
      </c>
      <c r="CK9" s="51"/>
      <c r="CL9" s="51"/>
      <c r="CM9" s="51">
        <v>63.7</v>
      </c>
      <c r="CN9" s="51"/>
      <c r="CO9" s="51"/>
      <c r="CP9" s="51">
        <v>63.7</v>
      </c>
      <c r="CQ9" s="51"/>
      <c r="CR9" s="51"/>
      <c r="CS9" s="51">
        <v>66.3</v>
      </c>
      <c r="CT9" s="51"/>
      <c r="CU9" s="51"/>
      <c r="CV9" s="51">
        <v>66.3</v>
      </c>
      <c r="CW9" s="51"/>
      <c r="CX9" s="51"/>
      <c r="CY9" s="51">
        <v>66.3</v>
      </c>
      <c r="CZ9" s="51"/>
      <c r="DA9" s="51"/>
      <c r="DB9" s="51">
        <v>66.3</v>
      </c>
      <c r="DC9" s="51"/>
      <c r="DD9" s="51"/>
      <c r="DE9" s="51">
        <v>68.900000000000006</v>
      </c>
      <c r="DF9" s="51"/>
      <c r="DG9" s="51"/>
      <c r="DH9" s="51">
        <v>68.900000000000006</v>
      </c>
      <c r="DI9" s="51"/>
    </row>
    <row r="10" spans="2:113" x14ac:dyDescent="0.25">
      <c r="B10" s="12" t="str">
        <f t="shared" si="3"/>
        <v>20K6HU7</v>
      </c>
      <c r="C10" s="12" t="s">
        <v>162</v>
      </c>
      <c r="D10" t="e" vm="512">
        <v>#VALUE!</v>
      </c>
      <c r="E10" s="12" t="str" cm="1">
        <f t="array" aca="1" ref="E10" ca="1">_FV(Titres[[#This Row],[Action]],"Code mnémonique",TRUE)</f>
        <v>T</v>
      </c>
      <c r="F10" t="str" cm="1">
        <f t="array" aca="1" ref="F10" ca="1">_FV(D10,"Change")</f>
        <v>New York Stock Exchange</v>
      </c>
      <c r="G10" t="str" cm="1">
        <f t="array" aca="1" ref="G10" ca="1">IFERROR(_FV(Titres[[#This Row],[Action]],"Industrie"),"")</f>
        <v>Telecommunications Services</v>
      </c>
      <c r="H10" t="s">
        <v>206</v>
      </c>
      <c r="I10" s="12" t="str" cm="1">
        <f t="array" aca="1" ref="I10" ca="1">_FV(D10,"Devise")</f>
        <v>USD</v>
      </c>
      <c r="J10" s="28">
        <v>124</v>
      </c>
      <c r="K10" s="41">
        <v>24.44</v>
      </c>
      <c r="L10" s="41">
        <f t="shared" si="4"/>
        <v>3030.56</v>
      </c>
      <c r="M10" s="41" cm="1">
        <f t="array" aca="1" ref="M10" ca="1">_FV(D10,"Prix")</f>
        <v>25.88</v>
      </c>
      <c r="N10" s="49">
        <f t="shared" ca="1" si="5"/>
        <v>3209.12</v>
      </c>
      <c r="O10" s="49">
        <f ca="1">IF(Titres[[#This Row],[Devise]]="CAD",Titres[[#This Row],[Valeur au marché
($ local)]],Titres[[#This Row],[Valeur au marché
($ local)]]*Ressources!$I$3)</f>
        <v>4383.6579200000006</v>
      </c>
      <c r="P10" s="49" cm="1">
        <f t="array" aca="1" ref="P10" ca="1">(Titres[[#This Row],[Prix actuel]]-_FV(Titres[[#This Row],[Action]],"Clôture précédente",TRUE))*Titres[[#This Row],[Nb d''actions]]</f>
        <v>-37.200000000000088</v>
      </c>
      <c r="Q10" s="22">
        <f ca="1">Titres[[#This Row],[Variation du jour ($)]]/(Titres[[#This Row],[Valeur au marché
($ local)]]-Titres[[#This Row],[Variation du jour ($)]])</f>
        <v>-1.1459129106187956E-2</v>
      </c>
      <c r="R10" s="41">
        <f ca="1">Titres[[#This Row],[Valeur au marché
($ local)]]-Titres[[#This Row],[Coût total]]</f>
        <v>178.55999999999995</v>
      </c>
      <c r="S10" s="22">
        <f ca="1">Titres[[#This Row],[Gain non réalisé ($)]]/Titres[[#This Row],[Coût total]]</f>
        <v>5.8919803600654651E-2</v>
      </c>
      <c r="T10" s="50">
        <v>0.27800000000000002</v>
      </c>
      <c r="U10" s="41">
        <f>4*Titres[[#This Row],[Dividende trimestriel]]</f>
        <v>1.1120000000000001</v>
      </c>
      <c r="V10" s="41">
        <f>Titres[[#This Row],[Dividende annuel]]*Titres[[#This Row],[Nb d''actions]]</f>
        <v>137.88800000000001</v>
      </c>
      <c r="W10" s="25">
        <f ca="1">Titres[[#This Row],[Dividende annuel]]/Titres[[#This Row],[Prix actuel]]</f>
        <v>4.2967542503863997E-2</v>
      </c>
      <c r="X10" s="49">
        <f>Titres[[#This Row],[Dividende annuel]]/Titres[[#This Row],[Coût moyen]]</f>
        <v>4.5499181669394435E-2</v>
      </c>
      <c r="Y10" s="12">
        <v>0</v>
      </c>
      <c r="Z10" s="40">
        <f ca="1">(((Titres[[#This Row],[Valeur au marché
($ local)]]-Titres[[#This Row],[Coût total]])+Titres[[#This Row],[Total - dividendes reçus]])/Titres[[#This Row],[Coût total]])</f>
        <v>0.19677551343646049</v>
      </c>
      <c r="AA10" s="38">
        <f>SUM(Titres[[#This Row],[Janvier 2019]:[Août 2024]])</f>
        <v>417.7799999999998</v>
      </c>
      <c r="AB10" s="38"/>
      <c r="AC10" s="38">
        <v>22.44</v>
      </c>
      <c r="AD10" s="38"/>
      <c r="AE10" s="38"/>
      <c r="AF10" s="38">
        <v>22.44</v>
      </c>
      <c r="AG10" s="38"/>
      <c r="AH10" s="38"/>
      <c r="AI10" s="38">
        <v>22.44</v>
      </c>
      <c r="AJ10" s="38"/>
      <c r="AK10" s="38"/>
      <c r="AL10" s="38">
        <v>22.44</v>
      </c>
      <c r="AM10" s="38"/>
      <c r="AN10" s="38"/>
      <c r="AO10" s="38">
        <v>22.88</v>
      </c>
      <c r="AP10" s="38"/>
      <c r="AQ10" s="38"/>
      <c r="AR10" s="38">
        <v>22.88</v>
      </c>
      <c r="AS10" s="38"/>
      <c r="AT10" s="38"/>
      <c r="AU10" s="38">
        <v>22.88</v>
      </c>
      <c r="AV10" s="38"/>
      <c r="AW10" s="38"/>
      <c r="AX10" s="38">
        <v>22.88</v>
      </c>
      <c r="AY10" s="38"/>
      <c r="AZ10" s="51"/>
      <c r="BA10" s="51">
        <v>22.88</v>
      </c>
      <c r="BD10" s="51">
        <v>22.88</v>
      </c>
      <c r="BG10" s="51">
        <v>22.88</v>
      </c>
      <c r="BJ10" s="51">
        <v>22.88</v>
      </c>
      <c r="BM10" s="51">
        <v>22.88</v>
      </c>
      <c r="BP10" s="51">
        <v>12.21</v>
      </c>
      <c r="BS10" s="51">
        <v>12.21</v>
      </c>
      <c r="BV10" s="51">
        <v>12.21</v>
      </c>
      <c r="BY10" s="51">
        <v>12.21</v>
      </c>
      <c r="CA10" s="51"/>
      <c r="CB10" s="51">
        <v>12.21</v>
      </c>
      <c r="CC10" s="51"/>
      <c r="CD10" s="51"/>
      <c r="CE10" s="51">
        <v>12.21</v>
      </c>
      <c r="CF10" s="51"/>
      <c r="CG10" s="51"/>
      <c r="CH10" s="51">
        <v>12.21</v>
      </c>
      <c r="CI10" s="51"/>
      <c r="CJ10" s="51"/>
      <c r="CK10" s="51">
        <v>12.21</v>
      </c>
      <c r="CL10" s="51"/>
      <c r="CM10" s="51"/>
      <c r="CN10" s="51">
        <v>12.21</v>
      </c>
      <c r="CO10" s="51"/>
      <c r="CP10" s="51"/>
      <c r="CQ10" s="51">
        <v>12.21</v>
      </c>
      <c r="CR10" s="51"/>
      <c r="CS10" s="51"/>
      <c r="CT10" s="51">
        <v>34.409999999999997</v>
      </c>
      <c r="CU10" s="51"/>
      <c r="CV10" s="51"/>
      <c r="CW10" s="51">
        <v>34.409999999999997</v>
      </c>
      <c r="CX10" s="51"/>
      <c r="CY10" s="51"/>
      <c r="CZ10" s="51">
        <v>34.409999999999997</v>
      </c>
      <c r="DA10" s="51"/>
      <c r="DB10" s="51"/>
      <c r="DC10" s="51">
        <v>34.409999999999997</v>
      </c>
      <c r="DD10" s="51"/>
      <c r="DE10" s="51"/>
      <c r="DF10" s="51">
        <v>34.409999999999997</v>
      </c>
      <c r="DG10" s="51"/>
      <c r="DH10" s="51"/>
      <c r="DI10" s="51">
        <v>34.409999999999997</v>
      </c>
    </row>
    <row r="11" spans="2:113" x14ac:dyDescent="0.25">
      <c r="B11" s="12" t="str">
        <f t="shared" si="3"/>
        <v>20K6HU7</v>
      </c>
      <c r="C11" s="12" t="s">
        <v>162</v>
      </c>
      <c r="D11" t="e" vm="513">
        <v>#VALUE!</v>
      </c>
      <c r="E11" s="12" t="str" cm="1">
        <f t="array" aca="1" ref="E11" ca="1">_FV(Titres[[#This Row],[Action]],"Code mnémonique",TRUE)</f>
        <v>BAC</v>
      </c>
      <c r="F11" t="str" cm="1">
        <f t="array" aca="1" ref="F11" ca="1">_FV(D11,"Change")</f>
        <v>New York Stock Exchange</v>
      </c>
      <c r="G11" t="str" cm="1">
        <f t="array" aca="1" ref="G11" ca="1">IFERROR(_FV(Titres[[#This Row],[Action]],"Industrie"),"")</f>
        <v>Banking Services</v>
      </c>
      <c r="H11" t="s">
        <v>206</v>
      </c>
      <c r="I11" s="12" t="str" cm="1">
        <f t="array" aca="1" ref="I11" ca="1">_FV(D11,"Devise")</f>
        <v>USD</v>
      </c>
      <c r="J11" s="28">
        <v>150</v>
      </c>
      <c r="K11" s="41">
        <v>48.57</v>
      </c>
      <c r="L11" s="41">
        <f t="shared" si="4"/>
        <v>7285.5</v>
      </c>
      <c r="M11" s="41" cm="1">
        <f t="array" aca="1" ref="M11" ca="1">_FV(D11,"Prix")</f>
        <v>53.465000000000003</v>
      </c>
      <c r="N11" s="49">
        <f t="shared" ca="1" si="5"/>
        <v>8019.7500000000009</v>
      </c>
      <c r="O11" s="49">
        <f ca="1">IF(Titres[[#This Row],[Devise]]="CAD",Titres[[#This Row],[Valeur au marché
($ local)]],Titres[[#This Row],[Valeur au marché
($ local)]]*Ressources!$I$3)</f>
        <v>10954.978500000003</v>
      </c>
      <c r="P11" s="49" cm="1">
        <f t="array" aca="1" ref="P11" ca="1">(Titres[[#This Row],[Prix actuel]]-_FV(Titres[[#This Row],[Action]],"Clôture précédente",TRUE))*Titres[[#This Row],[Nb d''actions]]</f>
        <v>-72.749999999999915</v>
      </c>
      <c r="Q11" s="22">
        <f ca="1">Titres[[#This Row],[Variation du jour ($)]]/(Titres[[#This Row],[Valeur au marché
($ local)]]-Titres[[#This Row],[Variation du jour ($)]])</f>
        <v>-8.9898053753475326E-3</v>
      </c>
      <c r="R11" s="41">
        <f ca="1">Titres[[#This Row],[Valeur au marché
($ local)]]-Titres[[#This Row],[Coût total]]</f>
        <v>734.25000000000091</v>
      </c>
      <c r="S11" s="22">
        <f ca="1">Titres[[#This Row],[Gain non réalisé ($)]]/Titres[[#This Row],[Coût total]]</f>
        <v>0.10078237595223401</v>
      </c>
      <c r="T11" s="50">
        <v>0.28000000000000003</v>
      </c>
      <c r="U11" s="41">
        <f>4*Titres[[#This Row],[Dividende trimestriel]]</f>
        <v>1.1200000000000001</v>
      </c>
      <c r="V11" s="41">
        <f>Titres[[#This Row],[Dividende annuel]]*Titres[[#This Row],[Nb d''actions]]</f>
        <v>168.00000000000003</v>
      </c>
      <c r="W11" s="25">
        <f ca="1">Titres[[#This Row],[Dividende annuel]]/Titres[[#This Row],[Prix actuel]]</f>
        <v>2.094828392406247E-2</v>
      </c>
      <c r="X11" s="49">
        <f>Titres[[#This Row],[Dividende annuel]]/Titres[[#This Row],[Coût moyen]]</f>
        <v>2.3059501750051475E-2</v>
      </c>
      <c r="Y11" s="12">
        <v>9</v>
      </c>
      <c r="Z11" s="40">
        <f ca="1">(((Titres[[#This Row],[Valeur au marché
($ local)]]-Titres[[#This Row],[Coût total]])+Titres[[#This Row],[Total - dividendes reçus]])/Titres[[#This Row],[Coût total]])</f>
        <v>0.14278361128268491</v>
      </c>
      <c r="AA11" s="38">
        <f>SUM(Titres[[#This Row],[Janvier 2019]:[Août 2024]])</f>
        <v>306</v>
      </c>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51"/>
      <c r="BA11" s="51"/>
      <c r="BN11" s="51">
        <v>31.5</v>
      </c>
      <c r="BQ11" s="51">
        <v>31.5</v>
      </c>
      <c r="BT11" s="51">
        <v>33</v>
      </c>
      <c r="BW11" s="51">
        <v>33</v>
      </c>
      <c r="CA11" s="51"/>
      <c r="CB11" s="51"/>
      <c r="CC11" s="51">
        <v>33</v>
      </c>
      <c r="CD11" s="51"/>
      <c r="CE11" s="51"/>
      <c r="CF11" s="51">
        <v>36</v>
      </c>
      <c r="CG11" s="51"/>
      <c r="CH11" s="51"/>
      <c r="CI11" s="51">
        <v>36</v>
      </c>
      <c r="CJ11" s="51"/>
      <c r="CK11" s="51"/>
      <c r="CL11" s="51">
        <v>36</v>
      </c>
      <c r="CM11" s="51"/>
      <c r="CN11" s="51"/>
      <c r="CO11" s="51"/>
      <c r="CP11" s="51">
        <v>36</v>
      </c>
      <c r="CQ11" s="51"/>
      <c r="CR11" s="51">
        <v>39</v>
      </c>
      <c r="CS11" s="51"/>
      <c r="CT11" s="51"/>
      <c r="CU11" s="51">
        <v>39</v>
      </c>
      <c r="CV11" s="51"/>
      <c r="CW11" s="51"/>
      <c r="CX11" s="51">
        <v>39</v>
      </c>
      <c r="CY11" s="51"/>
      <c r="CZ11" s="51"/>
      <c r="DA11" s="51">
        <v>39</v>
      </c>
      <c r="DB11" s="51"/>
      <c r="DC11" s="51"/>
      <c r="DD11" s="51">
        <v>42</v>
      </c>
      <c r="DE11" s="51"/>
      <c r="DF11" s="51"/>
      <c r="DG11" s="51">
        <v>42</v>
      </c>
      <c r="DH11" s="51"/>
      <c r="DI11" s="51"/>
    </row>
    <row r="12" spans="2:113" x14ac:dyDescent="0.25">
      <c r="B12" s="12" t="str">
        <f t="shared" si="3"/>
        <v>20K6HZ6</v>
      </c>
      <c r="C12" s="12" t="s">
        <v>160</v>
      </c>
      <c r="D12" t="e" vm="514">
        <v>#VALUE!</v>
      </c>
      <c r="E12" s="12" t="str" cm="1">
        <f t="array" aca="1" ref="E12" ca="1">_FV(Titres[[#This Row],[Action]],"Code mnémonique",TRUE)</f>
        <v>CM</v>
      </c>
      <c r="F12" t="str" cm="1">
        <f t="array" aca="1" ref="F12" ca="1">_FV(D12,"Change")</f>
        <v>Toronto Stock Exchange</v>
      </c>
      <c r="G12" t="str" cm="1">
        <f t="array" aca="1" ref="G12" ca="1">IFERROR(_FV(Titres[[#This Row],[Action]],"Industrie"),"")</f>
        <v>Banking Services</v>
      </c>
      <c r="H12" t="s">
        <v>205</v>
      </c>
      <c r="I12" s="12" t="str" cm="1">
        <f t="array" aca="1" ref="I12" ca="1">_FV(D12,"Devise")</f>
        <v>CAD</v>
      </c>
      <c r="J12" s="28">
        <v>88</v>
      </c>
      <c r="K12" s="41">
        <v>52.81</v>
      </c>
      <c r="L12" s="41">
        <f t="shared" si="4"/>
        <v>4647.2800000000007</v>
      </c>
      <c r="M12" s="41" cm="1">
        <f t="array" aca="1" ref="M12" ca="1">_FV(D12,"Prix")</f>
        <v>148.47999999999999</v>
      </c>
      <c r="N12" s="49">
        <f t="shared" ca="1" si="5"/>
        <v>13066.24</v>
      </c>
      <c r="O12" s="49">
        <f ca="1">IF(Titres[[#This Row],[Devise]]="CAD",Titres[[#This Row],[Valeur au marché
($ local)]],Titres[[#This Row],[Valeur au marché
($ local)]]*Ressources!$I$3)</f>
        <v>13066.24</v>
      </c>
      <c r="P12" s="49" cm="1">
        <f t="array" aca="1" ref="P12" ca="1">(Titres[[#This Row],[Prix actuel]]-_FV(Titres[[#This Row],[Action]],"Clôture précédente",TRUE))*Titres[[#This Row],[Nb d''actions]]</f>
        <v>-168.0799999999997</v>
      </c>
      <c r="Q12" s="22">
        <f ca="1">Titres[[#This Row],[Variation du jour ($)]]/(Titres[[#This Row],[Valeur au marché
($ local)]]-Titres[[#This Row],[Variation du jour ($)]])</f>
        <v>-1.2700312520779284E-2</v>
      </c>
      <c r="R12" s="41">
        <f ca="1">Titres[[#This Row],[Valeur au marché
($ local)]]-Titres[[#This Row],[Coût total]]</f>
        <v>8418.9599999999991</v>
      </c>
      <c r="S12" s="22">
        <f ca="1">Titres[[#This Row],[Gain non réalisé ($)]]/Titres[[#This Row],[Coût total]]</f>
        <v>1.8115887142586626</v>
      </c>
      <c r="T12" s="50">
        <v>1.07</v>
      </c>
      <c r="U12" s="41">
        <f>4*Titres[[#This Row],[Dividende trimestriel]]</f>
        <v>4.28</v>
      </c>
      <c r="V12" s="41">
        <f>Titres[[#This Row],[Dividende annuel]]*Titres[[#This Row],[Nb d''actions]]</f>
        <v>376.64000000000004</v>
      </c>
      <c r="W12" s="25">
        <f ca="1">Titres[[#This Row],[Dividende annuel]]/Titres[[#This Row],[Prix actuel]]</f>
        <v>2.8825431034482762E-2</v>
      </c>
      <c r="X12" s="49">
        <f>Titres[[#This Row],[Dividende annuel]]/Titres[[#This Row],[Coût moyen]]</f>
        <v>8.104525658019314E-2</v>
      </c>
      <c r="Y12" s="12">
        <v>0</v>
      </c>
      <c r="Z12" s="40">
        <f ca="1">(((Titres[[#This Row],[Valeur au marché
($ local)]]-Titres[[#This Row],[Coût total]])+Titres[[#This Row],[Total - dividendes reçus]])/Titres[[#This Row],[Coût total]])</f>
        <v>2.0794701416742694</v>
      </c>
      <c r="AA12" s="38">
        <f>SUM(Titres[[#This Row],[Janvier 2019]:[Août 2024]])</f>
        <v>1244.92</v>
      </c>
      <c r="AB12" s="38">
        <v>19.04</v>
      </c>
      <c r="AC12" s="38"/>
      <c r="AD12" s="38"/>
      <c r="AE12" s="38">
        <v>19.600000000000001</v>
      </c>
      <c r="AF12" s="38"/>
      <c r="AG12" s="38"/>
      <c r="AH12" s="38">
        <v>19.600000000000001</v>
      </c>
      <c r="AI12" s="38"/>
      <c r="AJ12" s="38"/>
      <c r="AK12" s="38">
        <v>20.16</v>
      </c>
      <c r="AL12" s="38"/>
      <c r="AM12" s="38"/>
      <c r="AN12" s="38">
        <v>20.16</v>
      </c>
      <c r="AO12" s="38"/>
      <c r="AP12" s="38"/>
      <c r="AQ12" s="38">
        <v>20.440000000000001</v>
      </c>
      <c r="AR12" s="38"/>
      <c r="AS12" s="38"/>
      <c r="AT12" s="38">
        <v>20.440000000000001</v>
      </c>
      <c r="AU12" s="38"/>
      <c r="AV12" s="38"/>
      <c r="AW12" s="38">
        <v>20.440000000000001</v>
      </c>
      <c r="AX12" s="38"/>
      <c r="AY12" s="38"/>
      <c r="AZ12" s="51">
        <v>64.239999999999995</v>
      </c>
      <c r="BA12" s="51"/>
      <c r="BC12" s="51">
        <v>64.239999999999995</v>
      </c>
      <c r="BF12" s="51">
        <v>64.239999999999995</v>
      </c>
      <c r="BI12" s="51">
        <v>64.239999999999995</v>
      </c>
      <c r="BL12" s="51">
        <v>70.84</v>
      </c>
      <c r="BO12" s="51">
        <v>70.84</v>
      </c>
      <c r="BR12" s="51">
        <v>73.040000000000006</v>
      </c>
      <c r="BU12" s="51">
        <v>73.040000000000006</v>
      </c>
      <c r="BX12" s="51">
        <v>74.8</v>
      </c>
      <c r="CA12" s="51">
        <v>74.8</v>
      </c>
      <c r="CB12" s="51"/>
      <c r="CC12" s="51"/>
      <c r="CD12" s="51">
        <v>76.56</v>
      </c>
      <c r="CE12" s="51"/>
      <c r="CF12" s="51"/>
      <c r="CG12" s="51">
        <v>76.56</v>
      </c>
      <c r="CH12" s="51"/>
      <c r="CI12" s="51"/>
      <c r="CJ12" s="51">
        <v>79.2</v>
      </c>
      <c r="CK12" s="51"/>
      <c r="CL12" s="51"/>
      <c r="CM12" s="51">
        <v>79.2</v>
      </c>
      <c r="CN12" s="51"/>
      <c r="CO12" s="51"/>
      <c r="CP12" s="51">
        <v>79.2</v>
      </c>
      <c r="CQ12" s="51"/>
      <c r="CR12" s="51"/>
      <c r="CS12" s="51">
        <v>79.2</v>
      </c>
      <c r="CT12" s="51"/>
      <c r="CU12" s="51"/>
      <c r="CV12" s="51">
        <v>85.36</v>
      </c>
      <c r="CW12" s="51"/>
      <c r="CX12" s="51"/>
      <c r="CY12" s="51">
        <v>85.36</v>
      </c>
      <c r="CZ12" s="51"/>
      <c r="DA12" s="51"/>
      <c r="DB12" s="51">
        <v>85.36</v>
      </c>
      <c r="DC12" s="51"/>
      <c r="DD12" s="51"/>
      <c r="DE12" s="51">
        <v>85.36</v>
      </c>
      <c r="DF12" s="51"/>
      <c r="DG12" s="51"/>
      <c r="DH12" s="51">
        <v>94.16</v>
      </c>
      <c r="DI12" s="51"/>
    </row>
    <row r="13" spans="2:113" x14ac:dyDescent="0.25">
      <c r="B13" s="12" t="str">
        <f t="shared" si="3"/>
        <v>20K6HZ6</v>
      </c>
      <c r="C13" s="12" t="s">
        <v>160</v>
      </c>
      <c r="D13" t="e" vm="515">
        <v>#VALUE!</v>
      </c>
      <c r="E13" s="12" t="str" cm="1">
        <f t="array" aca="1" ref="E13" ca="1">_FV(Titres[[#This Row],[Action]],"Code mnémonique",TRUE)</f>
        <v>BMO</v>
      </c>
      <c r="F13" t="str" cm="1">
        <f t="array" aca="1" ref="F13" ca="1">_FV(D13,"Change")</f>
        <v>Toronto Stock Exchange</v>
      </c>
      <c r="G13" t="str" cm="1">
        <f t="array" aca="1" ref="G13" ca="1">IFERROR(_FV(Titres[[#This Row],[Action]],"Industrie"),"")</f>
        <v>Banking Services</v>
      </c>
      <c r="H13" t="s">
        <v>205</v>
      </c>
      <c r="I13" s="12" t="str" cm="1">
        <f t="array" aca="1" ref="I13" ca="1">_FV(D13,"Devise")</f>
        <v>CAD</v>
      </c>
      <c r="J13" s="28">
        <v>65</v>
      </c>
      <c r="K13" s="41">
        <v>127.78</v>
      </c>
      <c r="L13" s="41">
        <f t="shared" si="4"/>
        <v>8305.7000000000007</v>
      </c>
      <c r="M13" s="41" cm="1">
        <f t="array" aca="1" ref="M13" ca="1">_FV(D13,"Prix")</f>
        <v>207.25</v>
      </c>
      <c r="N13" s="49">
        <f t="shared" ca="1" si="5"/>
        <v>13471.25</v>
      </c>
      <c r="O13" s="49">
        <f ca="1">IF(Titres[[#This Row],[Devise]]="CAD",Titres[[#This Row],[Valeur au marché
($ local)]],Titres[[#This Row],[Valeur au marché
($ local)]]*Ressources!$I$3)</f>
        <v>13471.25</v>
      </c>
      <c r="P13" s="49" cm="1">
        <f t="array" aca="1" ref="P13" ca="1">(Titres[[#This Row],[Prix actuel]]-_FV(Titres[[#This Row],[Action]],"Clôture précédente",TRUE))*Titres[[#This Row],[Nb d''actions]]</f>
        <v>-153.40000000000089</v>
      </c>
      <c r="Q13" s="22">
        <f ca="1">Titres[[#This Row],[Variation du jour ($)]]/(Titres[[#This Row],[Valeur au marché
($ local)]]-Titres[[#This Row],[Variation du jour ($)]])</f>
        <v>-1.1259004818472465E-2</v>
      </c>
      <c r="R13" s="41">
        <f ca="1">Titres[[#This Row],[Valeur au marché
($ local)]]-Titres[[#This Row],[Coût total]]</f>
        <v>5165.5499999999993</v>
      </c>
      <c r="S13" s="22">
        <f ca="1">Titres[[#This Row],[Gain non réalisé ($)]]/Titres[[#This Row],[Coût total]]</f>
        <v>0.62192831429018613</v>
      </c>
      <c r="T13" s="50">
        <v>1.67</v>
      </c>
      <c r="U13" s="41">
        <f>4*Titres[[#This Row],[Dividende trimestriel]]</f>
        <v>6.68</v>
      </c>
      <c r="V13" s="41">
        <f>Titres[[#This Row],[Dividende annuel]]*Titres[[#This Row],[Nb d''actions]]</f>
        <v>434.2</v>
      </c>
      <c r="W13" s="25">
        <f ca="1">Titres[[#This Row],[Dividende annuel]]/Titres[[#This Row],[Prix actuel]]</f>
        <v>3.2231604342581419E-2</v>
      </c>
      <c r="X13" s="49">
        <f>Titres[[#This Row],[Dividende annuel]]/Titres[[#This Row],[Coût moyen]]</f>
        <v>5.2277351698231334E-2</v>
      </c>
      <c r="Y13" s="12">
        <v>1</v>
      </c>
      <c r="Z13" s="40">
        <f ca="1">(((Titres[[#This Row],[Valeur au marché
($ local)]]-Titres[[#This Row],[Coût total]])+Titres[[#This Row],[Total - dividendes reçus]])/Titres[[#This Row],[Coût total]])</f>
        <v>0.71688719794839673</v>
      </c>
      <c r="AA13" s="38">
        <f>SUM(Titres[[#This Row],[Janvier 2019]:[Août 2024]])</f>
        <v>788.69999999999993</v>
      </c>
      <c r="AB13" s="38"/>
      <c r="AC13" s="38"/>
      <c r="AD13" s="38"/>
      <c r="AE13" s="38"/>
      <c r="AF13" s="38">
        <v>30</v>
      </c>
      <c r="AG13" s="38"/>
      <c r="AH13" s="38"/>
      <c r="AI13" s="38">
        <v>30.9</v>
      </c>
      <c r="AJ13" s="38"/>
      <c r="AK13" s="38"/>
      <c r="AL13" s="38">
        <v>30.9</v>
      </c>
      <c r="AM13" s="38"/>
      <c r="AN13" s="38"/>
      <c r="AO13" s="38">
        <v>31.8</v>
      </c>
      <c r="AP13" s="38"/>
      <c r="AQ13" s="38"/>
      <c r="AR13" s="38">
        <v>31.8</v>
      </c>
      <c r="AS13" s="38"/>
      <c r="AT13" s="38"/>
      <c r="AU13" s="38">
        <v>31.8</v>
      </c>
      <c r="AV13" s="38"/>
      <c r="AW13" s="38"/>
      <c r="AX13" s="38"/>
      <c r="AY13" s="38"/>
      <c r="AZ13" s="51"/>
      <c r="BA13" s="51">
        <v>31.8</v>
      </c>
      <c r="BD13" s="51">
        <v>31.8</v>
      </c>
      <c r="BG13" s="51">
        <v>31.8</v>
      </c>
      <c r="BJ13" s="51">
        <v>31.8</v>
      </c>
      <c r="BM13" s="51">
        <v>39.9</v>
      </c>
      <c r="BP13" s="51">
        <v>39.9</v>
      </c>
      <c r="BS13" s="51">
        <v>41.7</v>
      </c>
      <c r="BV13" s="51">
        <v>41.7</v>
      </c>
      <c r="BY13" s="51">
        <v>42.9</v>
      </c>
      <c r="CA13" s="51"/>
      <c r="CB13" s="51">
        <v>42.9</v>
      </c>
      <c r="CC13" s="51"/>
      <c r="CD13" s="51"/>
      <c r="CE13" s="51">
        <v>44.1</v>
      </c>
      <c r="CF13" s="51"/>
      <c r="CG13" s="51"/>
      <c r="CH13" s="51">
        <v>44.1</v>
      </c>
      <c r="CI13" s="51"/>
      <c r="CJ13" s="51"/>
      <c r="CK13" s="51">
        <v>45.3</v>
      </c>
      <c r="CL13" s="51"/>
      <c r="CM13" s="51"/>
      <c r="CN13" s="51">
        <v>45.3</v>
      </c>
      <c r="CO13" s="51"/>
      <c r="CP13" s="51"/>
      <c r="CQ13" s="51">
        <v>46.5</v>
      </c>
      <c r="CR13" s="51"/>
      <c r="CS13" s="51"/>
      <c r="CT13" s="51">
        <v>46.5</v>
      </c>
      <c r="CU13" s="51"/>
      <c r="CV13" s="51"/>
      <c r="CW13" s="51">
        <v>47.7</v>
      </c>
      <c r="CX13" s="51"/>
      <c r="CY13" s="51"/>
      <c r="CZ13" s="51">
        <v>103.35</v>
      </c>
      <c r="DA13" s="51"/>
      <c r="DB13" s="51"/>
      <c r="DC13" s="51">
        <v>105.95</v>
      </c>
      <c r="DD13" s="51"/>
      <c r="DE13" s="51"/>
      <c r="DF13" s="51">
        <v>105.95</v>
      </c>
      <c r="DG13" s="51"/>
      <c r="DH13" s="51"/>
      <c r="DI13" s="51">
        <v>108.55</v>
      </c>
    </row>
    <row r="14" spans="2:113" x14ac:dyDescent="0.25">
      <c r="B14" s="12" t="str">
        <f t="shared" si="3"/>
        <v>20K6HZ6</v>
      </c>
      <c r="C14" s="12" t="s">
        <v>160</v>
      </c>
      <c r="D14" t="e" vm="516">
        <v>#VALUE!</v>
      </c>
      <c r="E14" s="12" t="str" cm="1">
        <f t="array" aca="1" ref="E14" ca="1">_FV(Titres[[#This Row],[Action]],"Code mnémonique",TRUE)</f>
        <v>NA</v>
      </c>
      <c r="F14" t="str" cm="1">
        <f t="array" aca="1" ref="F14" ca="1">_FV(D14,"Change")</f>
        <v>Toronto Stock Exchange</v>
      </c>
      <c r="G14" t="str" cm="1">
        <f t="array" aca="1" ref="G14" ca="1">IFERROR(_FV(Titres[[#This Row],[Action]],"Industrie"),"")</f>
        <v>Banking Services</v>
      </c>
      <c r="H14" t="s">
        <v>205</v>
      </c>
      <c r="I14" s="12" t="str" cm="1">
        <f t="array" aca="1" ref="I14" ca="1">_FV(D14,"Devise")</f>
        <v>CAD</v>
      </c>
      <c r="J14" s="28">
        <v>81</v>
      </c>
      <c r="K14" s="41">
        <v>69.48</v>
      </c>
      <c r="L14" s="41">
        <f t="shared" si="4"/>
        <v>5627.88</v>
      </c>
      <c r="M14" s="41" cm="1">
        <f t="array" aca="1" ref="M14" ca="1">_FV(D14,"Prix")</f>
        <v>201.79</v>
      </c>
      <c r="N14" s="49">
        <f t="shared" ca="1" si="5"/>
        <v>16344.99</v>
      </c>
      <c r="O14" s="49">
        <f ca="1">IF(Titres[[#This Row],[Devise]]="CAD",Titres[[#This Row],[Valeur au marché
($ local)]],Titres[[#This Row],[Valeur au marché
($ local)]]*Ressources!$I$3)</f>
        <v>16344.99</v>
      </c>
      <c r="P14" s="49" cm="1">
        <f t="array" aca="1" ref="P14" ca="1">(Titres[[#This Row],[Prix actuel]]-_FV(Titres[[#This Row],[Action]],"Clôture précédente",TRUE))*Titres[[#This Row],[Nb d''actions]]</f>
        <v>-153.0900000000012</v>
      </c>
      <c r="Q14" s="22">
        <f ca="1">Titres[[#This Row],[Variation du jour ($)]]/(Titres[[#This Row],[Valeur au marché
($ local)]]-Titres[[#This Row],[Variation du jour ($)]])</f>
        <v>-9.2792615868029001E-3</v>
      </c>
      <c r="R14" s="41">
        <f ca="1">Titres[[#This Row],[Valeur au marché
($ local)]]-Titres[[#This Row],[Coût total]]</f>
        <v>10717.11</v>
      </c>
      <c r="S14" s="22">
        <f ca="1">Titres[[#This Row],[Gain non réalisé ($)]]/Titres[[#This Row],[Coût total]]</f>
        <v>1.9042890040299367</v>
      </c>
      <c r="T14" s="50">
        <v>1.24</v>
      </c>
      <c r="U14" s="41">
        <f>4*Titres[[#This Row],[Dividende trimestriel]]</f>
        <v>4.96</v>
      </c>
      <c r="V14" s="41">
        <f>Titres[[#This Row],[Dividende annuel]]*Titres[[#This Row],[Nb d''actions]]</f>
        <v>401.76</v>
      </c>
      <c r="W14" s="25">
        <f ca="1">Titres[[#This Row],[Dividende annuel]]/Titres[[#This Row],[Prix actuel]]</f>
        <v>2.4580008920164528E-2</v>
      </c>
      <c r="X14" s="49">
        <f>Titres[[#This Row],[Dividende annuel]]/Titres[[#This Row],[Coût moyen]]</f>
        <v>7.1387449625791591E-2</v>
      </c>
      <c r="Y14" s="12">
        <v>8</v>
      </c>
      <c r="Z14" s="40">
        <f ca="1">(((Titres[[#This Row],[Valeur au marché
($ local)]]-Titres[[#This Row],[Coût total]])+Titres[[#This Row],[Total - dividendes reçus]])/Titres[[#This Row],[Coût total]])</f>
        <v>2.0401838703028492</v>
      </c>
      <c r="AA14" s="38">
        <f>SUM(Titres[[#This Row],[Janvier 2019]:[Août 2024]])</f>
        <v>764.79999999999984</v>
      </c>
      <c r="AB14" s="38"/>
      <c r="AC14" s="38">
        <v>26</v>
      </c>
      <c r="AD14" s="38"/>
      <c r="AE14" s="38"/>
      <c r="AF14" s="38">
        <v>26</v>
      </c>
      <c r="AG14" s="38"/>
      <c r="AH14" s="38"/>
      <c r="AI14" s="38">
        <v>27.2</v>
      </c>
      <c r="AJ14" s="38"/>
      <c r="AK14" s="38"/>
      <c r="AL14" s="38">
        <v>27.2</v>
      </c>
      <c r="AM14" s="38"/>
      <c r="AN14" s="38"/>
      <c r="AO14" s="38">
        <v>28.4</v>
      </c>
      <c r="AP14" s="38"/>
      <c r="AQ14" s="38"/>
      <c r="AR14" s="38">
        <v>28.4</v>
      </c>
      <c r="AS14" s="38"/>
      <c r="AT14" s="38"/>
      <c r="AU14" s="38">
        <v>28.4</v>
      </c>
      <c r="AV14" s="38"/>
      <c r="AW14" s="38"/>
      <c r="AX14" s="38">
        <v>28.4</v>
      </c>
      <c r="AY14" s="38"/>
      <c r="AZ14" s="51"/>
      <c r="BA14" s="51">
        <v>28.4</v>
      </c>
      <c r="BD14" s="51">
        <v>28.4</v>
      </c>
      <c r="BG14" s="51">
        <v>28.4</v>
      </c>
      <c r="BJ14" s="51">
        <v>28.4</v>
      </c>
      <c r="BM14" s="51">
        <v>34.799999999999997</v>
      </c>
      <c r="BP14" s="51">
        <v>34.799999999999997</v>
      </c>
      <c r="BS14" s="51">
        <v>36.799999999999997</v>
      </c>
      <c r="BV14" s="51">
        <v>36.799999999999997</v>
      </c>
      <c r="BY14" s="51">
        <v>38.799999999999997</v>
      </c>
      <c r="CA14" s="51"/>
      <c r="CB14" s="51">
        <v>38.799999999999997</v>
      </c>
      <c r="CC14" s="51"/>
      <c r="CD14" s="51"/>
      <c r="CE14" s="51">
        <v>40.799999999999997</v>
      </c>
      <c r="CF14" s="51"/>
      <c r="CG14" s="51"/>
      <c r="CH14" s="51">
        <v>40.799999999999997</v>
      </c>
      <c r="CI14" s="51"/>
      <c r="CJ14" s="51"/>
      <c r="CK14" s="51">
        <v>42.4</v>
      </c>
      <c r="CL14" s="51"/>
      <c r="CM14" s="51"/>
      <c r="CN14" s="51">
        <v>42.4</v>
      </c>
      <c r="CO14" s="51"/>
      <c r="CP14" s="51"/>
      <c r="CQ14" s="51">
        <v>44</v>
      </c>
      <c r="CR14" s="51"/>
      <c r="CS14" s="51"/>
      <c r="CT14" s="51">
        <v>44</v>
      </c>
      <c r="CU14" s="51"/>
      <c r="CV14" s="51"/>
      <c r="CW14" s="51">
        <v>45.6</v>
      </c>
      <c r="CX14" s="51"/>
      <c r="CY14" s="51"/>
      <c r="CZ14" s="51">
        <v>92.34</v>
      </c>
      <c r="DA14" s="51"/>
      <c r="DB14" s="51"/>
      <c r="DC14" s="51">
        <v>95.58</v>
      </c>
      <c r="DD14" s="51"/>
      <c r="DE14" s="51"/>
      <c r="DF14" s="51">
        <v>95.58</v>
      </c>
      <c r="DG14" s="51"/>
      <c r="DH14" s="51"/>
      <c r="DI14" s="51">
        <v>100.44</v>
      </c>
    </row>
    <row r="15" spans="2:113" x14ac:dyDescent="0.25">
      <c r="B15" s="12" t="str">
        <f t="shared" si="3"/>
        <v>20K6HZ6</v>
      </c>
      <c r="C15" s="12" t="s">
        <v>160</v>
      </c>
      <c r="D15" t="s">
        <v>306</v>
      </c>
      <c r="E15" s="12" t="s">
        <v>24</v>
      </c>
      <c r="G15" t="str" cm="1">
        <f t="array" ref="G15">IFERROR(_FV(Titres[[#This Row],[Action]],"Industrie"),"")</f>
        <v/>
      </c>
      <c r="H15" t="s">
        <v>205</v>
      </c>
      <c r="J15" s="28">
        <v>0</v>
      </c>
      <c r="K15" s="41">
        <v>32.39</v>
      </c>
      <c r="L15" s="41">
        <f t="shared" si="4"/>
        <v>0</v>
      </c>
      <c r="M15" s="41"/>
      <c r="N15" s="49">
        <f t="shared" si="5"/>
        <v>0</v>
      </c>
      <c r="O15" s="49">
        <f ca="1">IF(Titres[[#This Row],[Devise]]="CAD",Titres[[#This Row],[Valeur au marché
($ local)]],Titres[[#This Row],[Valeur au marché
($ local)]]*Ressources!$I$3)</f>
        <v>0</v>
      </c>
      <c r="P15" s="49"/>
      <c r="Q15" s="22" t="e">
        <f>Titres[[#This Row],[Variation du jour ($)]]/(Titres[[#This Row],[Valeur au marché
($ local)]]-Titres[[#This Row],[Variation du jour ($)]])</f>
        <v>#DIV/0!</v>
      </c>
      <c r="R15" s="41">
        <f>Titres[[#This Row],[Valeur au marché
($ local)]]-Titres[[#This Row],[Coût total]]</f>
        <v>0</v>
      </c>
      <c r="S15" s="22" t="e">
        <f>Titres[[#This Row],[Gain non réalisé ($)]]/Titres[[#This Row],[Coût total]]</f>
        <v>#DIV/0!</v>
      </c>
      <c r="T15" s="50">
        <v>0.35</v>
      </c>
      <c r="U15" s="41">
        <f>4*Titres[[#This Row],[Dividende trimestriel]]</f>
        <v>1.4</v>
      </c>
      <c r="V15" s="41">
        <f>Titres[[#This Row],[Dividende annuel]]*Titres[[#This Row],[Nb d''actions]]</f>
        <v>0</v>
      </c>
      <c r="W15" s="25" t="e">
        <f>Titres[[#This Row],[Dividende annuel]]/Titres[[#This Row],[Prix actuel]]</f>
        <v>#DIV/0!</v>
      </c>
      <c r="X15" s="49">
        <f>Titres[[#This Row],[Dividende annuel]]/Titres[[#This Row],[Coût moyen]]</f>
        <v>4.3223217042297001E-2</v>
      </c>
      <c r="Y15" s="12">
        <v>15</v>
      </c>
      <c r="Z15" s="40" t="e">
        <f>(((Titres[[#This Row],[Valeur au marché
($ local)]]-Titres[[#This Row],[Coût total]])+Titres[[#This Row],[Total - dividendes reçus]])/Titres[[#This Row],[Coût total]])</f>
        <v>#DIV/0!</v>
      </c>
      <c r="AA15" s="38">
        <f>SUM(Titres[[#This Row],[Janvier 2019]:[Août 2024]])</f>
        <v>645.41999999999996</v>
      </c>
      <c r="AB15" s="38">
        <v>24.18</v>
      </c>
      <c r="AC15" s="38"/>
      <c r="AD15" s="38">
        <v>25.11</v>
      </c>
      <c r="AE15" s="38"/>
      <c r="AF15" s="38"/>
      <c r="AG15" s="38">
        <v>25.11</v>
      </c>
      <c r="AH15" s="38"/>
      <c r="AI15" s="38"/>
      <c r="AJ15" s="38">
        <v>26.04</v>
      </c>
      <c r="AK15" s="38"/>
      <c r="AL15" s="38"/>
      <c r="AM15" s="38"/>
      <c r="AN15" s="38">
        <v>26.04</v>
      </c>
      <c r="AO15" s="38"/>
      <c r="AP15" s="38">
        <v>26.97</v>
      </c>
      <c r="AQ15" s="38"/>
      <c r="AR15" s="38"/>
      <c r="AS15" s="38">
        <v>26.97</v>
      </c>
      <c r="AT15" s="38"/>
      <c r="AU15" s="38"/>
      <c r="AV15" s="38">
        <v>26.97</v>
      </c>
      <c r="AW15" s="38"/>
      <c r="AX15" s="38"/>
      <c r="AY15" s="38"/>
      <c r="AZ15" s="51">
        <v>26.97</v>
      </c>
      <c r="BA15" s="51"/>
      <c r="BB15" s="51">
        <v>26.97</v>
      </c>
      <c r="BE15" s="51">
        <v>26.97</v>
      </c>
      <c r="BH15" s="51">
        <v>26.97</v>
      </c>
      <c r="BL15" s="51">
        <v>27.9</v>
      </c>
      <c r="BN15" s="51">
        <v>27.9</v>
      </c>
      <c r="BQ15" s="51">
        <v>28.83</v>
      </c>
      <c r="BT15" s="51">
        <v>28.83</v>
      </c>
      <c r="BX15" s="51">
        <v>29.76</v>
      </c>
      <c r="BZ15" s="51">
        <v>29.76</v>
      </c>
      <c r="CA15" s="51"/>
      <c r="CB15" s="51"/>
      <c r="CC15" s="51">
        <v>30.69</v>
      </c>
      <c r="CD15" s="51"/>
      <c r="CE15" s="51"/>
      <c r="CF15" s="51">
        <v>30.69</v>
      </c>
      <c r="CG15" s="51"/>
      <c r="CH15" s="51"/>
      <c r="CI15" s="51"/>
      <c r="CJ15" s="51">
        <v>31.62</v>
      </c>
      <c r="CK15" s="51"/>
      <c r="CL15" s="51">
        <v>31.62</v>
      </c>
      <c r="CM15" s="51"/>
      <c r="CN15" s="51"/>
      <c r="CO15" s="51">
        <v>32.549999999999997</v>
      </c>
      <c r="CP15" s="51"/>
      <c r="CQ15" s="51"/>
      <c r="CR15" s="51">
        <v>32.549999999999997</v>
      </c>
      <c r="CS15" s="51"/>
      <c r="CT15" s="51"/>
      <c r="CU15" s="51"/>
      <c r="CV15" s="51">
        <v>33.479999999999997</v>
      </c>
      <c r="CW15" s="51"/>
      <c r="CX15" s="51"/>
      <c r="CY15" s="51"/>
      <c r="CZ15" s="51"/>
      <c r="DA15" s="51"/>
      <c r="DB15" s="51"/>
      <c r="DC15" s="51"/>
      <c r="DD15" s="51"/>
      <c r="DE15" s="51"/>
      <c r="DF15" s="51"/>
      <c r="DG15" s="51"/>
      <c r="DH15" s="51"/>
      <c r="DI15" s="51"/>
    </row>
    <row r="16" spans="2:113" x14ac:dyDescent="0.25">
      <c r="B16" s="12" t="str">
        <f t="shared" si="3"/>
        <v>20K6HZ6</v>
      </c>
      <c r="C16" s="12" t="s">
        <v>160</v>
      </c>
      <c r="D16" t="e" vm="517">
        <v>#VALUE!</v>
      </c>
      <c r="E16" s="12" t="str" cm="1">
        <f t="array" aca="1" ref="E16" ca="1">_FV(Titres[[#This Row],[Action]],"Code mnémonique",TRUE)</f>
        <v>RY</v>
      </c>
      <c r="F16" t="str" cm="1">
        <f t="array" aca="1" ref="F16" ca="1">_FV(D16,"Change")</f>
        <v>Toronto Stock Exchange</v>
      </c>
      <c r="G16" t="str" cm="1">
        <f t="array" aca="1" ref="G16" ca="1">IFERROR(_FV(Titres[[#This Row],[Action]],"Industrie"),"")</f>
        <v>Banking Services</v>
      </c>
      <c r="H16" t="s">
        <v>205</v>
      </c>
      <c r="I16" s="12" t="str" cm="1">
        <f t="array" aca="1" ref="I16" ca="1">_FV(D16,"Devise")</f>
        <v>CAD</v>
      </c>
      <c r="J16" s="28">
        <v>55</v>
      </c>
      <c r="K16" s="41">
        <v>95.04</v>
      </c>
      <c r="L16" s="41">
        <f t="shared" si="4"/>
        <v>5227.2000000000007</v>
      </c>
      <c r="M16" s="41" cm="1">
        <f t="array" aca="1" ref="M16" ca="1">_FV(D16,"Prix")</f>
        <v>242.81</v>
      </c>
      <c r="N16" s="49">
        <f t="shared" ca="1" si="5"/>
        <v>13354.55</v>
      </c>
      <c r="O16" s="49">
        <f ca="1">IF(Titres[[#This Row],[Devise]]="CAD",Titres[[#This Row],[Valeur au marché
($ local)]],Titres[[#This Row],[Valeur au marché
($ local)]]*Ressources!$I$3)</f>
        <v>13354.55</v>
      </c>
      <c r="P16" s="49" cm="1">
        <f t="array" aca="1" ref="P16" ca="1">(Titres[[#This Row],[Prix actuel]]-_FV(Titres[[#This Row],[Action]],"Clôture précédente",TRUE))*Titres[[#This Row],[Nb d''actions]]</f>
        <v>-167.19999999999956</v>
      </c>
      <c r="Q16" s="22">
        <f ca="1">Titres[[#This Row],[Variation du jour ($)]]/(Titres[[#This Row],[Valeur au marché
($ local)]]-Titres[[#This Row],[Variation du jour ($)]])</f>
        <v>-1.2365263371974751E-2</v>
      </c>
      <c r="R16" s="41">
        <f ca="1">Titres[[#This Row],[Valeur au marché
($ local)]]-Titres[[#This Row],[Coût total]]</f>
        <v>8127.3499999999985</v>
      </c>
      <c r="S16" s="22">
        <f ca="1">Titres[[#This Row],[Gain non réalisé ($)]]/Titres[[#This Row],[Coût total]]</f>
        <v>1.5548190235690231</v>
      </c>
      <c r="T16" s="50">
        <v>1.64</v>
      </c>
      <c r="U16" s="41">
        <f>4*Titres[[#This Row],[Dividende trimestriel]]</f>
        <v>6.56</v>
      </c>
      <c r="V16" s="41">
        <f>Titres[[#This Row],[Dividende annuel]]*Titres[[#This Row],[Nb d''actions]]</f>
        <v>360.79999999999995</v>
      </c>
      <c r="W16" s="25">
        <f ca="1">Titres[[#This Row],[Dividende annuel]]/Titres[[#This Row],[Prix actuel]]</f>
        <v>2.7017009184135743E-2</v>
      </c>
      <c r="X16" s="49">
        <f>Titres[[#This Row],[Dividende annuel]]/Titres[[#This Row],[Coût moyen]]</f>
        <v>6.9023569023569015E-2</v>
      </c>
      <c r="Y16" s="12">
        <v>12</v>
      </c>
      <c r="Z16" s="40">
        <f ca="1">(((Titres[[#This Row],[Valeur au marché
($ local)]]-Titres[[#This Row],[Coût total]])+Titres[[#This Row],[Total - dividendes reçus]])/Titres[[#This Row],[Coût total]])</f>
        <v>1.784617003367003</v>
      </c>
      <c r="AA16" s="38">
        <f>SUM(Titres[[#This Row],[Janvier 2019]:[Août 2024]])</f>
        <v>1201.2</v>
      </c>
      <c r="AB16" s="38"/>
      <c r="AC16" s="38">
        <v>19.600000000000001</v>
      </c>
      <c r="AD16" s="38"/>
      <c r="AE16" s="38"/>
      <c r="AF16" s="38">
        <v>20.399999999999999</v>
      </c>
      <c r="AG16" s="38"/>
      <c r="AH16" s="38"/>
      <c r="AI16" s="38">
        <v>20.399999999999999</v>
      </c>
      <c r="AJ16" s="38"/>
      <c r="AK16" s="38"/>
      <c r="AL16" s="38">
        <v>21</v>
      </c>
      <c r="AM16" s="38"/>
      <c r="AN16" s="38"/>
      <c r="AO16" s="38">
        <v>21</v>
      </c>
      <c r="AP16" s="38"/>
      <c r="AQ16" s="38"/>
      <c r="AR16" s="38">
        <v>21.6</v>
      </c>
      <c r="AS16" s="38"/>
      <c r="AT16" s="38"/>
      <c r="AU16" s="38">
        <v>21.6</v>
      </c>
      <c r="AV16" s="38"/>
      <c r="AW16" s="38"/>
      <c r="AX16" s="38">
        <v>21.6</v>
      </c>
      <c r="AY16" s="38"/>
      <c r="AZ16" s="51"/>
      <c r="BA16" s="51">
        <v>59.4</v>
      </c>
      <c r="BD16" s="51">
        <v>59.4</v>
      </c>
      <c r="BG16" s="51">
        <v>59.4</v>
      </c>
      <c r="BJ16" s="51">
        <v>59.4</v>
      </c>
      <c r="BM16" s="51">
        <v>66</v>
      </c>
      <c r="BP16" s="51">
        <v>66</v>
      </c>
      <c r="BS16" s="51">
        <v>70.400000000000006</v>
      </c>
      <c r="BV16" s="51">
        <v>70.400000000000006</v>
      </c>
      <c r="BY16" s="51">
        <v>72.599999999999994</v>
      </c>
      <c r="CA16" s="51"/>
      <c r="CB16" s="51">
        <v>72.599999999999994</v>
      </c>
      <c r="CC16" s="51"/>
      <c r="CD16" s="51"/>
      <c r="CE16" s="51">
        <v>74.25</v>
      </c>
      <c r="CF16" s="51"/>
      <c r="CG16" s="51"/>
      <c r="CH16" s="51">
        <v>74.25</v>
      </c>
      <c r="CI16" s="51"/>
      <c r="CJ16" s="51"/>
      <c r="CK16" s="51">
        <v>75.900000000000006</v>
      </c>
      <c r="CL16" s="51"/>
      <c r="CM16" s="51"/>
      <c r="CN16" s="51">
        <v>75.900000000000006</v>
      </c>
      <c r="CO16" s="51"/>
      <c r="CP16" s="51"/>
      <c r="CQ16" s="51">
        <v>78.099999999999994</v>
      </c>
      <c r="CR16" s="51"/>
      <c r="CS16" s="51"/>
      <c r="CT16" s="51">
        <v>78.099999999999994</v>
      </c>
      <c r="CU16" s="51"/>
      <c r="CV16" s="51"/>
      <c r="CW16" s="51">
        <v>81.400000000000006</v>
      </c>
      <c r="CX16" s="51"/>
      <c r="CY16" s="51"/>
      <c r="CZ16" s="51">
        <v>81.400000000000006</v>
      </c>
      <c r="DA16" s="51"/>
      <c r="DB16" s="51"/>
      <c r="DC16" s="51">
        <v>84.7</v>
      </c>
      <c r="DD16" s="51"/>
      <c r="DE16" s="51"/>
      <c r="DF16" s="51">
        <v>84.7</v>
      </c>
      <c r="DG16" s="51"/>
      <c r="DH16" s="51"/>
      <c r="DI16" s="51">
        <v>90.2</v>
      </c>
    </row>
    <row r="17" spans="2:113" x14ac:dyDescent="0.25">
      <c r="B17" s="12" t="str">
        <f t="shared" si="3"/>
        <v>20K6HZ6</v>
      </c>
      <c r="C17" s="12" t="s">
        <v>160</v>
      </c>
      <c r="D17" t="e" vm="518">
        <v>#VALUE!</v>
      </c>
      <c r="E17" s="12" t="str" cm="1">
        <f t="array" aca="1" ref="E17" ca="1">_FV(Titres[[#This Row],[Action]],"Code mnémonique",TRUE)</f>
        <v>BEP.UN</v>
      </c>
      <c r="F17" t="str" cm="1">
        <f t="array" aca="1" ref="F17" ca="1">_FV(D17,"Change")</f>
        <v>Toronto Stock Exchange</v>
      </c>
      <c r="G17" t="str" cm="1">
        <f t="array" ref="G17">IFERROR(_FV(Titres[[#This Row],[Action]],"Industrie"),"")</f>
        <v/>
      </c>
      <c r="H17" t="s">
        <v>205</v>
      </c>
      <c r="I17" s="12" t="str" cm="1">
        <f t="array" aca="1" ref="I17" ca="1">_FV(D17,"Devise")</f>
        <v>CAD</v>
      </c>
      <c r="J17" s="28">
        <v>180</v>
      </c>
      <c r="K17" s="41">
        <v>38.81</v>
      </c>
      <c r="L17" s="41">
        <f t="shared" si="4"/>
        <v>6985.8</v>
      </c>
      <c r="M17" s="41" cm="1">
        <f t="array" aca="1" ref="M17" ca="1">_FV(D17,"Prix")</f>
        <v>44.35</v>
      </c>
      <c r="N17" s="49">
        <f t="shared" ca="1" si="5"/>
        <v>7983</v>
      </c>
      <c r="O17" s="49">
        <f ca="1">IF(Titres[[#This Row],[Devise]]="CAD",Titres[[#This Row],[Valeur au marché
($ local)]],Titres[[#This Row],[Valeur au marché
($ local)]]*Ressources!$I$3)</f>
        <v>7983</v>
      </c>
      <c r="P17" s="49" cm="1">
        <f t="array" aca="1" ref="P17" ca="1">(Titres[[#This Row],[Prix actuel]]-_FV(Titres[[#This Row],[Action]],"Clôture précédente",TRUE))*Titres[[#This Row],[Nb d''actions]]</f>
        <v>-541.79999999999961</v>
      </c>
      <c r="Q17" s="22">
        <f ca="1">Titres[[#This Row],[Variation du jour ($)]]/(Titres[[#This Row],[Valeur au marché
($ local)]]-Titres[[#This Row],[Variation du jour ($)]])</f>
        <v>-6.3555743243243201E-2</v>
      </c>
      <c r="R17" s="41">
        <f ca="1">Titres[[#This Row],[Valeur au marché
($ local)]]-Titres[[#This Row],[Coût total]]</f>
        <v>997.19999999999982</v>
      </c>
      <c r="S17" s="22">
        <f ca="1">Titres[[#This Row],[Gain non réalisé ($)]]/Titres[[#This Row],[Coût total]]</f>
        <v>0.142746714764236</v>
      </c>
      <c r="T17" s="50">
        <v>0.39200000000000002</v>
      </c>
      <c r="U17" s="41">
        <f>4*Titres[[#This Row],[Dividende trimestriel]]</f>
        <v>1.5680000000000001</v>
      </c>
      <c r="V17" s="41">
        <f>Titres[[#This Row],[Dividende annuel]]*Titres[[#This Row],[Nb d''actions]]</f>
        <v>282.24</v>
      </c>
      <c r="W17" s="25">
        <f ca="1">Titres[[#This Row],[Dividende annuel]]/Titres[[#This Row],[Prix actuel]]</f>
        <v>3.5355129650507328E-2</v>
      </c>
      <c r="X17" s="49">
        <f>Titres[[#This Row],[Dividende annuel]]/Titres[[#This Row],[Coût moyen]]</f>
        <v>4.0401958258180881E-2</v>
      </c>
      <c r="Y17" s="12">
        <v>1</v>
      </c>
      <c r="Z17" s="40">
        <f ca="1">(((Titres[[#This Row],[Valeur au marché
($ local)]]-Titres[[#This Row],[Coût total]])+Titres[[#This Row],[Total - dividendes reçus]])/Titres[[#This Row],[Coût total]])</f>
        <v>0.20490280282859513</v>
      </c>
      <c r="AA17" s="38">
        <f>SUM(Titres[[#This Row],[Janvier 2019]:[Août 2024]])</f>
        <v>434.21000000000004</v>
      </c>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51"/>
      <c r="BA17" s="51"/>
      <c r="BN17" s="51">
        <v>40.630000000000003</v>
      </c>
      <c r="BQ17" s="51">
        <v>40.47</v>
      </c>
      <c r="BT17" s="51">
        <v>41.96</v>
      </c>
      <c r="BW17" s="51">
        <v>43.23</v>
      </c>
      <c r="CA17" s="51"/>
      <c r="CB17" s="51"/>
      <c r="CC17" s="51">
        <v>45.91</v>
      </c>
      <c r="CD17" s="51"/>
      <c r="CE17" s="51"/>
      <c r="CF17" s="51">
        <v>45.67</v>
      </c>
      <c r="CG17" s="51"/>
      <c r="CH17" s="51"/>
      <c r="CI17" s="51">
        <v>45.84</v>
      </c>
      <c r="CJ17" s="51"/>
      <c r="CK17" s="51"/>
      <c r="CL17" s="51">
        <v>43.36</v>
      </c>
      <c r="CM17" s="51"/>
      <c r="CN17" s="51"/>
      <c r="CO17" s="51"/>
      <c r="CP17" s="51">
        <v>87.14</v>
      </c>
      <c r="CQ17" s="51"/>
      <c r="CR17" s="51">
        <v>86.21</v>
      </c>
      <c r="CS17" s="51"/>
      <c r="CT17" s="51"/>
      <c r="CU17" s="51">
        <v>89.52</v>
      </c>
      <c r="CV17" s="51"/>
      <c r="CW17" s="51"/>
      <c r="CX17" s="51">
        <v>96.94</v>
      </c>
      <c r="CY17" s="51"/>
      <c r="CZ17" s="51"/>
      <c r="DA17" s="51">
        <v>92.37</v>
      </c>
      <c r="DB17" s="51"/>
      <c r="DC17" s="51"/>
      <c r="DD17" s="51">
        <v>92.26</v>
      </c>
      <c r="DE17" s="51"/>
      <c r="DF17" s="51"/>
      <c r="DG17" s="51">
        <v>93.86</v>
      </c>
      <c r="DH17" s="51"/>
      <c r="DI17" s="51"/>
    </row>
    <row r="18" spans="2:113" x14ac:dyDescent="0.25">
      <c r="B18" s="12" t="str">
        <f t="shared" si="3"/>
        <v>20K6HU7</v>
      </c>
      <c r="C18" s="12" t="s">
        <v>162</v>
      </c>
      <c r="D18" t="e" vm="519">
        <v>#VALUE!</v>
      </c>
      <c r="E18" s="12" t="str" cm="1">
        <f t="array" aca="1" ref="E18" ca="1">_FV(Titres[[#This Row],[Action]],"Code mnémonique",TRUE)</f>
        <v>CVX</v>
      </c>
      <c r="F18" t="str" cm="1">
        <f t="array" aca="1" ref="F18" ca="1">_FV(D18,"Change")</f>
        <v>New York Stock Exchange</v>
      </c>
      <c r="G18" t="str" cm="1">
        <f t="array" aca="1" ref="G18" ca="1">IFERROR(_FV(Titres[[#This Row],[Action]],"Industrie"),"")</f>
        <v>Oil &amp; Gas</v>
      </c>
      <c r="H18" t="s">
        <v>206</v>
      </c>
      <c r="I18" s="12" t="str" cm="1">
        <f t="array" aca="1" ref="I18" ca="1">_FV(D18,"Devise")</f>
        <v>USD</v>
      </c>
      <c r="J18" s="28">
        <v>12</v>
      </c>
      <c r="K18" s="41">
        <v>105.7</v>
      </c>
      <c r="L18" s="41">
        <f t="shared" si="4"/>
        <v>1268.4000000000001</v>
      </c>
      <c r="M18" s="41" cm="1">
        <f t="array" aca="1" ref="M18" ca="1">_FV(D18,"Prix")</f>
        <v>186.02</v>
      </c>
      <c r="N18" s="49">
        <f t="shared" ca="1" si="5"/>
        <v>2232.2400000000002</v>
      </c>
      <c r="O18" s="49">
        <f ca="1">IF(Titres[[#This Row],[Devise]]="CAD",Titres[[#This Row],[Valeur au marché
($ local)]],Titres[[#This Row],[Valeur au marché
($ local)]]*Ressources!$I$3)</f>
        <v>3049.2398400000006</v>
      </c>
      <c r="P18" s="49" cm="1">
        <f t="array" aca="1" ref="P18" ca="1">(Titres[[#This Row],[Prix actuel]]-_FV(Titres[[#This Row],[Action]],"Clôture précédente",TRUE))*Titres[[#This Row],[Nb d''actions]]</f>
        <v>33.240000000000123</v>
      </c>
      <c r="Q18" s="22">
        <f ca="1">Titres[[#This Row],[Variation du jour ($)]]/(Titres[[#This Row],[Valeur au marché
($ local)]]-Titres[[#This Row],[Variation du jour ($)]])</f>
        <v>1.511596180081861E-2</v>
      </c>
      <c r="R18" s="41">
        <f ca="1">Titres[[#This Row],[Valeur au marché
($ local)]]-Titres[[#This Row],[Coût total]]</f>
        <v>963.84000000000015</v>
      </c>
      <c r="S18" s="22">
        <f ca="1">Titres[[#This Row],[Gain non réalisé ($)]]/Titres[[#This Row],[Coût total]]</f>
        <v>0.75988647114474939</v>
      </c>
      <c r="T18" s="50">
        <v>1.78</v>
      </c>
      <c r="U18" s="41">
        <f>4*Titres[[#This Row],[Dividende trimestriel]]</f>
        <v>7.12</v>
      </c>
      <c r="V18" s="41">
        <f>Titres[[#This Row],[Dividende annuel]]*Titres[[#This Row],[Nb d''actions]]</f>
        <v>85.44</v>
      </c>
      <c r="W18" s="25">
        <f ca="1">Titres[[#This Row],[Dividende annuel]]/Titres[[#This Row],[Prix actuel]]</f>
        <v>3.8275454252230938E-2</v>
      </c>
      <c r="X18" s="49">
        <f>Titres[[#This Row],[Dividende annuel]]/Titres[[#This Row],[Coût moyen]]</f>
        <v>6.7360454115421006E-2</v>
      </c>
      <c r="Y18" s="12">
        <v>35</v>
      </c>
      <c r="Z18" s="40">
        <f ca="1">(((Titres[[#This Row],[Valeur au marché
($ local)]]-Titres[[#This Row],[Coût total]])+Titres[[#This Row],[Total - dividendes reçus]])/Titres[[#This Row],[Coût total]])</f>
        <v>1.0456953642384106</v>
      </c>
      <c r="AA18" s="38">
        <f>SUM(Titres[[#This Row],[Janvier 2019]:[Août 2024]])</f>
        <v>362.52</v>
      </c>
      <c r="AB18" s="38"/>
      <c r="AC18" s="38"/>
      <c r="AD18" s="38">
        <v>14.28</v>
      </c>
      <c r="AE18" s="38"/>
      <c r="AF18" s="38"/>
      <c r="AG18" s="38">
        <v>14.28</v>
      </c>
      <c r="AH18" s="38"/>
      <c r="AI18" s="38"/>
      <c r="AJ18" s="38">
        <v>14.28</v>
      </c>
      <c r="AK18" s="38"/>
      <c r="AL18" s="38"/>
      <c r="AM18" s="38">
        <v>14.28</v>
      </c>
      <c r="AN18" s="38"/>
      <c r="AO18" s="38"/>
      <c r="AP18" s="38">
        <v>15.48</v>
      </c>
      <c r="AQ18" s="38"/>
      <c r="AR18" s="38"/>
      <c r="AS18" s="38">
        <v>15.48</v>
      </c>
      <c r="AT18" s="38"/>
      <c r="AU18" s="38"/>
      <c r="AV18" s="38">
        <v>15.48</v>
      </c>
      <c r="AW18" s="38"/>
      <c r="AX18" s="38"/>
      <c r="AY18" s="38">
        <v>15.48</v>
      </c>
      <c r="AZ18" s="51"/>
      <c r="BA18" s="51"/>
      <c r="BB18" s="51">
        <v>15.48</v>
      </c>
      <c r="BE18" s="51">
        <v>16.079999999999998</v>
      </c>
      <c r="BH18" s="51">
        <v>16.079999999999998</v>
      </c>
      <c r="BK18" s="51">
        <v>16.079999999999998</v>
      </c>
      <c r="BN18" s="51">
        <v>17.04</v>
      </c>
      <c r="BQ18" s="51">
        <v>17.04</v>
      </c>
      <c r="BT18" s="51">
        <v>17.04</v>
      </c>
      <c r="BW18" s="51">
        <v>17.04</v>
      </c>
      <c r="BZ18" s="51">
        <v>18.12</v>
      </c>
      <c r="CA18" s="51"/>
      <c r="CB18" s="51"/>
      <c r="CC18" s="51">
        <v>18.12</v>
      </c>
      <c r="CD18" s="51"/>
      <c r="CE18" s="51"/>
      <c r="CF18" s="51">
        <v>18.12</v>
      </c>
      <c r="CG18" s="51"/>
      <c r="CH18" s="51"/>
      <c r="CI18" s="51">
        <v>18.12</v>
      </c>
      <c r="CJ18" s="51"/>
      <c r="CK18" s="51"/>
      <c r="CL18" s="51">
        <v>19.559999999999999</v>
      </c>
      <c r="CM18" s="51"/>
      <c r="CN18" s="51"/>
      <c r="CO18" s="51">
        <v>19.559999999999999</v>
      </c>
      <c r="CP18" s="51"/>
      <c r="CQ18" s="51"/>
      <c r="CR18" s="51">
        <v>19.559999999999999</v>
      </c>
      <c r="CS18" s="51"/>
      <c r="CT18" s="51"/>
      <c r="CU18" s="51">
        <v>19.559999999999999</v>
      </c>
      <c r="CV18" s="51"/>
      <c r="CW18" s="51"/>
      <c r="CX18" s="51">
        <v>20.52</v>
      </c>
      <c r="CY18" s="51"/>
      <c r="CZ18" s="51"/>
      <c r="DA18" s="51">
        <v>20.52</v>
      </c>
      <c r="DB18" s="51"/>
      <c r="DC18" s="51"/>
      <c r="DD18" s="51">
        <v>20.52</v>
      </c>
      <c r="DE18" s="51"/>
      <c r="DF18" s="51"/>
      <c r="DG18" s="51">
        <v>20.52</v>
      </c>
      <c r="DH18" s="51"/>
      <c r="DI18" s="51"/>
    </row>
    <row r="19" spans="2:113" x14ac:dyDescent="0.25">
      <c r="B19" s="12" t="str">
        <f t="shared" si="3"/>
        <v>20K6HU7</v>
      </c>
      <c r="C19" s="12" t="s">
        <v>162</v>
      </c>
      <c r="D19" t="e" vm="520">
        <v>#VALUE!</v>
      </c>
      <c r="E19" s="12" t="str" cm="1">
        <f t="array" aca="1" ref="E19" ca="1">_FV(Titres[[#This Row],[Action]],"Code mnémonique",TRUE)</f>
        <v>CL</v>
      </c>
      <c r="F19" t="str" cm="1">
        <f t="array" aca="1" ref="F19" ca="1">_FV(D19,"Change")</f>
        <v>New York Stock Exchange</v>
      </c>
      <c r="G19" t="str" cm="1">
        <f t="array" aca="1" ref="G19" ca="1">IFERROR(_FV(Titres[[#This Row],[Action]],"Industrie"),"")</f>
        <v>Personal &amp; Household Products &amp; Services</v>
      </c>
      <c r="H19" t="s">
        <v>206</v>
      </c>
      <c r="I19" s="12" t="str" cm="1">
        <f t="array" aca="1" ref="I19" ca="1">_FV(D19,"Devise")</f>
        <v>USD</v>
      </c>
      <c r="J19" s="28">
        <v>23</v>
      </c>
      <c r="K19" s="41">
        <v>68.739999999999995</v>
      </c>
      <c r="L19" s="41">
        <f t="shared" si="4"/>
        <v>1581.02</v>
      </c>
      <c r="M19" s="41" cm="1">
        <f t="array" aca="1" ref="M19" ca="1">_FV(D19,"Prix")</f>
        <v>81.81</v>
      </c>
      <c r="N19" s="49">
        <f t="shared" ca="1" si="5"/>
        <v>1881.63</v>
      </c>
      <c r="O19" s="49">
        <f ca="1">IF(Titres[[#This Row],[Devise]]="CAD",Titres[[#This Row],[Valeur au marché
($ local)]],Titres[[#This Row],[Valeur au marché
($ local)]]*Ressources!$I$3)</f>
        <v>2570.3065800000004</v>
      </c>
      <c r="P19" s="49" cm="1">
        <f t="array" aca="1" ref="P19" ca="1">(Titres[[#This Row],[Prix actuel]]-_FV(Titres[[#This Row],[Action]],"Clôture précédente",TRUE))*Titres[[#This Row],[Nb d''actions]]</f>
        <v>-39.559999999999974</v>
      </c>
      <c r="Q19" s="22">
        <f ca="1">Titres[[#This Row],[Variation du jour ($)]]/(Titres[[#This Row],[Valeur au marché
($ local)]]-Titres[[#This Row],[Variation du jour ($)]])</f>
        <v>-2.0591404285885295E-2</v>
      </c>
      <c r="R19" s="41">
        <f ca="1">Titres[[#This Row],[Valeur au marché
($ local)]]-Titres[[#This Row],[Coût total]]</f>
        <v>300.61000000000013</v>
      </c>
      <c r="S19" s="22">
        <f ca="1">Titres[[#This Row],[Gain non réalisé ($)]]/Titres[[#This Row],[Coût total]]</f>
        <v>0.19013674716322382</v>
      </c>
      <c r="T19" s="50">
        <v>0.52</v>
      </c>
      <c r="U19" s="41">
        <f>4*Titres[[#This Row],[Dividende trimestriel]]</f>
        <v>2.08</v>
      </c>
      <c r="V19" s="41">
        <f>Titres[[#This Row],[Dividende annuel]]*Titres[[#This Row],[Nb d''actions]]</f>
        <v>47.84</v>
      </c>
      <c r="W19" s="25">
        <f ca="1">Titres[[#This Row],[Dividende annuel]]/Titres[[#This Row],[Prix actuel]]</f>
        <v>2.5424764698692093E-2</v>
      </c>
      <c r="X19" s="49">
        <f>Titres[[#This Row],[Dividende annuel]]/Titres[[#This Row],[Coût moyen]]</f>
        <v>3.0258946755891768E-2</v>
      </c>
      <c r="Y19" s="12">
        <v>59</v>
      </c>
      <c r="Z19" s="40">
        <f ca="1">(((Titres[[#This Row],[Valeur au marché
($ local)]]-Titres[[#This Row],[Coût total]])+Titres[[#This Row],[Total - dividendes reçus]])/Titres[[#This Row],[Coût total]])</f>
        <v>0.34288623799825435</v>
      </c>
      <c r="AA19" s="38">
        <f>SUM(Titres[[#This Row],[Janvier 2019]:[Août 2024]])</f>
        <v>241.49999999999997</v>
      </c>
      <c r="AB19" s="38"/>
      <c r="AC19" s="38">
        <v>9.66</v>
      </c>
      <c r="AD19" s="38"/>
      <c r="AE19" s="38"/>
      <c r="AF19" s="38">
        <v>9.89</v>
      </c>
      <c r="AG19" s="38"/>
      <c r="AH19" s="38"/>
      <c r="AI19" s="38">
        <v>9.89</v>
      </c>
      <c r="AJ19" s="38"/>
      <c r="AK19" s="38"/>
      <c r="AL19" s="38">
        <v>9.89</v>
      </c>
      <c r="AM19" s="38"/>
      <c r="AN19" s="38"/>
      <c r="AO19" s="38">
        <v>9.89</v>
      </c>
      <c r="AP19" s="38"/>
      <c r="AQ19" s="38"/>
      <c r="AR19" s="38">
        <v>10.119999999999999</v>
      </c>
      <c r="AS19" s="38"/>
      <c r="AT19" s="38"/>
      <c r="AU19" s="38">
        <v>10.119999999999999</v>
      </c>
      <c r="AV19" s="38"/>
      <c r="AW19" s="38"/>
      <c r="AX19" s="38">
        <v>10.119999999999999</v>
      </c>
      <c r="AY19" s="38"/>
      <c r="AZ19" s="51"/>
      <c r="BA19" s="51">
        <v>10.119999999999999</v>
      </c>
      <c r="BD19" s="51">
        <v>10.35</v>
      </c>
      <c r="BG19" s="51">
        <v>10.35</v>
      </c>
      <c r="BJ19" s="51">
        <v>10.35</v>
      </c>
      <c r="BM19" s="51">
        <v>10.35</v>
      </c>
      <c r="BP19" s="51">
        <v>10.81</v>
      </c>
      <c r="BS19" s="51">
        <v>10.81</v>
      </c>
      <c r="BV19" s="51">
        <v>10.81</v>
      </c>
      <c r="BY19" s="51">
        <v>10.81</v>
      </c>
      <c r="CA19" s="51"/>
      <c r="CB19" s="51">
        <v>11.04</v>
      </c>
      <c r="CC19" s="51"/>
      <c r="CD19" s="51"/>
      <c r="CE19" s="51">
        <v>11.04</v>
      </c>
      <c r="CF19" s="51"/>
      <c r="CG19" s="51"/>
      <c r="CH19" s="51">
        <v>11.04</v>
      </c>
      <c r="CI19" s="51"/>
      <c r="CJ19" s="51"/>
      <c r="CK19" s="51">
        <v>11.04</v>
      </c>
      <c r="CL19" s="51"/>
      <c r="CM19" s="51"/>
      <c r="CN19" s="51">
        <v>11.5</v>
      </c>
      <c r="CO19" s="51"/>
      <c r="CP19" s="51"/>
      <c r="CQ19" s="51">
        <v>11.5</v>
      </c>
      <c r="CR19" s="51"/>
      <c r="CS19" s="51"/>
      <c r="CT19" s="51">
        <v>11.5</v>
      </c>
      <c r="CU19" s="51"/>
      <c r="CV19" s="51"/>
      <c r="CW19" s="51">
        <v>11.5</v>
      </c>
      <c r="CX19" s="51"/>
      <c r="CY19" s="51"/>
      <c r="CZ19" s="51">
        <v>11.96</v>
      </c>
      <c r="DA19" s="51"/>
      <c r="DB19" s="51"/>
      <c r="DC19" s="51">
        <v>11.96</v>
      </c>
      <c r="DD19" s="51"/>
      <c r="DE19" s="51"/>
      <c r="DF19" s="51">
        <v>11.96</v>
      </c>
      <c r="DG19" s="51"/>
      <c r="DH19" s="51"/>
      <c r="DI19" s="51">
        <v>11.96</v>
      </c>
    </row>
    <row r="20" spans="2:113" x14ac:dyDescent="0.25">
      <c r="B20" s="12" t="str">
        <f t="shared" si="3"/>
        <v>20K6HF2</v>
      </c>
      <c r="C20" s="12" t="s">
        <v>159</v>
      </c>
      <c r="D20" t="e" vm="521">
        <v>#VALUE!</v>
      </c>
      <c r="E20" s="12" t="str" cm="1">
        <f t="array" aca="1" ref="E20" ca="1">_FV(Titres[[#This Row],[Action]],"Code mnémonique",TRUE)</f>
        <v>CMP</v>
      </c>
      <c r="F20" t="str" cm="1">
        <f t="array" aca="1" ref="F20" ca="1">_FV(D20,"Change")</f>
        <v>New York Stock Exchange</v>
      </c>
      <c r="G20" t="str" cm="1">
        <f t="array" aca="1" ref="G20" ca="1">IFERROR(_FV(Titres[[#This Row],[Action]],"Industrie"),"")</f>
        <v>Chemicals</v>
      </c>
      <c r="H20" t="s">
        <v>206</v>
      </c>
      <c r="I20" s="12" t="str" cm="1">
        <f t="array" aca="1" ref="I20" ca="1">_FV(D20,"Devise")</f>
        <v>USD</v>
      </c>
      <c r="J20" s="28">
        <v>0</v>
      </c>
      <c r="K20" s="41">
        <v>46.48</v>
      </c>
      <c r="L20" s="41">
        <f t="shared" si="4"/>
        <v>0</v>
      </c>
      <c r="M20" s="41" cm="1">
        <f t="array" aca="1" ref="M20" ca="1">_FV(D20,"Prix")</f>
        <v>25.55</v>
      </c>
      <c r="N20" s="49">
        <f t="shared" ca="1" si="5"/>
        <v>0</v>
      </c>
      <c r="O20" s="49">
        <f ca="1">IF(Titres[[#This Row],[Devise]]="CAD",Titres[[#This Row],[Valeur au marché
($ local)]],Titres[[#This Row],[Valeur au marché
($ local)]]*Ressources!$I$3)</f>
        <v>0</v>
      </c>
      <c r="P20" s="49" cm="1">
        <f t="array" aca="1" ref="P20" ca="1">(Titres[[#This Row],[Prix actuel]]-_FV(Titres[[#This Row],[Action]],"Clôture précédente",TRUE))*Titres[[#This Row],[Nb d''actions]]</f>
        <v>0</v>
      </c>
      <c r="Q20" s="22" t="e">
        <f ca="1">Titres[[#This Row],[Variation du jour ($)]]/(Titres[[#This Row],[Valeur au marché
($ local)]]-Titres[[#This Row],[Variation du jour ($)]])</f>
        <v>#DIV/0!</v>
      </c>
      <c r="R20" s="41">
        <f ca="1">Titres[[#This Row],[Valeur au marché
($ local)]]-Titres[[#This Row],[Coût total]]</f>
        <v>0</v>
      </c>
      <c r="S20" s="22" t="e">
        <f ca="1">Titres[[#This Row],[Gain non réalisé ($)]]/Titres[[#This Row],[Coût total]]</f>
        <v>#DIV/0!</v>
      </c>
      <c r="T20" s="50">
        <v>0.15</v>
      </c>
      <c r="U20" s="41">
        <f>4*Titres[[#This Row],[Dividende trimestriel]]</f>
        <v>0.6</v>
      </c>
      <c r="V20" s="41">
        <f>Titres[[#This Row],[Dividende annuel]]*Titres[[#This Row],[Nb d''actions]]</f>
        <v>0</v>
      </c>
      <c r="W20" s="25">
        <f ca="1">Titres[[#This Row],[Dividende annuel]]/Titres[[#This Row],[Prix actuel]]</f>
        <v>2.3483365949119372E-2</v>
      </c>
      <c r="X20" s="49">
        <f>Titres[[#This Row],[Dividende annuel]]/Titres[[#This Row],[Coût moyen]]</f>
        <v>1.2908777969018933E-2</v>
      </c>
      <c r="Y20" s="12">
        <v>0</v>
      </c>
      <c r="Z20" s="40" t="e">
        <f ca="1">(((Titres[[#This Row],[Valeur au marché
($ local)]]-Titres[[#This Row],[Coût total]])+Titres[[#This Row],[Total - dividendes reçus]])/Titres[[#This Row],[Coût total]])</f>
        <v>#DIV/0!</v>
      </c>
      <c r="AA20" s="38">
        <f>SUM(Titres[[#This Row],[Janvier 2019]:[Août 2024]])</f>
        <v>70.099999999999994</v>
      </c>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51"/>
      <c r="BA20" s="51"/>
      <c r="BZ20" s="51">
        <v>14.02</v>
      </c>
      <c r="CA20" s="51"/>
      <c r="CB20" s="51"/>
      <c r="CC20" s="51">
        <v>14.02</v>
      </c>
      <c r="CD20" s="51"/>
      <c r="CE20" s="51"/>
      <c r="CF20" s="51">
        <v>14.02</v>
      </c>
      <c r="CG20" s="51"/>
      <c r="CH20" s="51"/>
      <c r="CI20" s="51">
        <v>14.02</v>
      </c>
      <c r="CJ20" s="51"/>
      <c r="CK20" s="51"/>
      <c r="CL20" s="51">
        <v>14.02</v>
      </c>
      <c r="CM20" s="51"/>
      <c r="CN20" s="51"/>
      <c r="CO20" s="51"/>
      <c r="CP20" s="51"/>
      <c r="CQ20" s="51"/>
      <c r="CR20" s="51"/>
      <c r="CS20" s="51"/>
      <c r="CT20" s="51"/>
      <c r="CU20" s="51"/>
      <c r="CV20" s="51"/>
      <c r="CW20" s="51"/>
      <c r="CX20" s="51"/>
      <c r="CY20" s="51"/>
      <c r="CZ20" s="51"/>
      <c r="DA20" s="51"/>
      <c r="DB20" s="51"/>
      <c r="DC20" s="51"/>
      <c r="DD20" s="51"/>
      <c r="DE20" s="51"/>
      <c r="DF20" s="51"/>
      <c r="DG20" s="51"/>
      <c r="DH20" s="51"/>
      <c r="DI20" s="51"/>
    </row>
    <row r="21" spans="2:113" x14ac:dyDescent="0.25">
      <c r="B21" s="12" t="str">
        <f t="shared" si="3"/>
        <v>20K6HE4</v>
      </c>
      <c r="C21" s="12" t="s">
        <v>158</v>
      </c>
      <c r="D21" t="e" vm="522">
        <v>#VALUE!</v>
      </c>
      <c r="E21" s="12" t="str" cm="1">
        <f t="array" aca="1" ref="E21" ca="1">_FV(Titres[[#This Row],[Action]],"Code mnémonique",TRUE)</f>
        <v>XSP</v>
      </c>
      <c r="F21" t="str" cm="1">
        <f t="array" aca="1" ref="F21" ca="1">_FV(D21,"Change")</f>
        <v>Toronto Stock Exchange</v>
      </c>
      <c r="G21" t="str" cm="1">
        <f t="array" ref="G21">IFERROR(_FV(Titres[[#This Row],[Action]],"Industrie"),"")</f>
        <v/>
      </c>
      <c r="H21" t="s">
        <v>206</v>
      </c>
      <c r="I21" s="12" t="str" cm="1">
        <f t="array" aca="1" ref="I21" ca="1">_FV(D21,"Devise")</f>
        <v>CAD</v>
      </c>
      <c r="J21" s="28">
        <v>500</v>
      </c>
      <c r="K21" s="41">
        <v>55.91</v>
      </c>
      <c r="L21" s="41">
        <f t="shared" si="4"/>
        <v>27955</v>
      </c>
      <c r="M21" s="41" cm="1">
        <f t="array" aca="1" ref="M21" ca="1">_FV(D21,"Prix")</f>
        <v>71.38</v>
      </c>
      <c r="N21" s="49">
        <f t="shared" ca="1" si="5"/>
        <v>35690</v>
      </c>
      <c r="O21" s="49">
        <f ca="1">IF(Titres[[#This Row],[Devise]]="CAD",Titres[[#This Row],[Valeur au marché
($ local)]],Titres[[#This Row],[Valeur au marché
($ local)]]*Ressources!$I$3)</f>
        <v>35690</v>
      </c>
      <c r="P21" s="49" cm="1">
        <f t="array" aca="1" ref="P21" ca="1">(Titres[[#This Row],[Prix actuel]]-_FV(Titres[[#This Row],[Action]],"Clôture précédente",TRUE))*Titres[[#This Row],[Nb d''actions]]</f>
        <v>-230.00000000000398</v>
      </c>
      <c r="Q21" s="22">
        <f ca="1">Titres[[#This Row],[Variation du jour ($)]]/(Titres[[#This Row],[Valeur au marché
($ local)]]-Titres[[#This Row],[Variation du jour ($)]])</f>
        <v>-6.403118040089196E-3</v>
      </c>
      <c r="R21" s="76">
        <f ca="1">Titres[[#This Row],[Valeur au marché
($ local)]]-Titres[[#This Row],[Coût total]]</f>
        <v>7735</v>
      </c>
      <c r="S21" s="22">
        <f ca="1">Titres[[#This Row],[Gain non réalisé ($)]]/Titres[[#This Row],[Coût total]]</f>
        <v>0.27669468789125379</v>
      </c>
      <c r="T21" s="50">
        <v>0.55600000000000005</v>
      </c>
      <c r="U21" s="41">
        <f>4*Titres[[#This Row],[Dividende trimestriel]]</f>
        <v>2.2240000000000002</v>
      </c>
      <c r="V21" s="41">
        <f>Titres[[#This Row],[Dividende annuel]]*Titres[[#This Row],[Nb d''actions]]</f>
        <v>1112</v>
      </c>
      <c r="W21" s="25">
        <f ca="1">Titres[[#This Row],[Dividende annuel]]/Titres[[#This Row],[Prix actuel]]</f>
        <v>3.1157186887083223E-2</v>
      </c>
      <c r="X21" s="49">
        <f>Titres[[#This Row],[Dividende annuel]]/Titres[[#This Row],[Coût moyen]]</f>
        <v>3.977821498837418E-2</v>
      </c>
      <c r="Z21" s="40">
        <f ca="1">(((Titres[[#This Row],[Valeur au marché
($ local)]]-Titres[[#This Row],[Coût total]])+Titres[[#This Row],[Total - dividendes reçus]])/Titres[[#This Row],[Coût total]])</f>
        <v>0.27969951708102309</v>
      </c>
      <c r="AA21" s="38">
        <f>SUM(Titres[[#This Row],[Janvier 2019]:[Août 2024]])</f>
        <v>84</v>
      </c>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51"/>
      <c r="BA21" s="51"/>
      <c r="CA21" s="51"/>
      <c r="CB21" s="51"/>
      <c r="CC21" s="51"/>
      <c r="CD21" s="51"/>
      <c r="CE21" s="51"/>
      <c r="CF21" s="51"/>
      <c r="CG21" s="51"/>
      <c r="CH21" s="51"/>
      <c r="CI21" s="51"/>
      <c r="CJ21" s="51"/>
      <c r="CK21" s="51"/>
      <c r="CL21" s="51"/>
      <c r="CM21" s="51"/>
      <c r="CN21" s="51"/>
      <c r="CO21" s="51"/>
      <c r="CP21" s="51">
        <v>84</v>
      </c>
      <c r="CQ21" s="51"/>
      <c r="CR21" s="51"/>
      <c r="CS21" s="51"/>
      <c r="CT21" s="51"/>
      <c r="CU21" s="51"/>
      <c r="CV21" s="51">
        <v>192.35</v>
      </c>
      <c r="CW21" s="51"/>
      <c r="CX21" s="51"/>
      <c r="CY21" s="51"/>
      <c r="CZ21" s="51"/>
      <c r="DA21" s="51">
        <v>150</v>
      </c>
      <c r="DB21" s="51"/>
      <c r="DC21" s="51"/>
      <c r="DD21" s="51"/>
      <c r="DE21" s="51"/>
      <c r="DF21" s="51"/>
      <c r="DG21" s="51"/>
      <c r="DH21" s="51">
        <v>278</v>
      </c>
      <c r="DI21" s="51"/>
    </row>
    <row r="22" spans="2:113" x14ac:dyDescent="0.25">
      <c r="B22" s="12" t="str">
        <f t="shared" si="3"/>
        <v>20K6HZ6</v>
      </c>
      <c r="C22" s="12" t="s">
        <v>160</v>
      </c>
      <c r="D22" t="e" vm="523">
        <v>#VALUE!</v>
      </c>
      <c r="E22" s="12" t="str" cm="1">
        <f t="array" aca="1" ref="E22" ca="1">_FV(Titres[[#This Row],[Action]],"Code mnémonique",TRUE)</f>
        <v>CTC</v>
      </c>
      <c r="F22" t="str" cm="1">
        <f t="array" aca="1" ref="F22" ca="1">_FV(D22,"Change")</f>
        <v>Toronto Stock Exchange</v>
      </c>
      <c r="G22" t="str" cm="1">
        <f t="array" aca="1" ref="G22" ca="1">IFERROR(_FV(Titres[[#This Row],[Action]],"Industrie"),"")</f>
        <v>Diversified Retail</v>
      </c>
      <c r="H22" t="s">
        <v>205</v>
      </c>
      <c r="I22" s="12" t="str" cm="1">
        <f t="array" aca="1" ref="I22" ca="1">_FV(D22,"Devise")</f>
        <v>CAD</v>
      </c>
      <c r="J22" s="28">
        <v>24</v>
      </c>
      <c r="K22" s="41">
        <v>224.3</v>
      </c>
      <c r="L22" s="41">
        <f t="shared" si="4"/>
        <v>5383.2000000000007</v>
      </c>
      <c r="M22" s="41" cm="1">
        <f t="array" aca="1" ref="M22" ca="1">_FV(D22,"Prix")</f>
        <v>219.99</v>
      </c>
      <c r="N22" s="49">
        <f t="shared" ca="1" si="5"/>
        <v>5279.76</v>
      </c>
      <c r="O22" s="49">
        <f ca="1">IF(Titres[[#This Row],[Devise]]="CAD",Titres[[#This Row],[Valeur au marché
($ local)]],Titres[[#This Row],[Valeur au marché
($ local)]]*Ressources!$I$3)</f>
        <v>5279.76</v>
      </c>
      <c r="P22" s="49" cm="1">
        <f t="array" aca="1" ref="P22" ca="1">(Titres[[#This Row],[Prix actuel]]-_FV(Titres[[#This Row],[Action]],"Clôture précédente",TRUE))*Titres[[#This Row],[Nb d''actions]]</f>
        <v>167.76000000000022</v>
      </c>
      <c r="Q22" s="22">
        <f ca="1">Titres[[#This Row],[Variation du jour ($)]]/(Titres[[#This Row],[Valeur au marché
($ local)]]-Titres[[#This Row],[Variation du jour ($)]])</f>
        <v>3.2816901408450748E-2</v>
      </c>
      <c r="R22" s="76">
        <f ca="1">Titres[[#This Row],[Valeur au marché
($ local)]]-Titres[[#This Row],[Coût total]]</f>
        <v>-103.44000000000051</v>
      </c>
      <c r="S22" s="22">
        <f ca="1">Titres[[#This Row],[Gain non réalisé ($)]]/Titres[[#This Row],[Coût total]]</f>
        <v>-1.9215336602764248E-2</v>
      </c>
      <c r="T22" s="50">
        <v>1.8</v>
      </c>
      <c r="U22" s="41">
        <f>4*Titres[[#This Row],[Dividende trimestriel]]</f>
        <v>7.2</v>
      </c>
      <c r="V22" s="41">
        <f>Titres[[#This Row],[Dividende annuel]]*Titres[[#This Row],[Nb d''actions]]</f>
        <v>172.8</v>
      </c>
      <c r="W22" s="25">
        <f ca="1">Titres[[#This Row],[Dividende annuel]]/Titres[[#This Row],[Prix actuel]]</f>
        <v>3.272876039819992E-2</v>
      </c>
      <c r="X22" s="49">
        <f>Titres[[#This Row],[Dividende annuel]]/Titres[[#This Row],[Coût moyen]]</f>
        <v>3.2099866250557288E-2</v>
      </c>
      <c r="Y22" s="12">
        <v>12</v>
      </c>
      <c r="Z22" s="40">
        <f ca="1">(((Titres[[#This Row],[Valeur au marché
($ local)]]-Titres[[#This Row],[Coût total]])+Titres[[#This Row],[Total - dividendes reçus]])/Titres[[#This Row],[Coût total]])</f>
        <v>-1.5180561747659478E-2</v>
      </c>
      <c r="AA22" s="38">
        <f>SUM(Titres[[#This Row],[Janvier 2019]:[Août 2024]])</f>
        <v>21.72</v>
      </c>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51"/>
      <c r="BA22" s="51"/>
      <c r="CA22" s="51"/>
      <c r="CB22" s="51"/>
      <c r="CC22" s="51"/>
      <c r="CD22" s="51"/>
      <c r="CE22" s="51">
        <f>25.55-3.83</f>
        <v>21.72</v>
      </c>
      <c r="CF22" s="51"/>
      <c r="CG22" s="51"/>
      <c r="CH22" s="51"/>
      <c r="CI22" s="51"/>
      <c r="CJ22" s="51"/>
      <c r="CK22" s="51"/>
      <c r="CL22" s="51"/>
      <c r="CM22" s="51"/>
      <c r="CN22" s="51"/>
      <c r="CO22" s="51"/>
      <c r="CP22" s="51"/>
      <c r="CQ22" s="51"/>
      <c r="CR22" s="51">
        <v>21</v>
      </c>
      <c r="CS22" s="51"/>
      <c r="CT22" s="51"/>
      <c r="CU22" s="51">
        <v>29.75</v>
      </c>
      <c r="CV22" s="51"/>
      <c r="CW22" s="51"/>
      <c r="CX22" s="51">
        <v>30.18</v>
      </c>
      <c r="CY22" s="51"/>
      <c r="CZ22" s="51"/>
      <c r="DA22" s="51">
        <v>30.18</v>
      </c>
      <c r="DB22" s="51"/>
      <c r="DC22" s="51"/>
      <c r="DD22" s="51">
        <v>42.6</v>
      </c>
      <c r="DE22" s="51"/>
      <c r="DF22" s="51"/>
      <c r="DG22" s="51">
        <v>42.6</v>
      </c>
      <c r="DH22" s="51"/>
      <c r="DI22" s="51"/>
    </row>
    <row r="23" spans="2:113" x14ac:dyDescent="0.25">
      <c r="B23" s="12" t="str">
        <f t="shared" si="3"/>
        <v>20K6HZ6</v>
      </c>
      <c r="C23" s="12" t="s">
        <v>160</v>
      </c>
      <c r="D23" t="e" vm="524">
        <v>#VALUE!</v>
      </c>
      <c r="E23" s="12" t="str" cm="1">
        <f t="array" aca="1" ref="E23" ca="1">_FV(Titres[[#This Row],[Action]],"Code mnémonique",TRUE)</f>
        <v>CU</v>
      </c>
      <c r="F23" t="str" cm="1">
        <f t="array" aca="1" ref="F23" ca="1">_FV(D23,"Change")</f>
        <v>Toronto Stock Exchange</v>
      </c>
      <c r="G23" t="str" cm="1">
        <f t="array" aca="1" ref="G23" ca="1">IFERROR(_FV(Titres[[#This Row],[Action]],"Industrie"),"")</f>
        <v>Multiline Utilities</v>
      </c>
      <c r="H23" t="s">
        <v>205</v>
      </c>
      <c r="I23" s="12" t="str" cm="1">
        <f t="array" aca="1" ref="I23" ca="1">_FV(D23,"Devise")</f>
        <v>CAD</v>
      </c>
      <c r="J23" s="28">
        <v>150</v>
      </c>
      <c r="K23" s="41">
        <v>44.48</v>
      </c>
      <c r="L23" s="41">
        <f t="shared" si="4"/>
        <v>6671.9999999999991</v>
      </c>
      <c r="M23" s="41" cm="1">
        <f t="array" aca="1" ref="M23" ca="1">_FV(D23,"Prix")</f>
        <v>47.92</v>
      </c>
      <c r="N23" s="49">
        <f t="shared" ca="1" si="5"/>
        <v>7188</v>
      </c>
      <c r="O23" s="49">
        <f ca="1">IF(Titres[[#This Row],[Devise]]="CAD",Titres[[#This Row],[Valeur au marché
($ local)]],Titres[[#This Row],[Valeur au marché
($ local)]]*Ressources!$I$3)</f>
        <v>7188</v>
      </c>
      <c r="P23" s="49" cm="1">
        <f t="array" aca="1" ref="P23" ca="1">(Titres[[#This Row],[Prix actuel]]-_FV(Titres[[#This Row],[Action]],"Clôture précédente",TRUE))*Titres[[#This Row],[Nb d''actions]]</f>
        <v>-43.499999999999872</v>
      </c>
      <c r="Q23" s="22">
        <f ca="1">Titres[[#This Row],[Variation du jour ($)]]/(Titres[[#This Row],[Valeur au marché
($ local)]]-Titres[[#This Row],[Variation du jour ($)]])</f>
        <v>-6.0153495125492458E-3</v>
      </c>
      <c r="R23" s="76">
        <f ca="1">Titres[[#This Row],[Valeur au marché
($ local)]]-Titres[[#This Row],[Coût total]]</f>
        <v>516.00000000000091</v>
      </c>
      <c r="S23" s="22">
        <f ca="1">Titres[[#This Row],[Gain non réalisé ($)]]/Titres[[#This Row],[Coût total]]</f>
        <v>7.7338129496403021E-2</v>
      </c>
      <c r="T23" s="50">
        <v>0.46200000000000002</v>
      </c>
      <c r="U23" s="41">
        <f>4*Titres[[#This Row],[Dividende trimestriel]]</f>
        <v>1.8480000000000001</v>
      </c>
      <c r="V23" s="41">
        <f>Titres[[#This Row],[Dividende annuel]]*Titres[[#This Row],[Nb d''actions]]</f>
        <v>277.2</v>
      </c>
      <c r="W23" s="25">
        <f ca="1">Titres[[#This Row],[Dividende annuel]]/Titres[[#This Row],[Prix actuel]]</f>
        <v>3.8564273789649418E-2</v>
      </c>
      <c r="X23" s="49">
        <f>Titres[[#This Row],[Dividende annuel]]/Titres[[#This Row],[Coût moyen]]</f>
        <v>4.1546762589928066E-2</v>
      </c>
      <c r="Z23" s="40">
        <f ca="1">(((Titres[[#This Row],[Valeur au marché
($ local)]]-Titres[[#This Row],[Coût total]])+Titres[[#This Row],[Total - dividendes reçus]])/Titres[[#This Row],[Coût total]])</f>
        <v>8.0593525179856268E-2</v>
      </c>
      <c r="AA23" s="38">
        <f>SUM(Titres[[#This Row],[Janvier 2019]:[Août 2024]])</f>
        <v>21.72</v>
      </c>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51"/>
      <c r="BA23" s="51"/>
      <c r="CA23" s="51"/>
      <c r="CB23" s="51"/>
      <c r="CC23" s="51"/>
      <c r="CD23" s="51"/>
      <c r="CE23" s="51">
        <f>25.55-3.83</f>
        <v>21.72</v>
      </c>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row>
    <row r="24" spans="2:113" x14ac:dyDescent="0.25">
      <c r="B24" s="12" t="str">
        <f t="shared" si="3"/>
        <v>20K6HZ6</v>
      </c>
      <c r="C24" s="12" t="s">
        <v>160</v>
      </c>
      <c r="D24" t="e" vm="525">
        <v>#VALUE!</v>
      </c>
      <c r="E24" s="12" t="str" cm="1">
        <f t="array" aca="1" ref="E24" ca="1">_FV(Titres[[#This Row],[Action]],"Code mnémonique",TRUE)</f>
        <v>EMA</v>
      </c>
      <c r="F24" t="str" cm="1">
        <f t="array" aca="1" ref="F24" ca="1">_FV(D24,"Change")</f>
        <v>Toronto Stock Exchange</v>
      </c>
      <c r="G24" t="str" cm="1">
        <f t="array" aca="1" ref="G24" ca="1">IFERROR(_FV(Titres[[#This Row],[Action]],"Industrie"),"")</f>
        <v>Electrical Utilities &amp; IPPs</v>
      </c>
      <c r="H24" t="s">
        <v>205</v>
      </c>
      <c r="I24" s="12" t="str" cm="1">
        <f t="array" aca="1" ref="I24" ca="1">_FV(D24,"Devise")</f>
        <v>CAD</v>
      </c>
      <c r="J24" s="28">
        <v>68</v>
      </c>
      <c r="K24" s="41">
        <v>43.98</v>
      </c>
      <c r="L24" s="41">
        <f t="shared" si="4"/>
        <v>2990.64</v>
      </c>
      <c r="M24" s="41" cm="1">
        <f t="array" aca="1" ref="M24" ca="1">_FV(D24,"Prix")</f>
        <v>70.78</v>
      </c>
      <c r="N24" s="49">
        <f t="shared" ca="1" si="5"/>
        <v>4813.04</v>
      </c>
      <c r="O24" s="49">
        <f ca="1">IF(Titres[[#This Row],[Devise]]="CAD",Titres[[#This Row],[Valeur au marché
($ local)]],Titres[[#This Row],[Valeur au marché
($ local)]]*Ressources!$I$3)</f>
        <v>4813.04</v>
      </c>
      <c r="P24" s="49" cm="1">
        <f t="array" aca="1" ref="P24" ca="1">(Titres[[#This Row],[Prix actuel]]-_FV(Titres[[#This Row],[Action]],"Clôture précédente",TRUE))*Titres[[#This Row],[Nb d''actions]]</f>
        <v>-15.640000000000271</v>
      </c>
      <c r="Q24" s="22">
        <f ca="1">Titres[[#This Row],[Variation du jour ($)]]/(Titres[[#This Row],[Valeur au marché
($ local)]]-Titres[[#This Row],[Variation du jour ($)]])</f>
        <v>-3.2389804252922682E-3</v>
      </c>
      <c r="R24" s="41">
        <f ca="1">Titres[[#This Row],[Valeur au marché
($ local)]]-Titres[[#This Row],[Coût total]]</f>
        <v>1822.4</v>
      </c>
      <c r="S24" s="22">
        <f ca="1">Titres[[#This Row],[Gain non réalisé ($)]]/Titres[[#This Row],[Coût total]]</f>
        <v>0.60936789449749895</v>
      </c>
      <c r="T24" s="50">
        <v>0.73299999999999998</v>
      </c>
      <c r="U24" s="41">
        <f>4*Titres[[#This Row],[Dividende trimestriel]]</f>
        <v>2.9319999999999999</v>
      </c>
      <c r="V24" s="41">
        <f>Titres[[#This Row],[Dividende annuel]]*Titres[[#This Row],[Nb d''actions]]</f>
        <v>199.376</v>
      </c>
      <c r="W24" s="25">
        <f ca="1">Titres[[#This Row],[Dividende annuel]]/Titres[[#This Row],[Prix actuel]]</f>
        <v>4.1424131110483188E-2</v>
      </c>
      <c r="X24" s="49">
        <f>Titres[[#This Row],[Dividende annuel]]/Titres[[#This Row],[Coût moyen]]</f>
        <v>6.6666666666666666E-2</v>
      </c>
      <c r="Y24" s="12">
        <v>16</v>
      </c>
      <c r="Z24" s="40">
        <f ca="1">(((Titres[[#This Row],[Valeur au marché
($ local)]]-Titres[[#This Row],[Coût total]])+Titres[[#This Row],[Total - dividendes reçus]])/Titres[[#This Row],[Coût total]])</f>
        <v>0.95139836289222379</v>
      </c>
      <c r="AA24" s="38">
        <f>SUM(Titres[[#This Row],[Janvier 2019]:[Août 2024]])</f>
        <v>1022.8899999999996</v>
      </c>
      <c r="AB24" s="38"/>
      <c r="AC24" s="38">
        <v>39.950000000000003</v>
      </c>
      <c r="AD24" s="38"/>
      <c r="AE24" s="38"/>
      <c r="AF24" s="38">
        <v>39.950000000000003</v>
      </c>
      <c r="AG24" s="38"/>
      <c r="AH24" s="38"/>
      <c r="AI24" s="38">
        <v>39.950000000000003</v>
      </c>
      <c r="AJ24" s="38"/>
      <c r="AK24" s="38"/>
      <c r="AL24" s="38">
        <v>41.65</v>
      </c>
      <c r="AM24" s="38"/>
      <c r="AN24" s="38"/>
      <c r="AO24" s="38">
        <v>41.65</v>
      </c>
      <c r="AP24" s="38"/>
      <c r="AQ24" s="38"/>
      <c r="AR24" s="38">
        <v>41.65</v>
      </c>
      <c r="AS24" s="38"/>
      <c r="AT24" s="38"/>
      <c r="AU24" s="38">
        <v>41.65</v>
      </c>
      <c r="AV24" s="38"/>
      <c r="AW24" s="38"/>
      <c r="AX24" s="38">
        <v>43.35</v>
      </c>
      <c r="AY24" s="38"/>
      <c r="AZ24" s="51"/>
      <c r="BA24" s="51">
        <v>43.35</v>
      </c>
      <c r="BD24" s="51">
        <v>43.35</v>
      </c>
      <c r="BG24" s="51">
        <v>43.35</v>
      </c>
      <c r="BJ24" s="51">
        <v>45.05</v>
      </c>
      <c r="BM24" s="51">
        <v>45.05</v>
      </c>
      <c r="BP24" s="51">
        <v>45.05</v>
      </c>
      <c r="BS24" s="51">
        <v>45.05</v>
      </c>
      <c r="BV24" s="51">
        <v>46.92</v>
      </c>
      <c r="BY24" s="51">
        <v>46.92</v>
      </c>
      <c r="CA24" s="51"/>
      <c r="CB24" s="51">
        <v>46.92</v>
      </c>
      <c r="CC24" s="51"/>
      <c r="CD24" s="51"/>
      <c r="CE24" s="51">
        <v>46.92</v>
      </c>
      <c r="CF24" s="51"/>
      <c r="CG24" s="51"/>
      <c r="CH24" s="51">
        <v>48.79</v>
      </c>
      <c r="CI24" s="51"/>
      <c r="CJ24" s="51"/>
      <c r="CK24" s="51">
        <v>48.79</v>
      </c>
      <c r="CL24" s="51"/>
      <c r="CM24" s="51"/>
      <c r="CN24" s="51">
        <v>48.79</v>
      </c>
      <c r="CO24" s="51"/>
      <c r="CP24" s="51"/>
      <c r="CQ24" s="51">
        <v>48.79</v>
      </c>
      <c r="CR24" s="51"/>
      <c r="CS24" s="51"/>
      <c r="CT24" s="51">
        <v>49.3</v>
      </c>
      <c r="CU24" s="51"/>
      <c r="CV24" s="51"/>
      <c r="CW24" s="51">
        <v>49.3</v>
      </c>
      <c r="CX24" s="51"/>
      <c r="CY24" s="51"/>
      <c r="CZ24" s="51">
        <v>49.3</v>
      </c>
      <c r="DA24" s="51"/>
      <c r="DB24" s="51"/>
      <c r="DC24" s="51">
        <v>49.3</v>
      </c>
      <c r="DD24" s="51"/>
      <c r="DE24" s="51"/>
      <c r="DF24" s="51">
        <v>49.81</v>
      </c>
      <c r="DG24" s="51"/>
      <c r="DH24" s="51"/>
      <c r="DI24" s="51">
        <v>49.81</v>
      </c>
    </row>
    <row r="25" spans="2:113" x14ac:dyDescent="0.25">
      <c r="B25" s="12" t="str">
        <f t="shared" si="3"/>
        <v>20K6HU7</v>
      </c>
      <c r="C25" s="12" t="s">
        <v>162</v>
      </c>
      <c r="D25" t="e" vm="526">
        <v>#VALUE!</v>
      </c>
      <c r="E25" s="12" t="str" cm="1">
        <f t="array" aca="1" ref="E25" ca="1">_FV(Titres[[#This Row],[Action]],"Code mnémonique",TRUE)</f>
        <v>GEHC</v>
      </c>
      <c r="F25" t="str" cm="1">
        <f t="array" aca="1" ref="F25" ca="1">_FV(D25,"Change")</f>
        <v>Nasdaq Stock Market</v>
      </c>
      <c r="G25" t="str" cm="1">
        <f t="array" aca="1" ref="G25" ca="1">IFERROR(_FV(Titres[[#This Row],[Action]],"Industrie"),"")</f>
        <v>Healthcare Equipment &amp; Supplies</v>
      </c>
      <c r="H25" t="s">
        <v>206</v>
      </c>
      <c r="I25" s="12" t="str" cm="1">
        <f t="array" aca="1" ref="I25" ca="1">_FV(D25,"Devise")</f>
        <v>USD</v>
      </c>
      <c r="J25" s="28">
        <v>2</v>
      </c>
      <c r="K25" s="41">
        <v>54.13</v>
      </c>
      <c r="L25" s="41">
        <f t="shared" si="4"/>
        <v>108.26</v>
      </c>
      <c r="M25" s="41" cm="1">
        <f t="array" aca="1" ref="M25" ca="1">_FV(D25,"Prix")</f>
        <v>72.260000000000005</v>
      </c>
      <c r="N25" s="49">
        <f t="shared" ca="1" si="5"/>
        <v>144.52000000000001</v>
      </c>
      <c r="O25" s="49">
        <f ca="1">IF(Titres[[#This Row],[Devise]]="CAD",Titres[[#This Row],[Valeur au marché
($ local)]],Titres[[#This Row],[Valeur au marché
($ local)]]*Ressources!$I$3)</f>
        <v>197.41432000000003</v>
      </c>
      <c r="P25" s="49" cm="1">
        <f t="array" aca="1" ref="P25" ca="1">(Titres[[#This Row],[Prix actuel]]-_FV(Titres[[#This Row],[Action]],"Clôture précédente",TRUE))*Titres[[#This Row],[Nb d''actions]]</f>
        <v>-3.7800000000000011</v>
      </c>
      <c r="Q25" s="22">
        <f ca="1">Titres[[#This Row],[Variation du jour ($)]]/(Titres[[#This Row],[Valeur au marché
($ local)]]-Titres[[#This Row],[Variation du jour ($)]])</f>
        <v>-2.5488873904248151E-2</v>
      </c>
      <c r="R25" s="41">
        <f ca="1">Titres[[#This Row],[Valeur au marché
($ local)]]-Titres[[#This Row],[Coût total]]</f>
        <v>36.260000000000005</v>
      </c>
      <c r="S25" s="22">
        <f ca="1">Titres[[#This Row],[Gain non réalisé ($)]]/Titres[[#This Row],[Coût total]]</f>
        <v>0.33493441714391281</v>
      </c>
      <c r="T25" s="50">
        <v>3.5000000000000003E-2</v>
      </c>
      <c r="U25" s="41">
        <f>4*Titres[[#This Row],[Dividende trimestriel]]</f>
        <v>0.14000000000000001</v>
      </c>
      <c r="V25" s="41">
        <f>Titres[[#This Row],[Dividende annuel]]*Titres[[#This Row],[Nb d''actions]]</f>
        <v>0.28000000000000003</v>
      </c>
      <c r="W25" s="25">
        <f ca="1">Titres[[#This Row],[Dividende annuel]]/Titres[[#This Row],[Prix actuel]]</f>
        <v>1.9374481040686411E-3</v>
      </c>
      <c r="X25" s="49">
        <f>Titres[[#This Row],[Dividende annuel]]/Titres[[#This Row],[Coût moyen]]</f>
        <v>2.5863661555514503E-3</v>
      </c>
      <c r="Y25" s="12">
        <v>0</v>
      </c>
      <c r="Z25" s="40">
        <f ca="1">(((Titres[[#This Row],[Valeur au marché
($ local)]]-Titres[[#This Row],[Coût total]])+Titres[[#This Row],[Total - dividendes reçus]])/Titres[[#This Row],[Coût total]])</f>
        <v>0.33825974505819328</v>
      </c>
      <c r="AA25" s="38">
        <f>SUM(Titres[[#This Row],[Janvier 2019]:[Août 2024]])</f>
        <v>0.36</v>
      </c>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51"/>
      <c r="BA25" s="51"/>
      <c r="CA25" s="51"/>
      <c r="CB25" s="51"/>
      <c r="CC25" s="51">
        <v>0.06</v>
      </c>
      <c r="CD25" s="51"/>
      <c r="CE25" s="51">
        <v>0.06</v>
      </c>
      <c r="CF25" s="51"/>
      <c r="CG25" s="51"/>
      <c r="CH25" s="51">
        <v>0.06</v>
      </c>
      <c r="CI25" s="51"/>
      <c r="CJ25" s="51"/>
      <c r="CK25" s="51">
        <v>0.06</v>
      </c>
      <c r="CL25" s="51"/>
      <c r="CM25" s="51"/>
      <c r="CN25" s="51">
        <v>0.06</v>
      </c>
      <c r="CO25" s="51"/>
      <c r="CP25" s="51"/>
      <c r="CQ25" s="51">
        <v>0.06</v>
      </c>
      <c r="CR25" s="51"/>
      <c r="CS25" s="51"/>
      <c r="CT25" s="51">
        <v>0.06</v>
      </c>
      <c r="CU25" s="51"/>
      <c r="CV25" s="51"/>
      <c r="CW25" s="51">
        <v>7.0000000000000007E-2</v>
      </c>
      <c r="CX25" s="51"/>
      <c r="CY25" s="51"/>
      <c r="CZ25" s="51">
        <v>7.0000000000000007E-2</v>
      </c>
      <c r="DA25" s="51"/>
      <c r="DB25" s="51"/>
      <c r="DC25" s="51">
        <v>7.0000000000000007E-2</v>
      </c>
      <c r="DD25" s="51"/>
      <c r="DE25" s="51"/>
      <c r="DF25" s="51">
        <v>7.0000000000000007E-2</v>
      </c>
      <c r="DG25" s="51"/>
      <c r="DH25" s="51"/>
      <c r="DI25" s="51">
        <v>7.0000000000000007E-2</v>
      </c>
    </row>
    <row r="26" spans="2:113" x14ac:dyDescent="0.25">
      <c r="B26" s="12" t="str">
        <f t="shared" si="3"/>
        <v>20K6HU7</v>
      </c>
      <c r="C26" s="12" t="s">
        <v>162</v>
      </c>
      <c r="D26" t="e" vm="527">
        <v>#VALUE!</v>
      </c>
      <c r="E26" s="12" t="str" cm="1">
        <f t="array" aca="1" ref="E26" ca="1">_FV(Titres[[#This Row],[Action]],"Code mnémonique",TRUE)</f>
        <v>GEV</v>
      </c>
      <c r="F26" t="str" cm="1">
        <f t="array" aca="1" ref="F26" ca="1">_FV(D26,"Change")</f>
        <v>New York Stock Exchange</v>
      </c>
      <c r="G26" t="str" cm="1">
        <f t="array" aca="1" ref="G26" ca="1">IFERROR(_FV(Titres[[#This Row],[Action]],"Industrie"),"")</f>
        <v>Electrical Utilities &amp; IPPs</v>
      </c>
      <c r="H26" t="s">
        <v>206</v>
      </c>
      <c r="I26" s="12" t="str" cm="1">
        <f t="array" aca="1" ref="I26" ca="1">_FV(D26,"Devise")</f>
        <v>USD</v>
      </c>
      <c r="J26" s="28">
        <v>1</v>
      </c>
      <c r="K26" s="41">
        <v>142.85</v>
      </c>
      <c r="L26" s="41">
        <f t="shared" si="4"/>
        <v>142.85</v>
      </c>
      <c r="M26" s="41" cm="1">
        <f t="array" aca="1" ref="M26" ca="1">_FV(D26,"Prix")</f>
        <v>991.52</v>
      </c>
      <c r="N26" s="49">
        <f t="shared" ca="1" si="5"/>
        <v>991.52</v>
      </c>
      <c r="O26" s="49">
        <f ca="1">IF(Titres[[#This Row],[Devise]]="CAD",Titres[[#This Row],[Valeur au marché
($ local)]],Titres[[#This Row],[Valeur au marché
($ local)]]*Ressources!$I$3)</f>
        <v>1354.41632</v>
      </c>
      <c r="P26" s="49" cm="1">
        <f t="array" aca="1" ref="P26" ca="1">(Titres[[#This Row],[Prix actuel]]-_FV(Titres[[#This Row],[Action]],"Clôture précédente",TRUE))*Titres[[#This Row],[Nb d''actions]]</f>
        <v>1.3400000000000318</v>
      </c>
      <c r="Q26" s="22">
        <f ca="1">Titres[[#This Row],[Variation du jour ($)]]/(Titres[[#This Row],[Valeur au marché
($ local)]]-Titres[[#This Row],[Variation du jour ($)]])</f>
        <v>1.3532893009352157E-3</v>
      </c>
      <c r="R26" s="41">
        <f ca="1">Titres[[#This Row],[Valeur au marché
($ local)]]-Titres[[#This Row],[Coût total]]</f>
        <v>848.67</v>
      </c>
      <c r="S26" s="22">
        <f ca="1">Titres[[#This Row],[Gain non réalisé ($)]]/Titres[[#This Row],[Coût total]]</f>
        <v>5.9409870493524677</v>
      </c>
      <c r="T26" s="50">
        <v>0.5</v>
      </c>
      <c r="U26" s="41">
        <f>4*Titres[[#This Row],[Dividende trimestriel]]</f>
        <v>2</v>
      </c>
      <c r="V26" s="41">
        <f>Titres[[#This Row],[Dividende annuel]]*Titres[[#This Row],[Nb d''actions]]</f>
        <v>2</v>
      </c>
      <c r="W26" s="25">
        <f ca="1">Titres[[#This Row],[Dividende annuel]]/Titres[[#This Row],[Prix actuel]]</f>
        <v>2.0171050508310472E-3</v>
      </c>
      <c r="X26" s="49">
        <f>Titres[[#This Row],[Dividende annuel]]/Titres[[#This Row],[Coût moyen]]</f>
        <v>1.4000700035001751E-2</v>
      </c>
      <c r="Z26" s="40">
        <f ca="1">(((Titres[[#This Row],[Valeur au marché
($ local)]]-Titres[[#This Row],[Coût total]])+Titres[[#This Row],[Total - dividendes reçus]])/Titres[[#This Row],[Coût total]])</f>
        <v>6.5302765138256911</v>
      </c>
      <c r="AA26" s="38">
        <f>SUM(Titres[[#This Row],[Janvier 2019]:[Août 2024]])</f>
        <v>84.18</v>
      </c>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51"/>
      <c r="BA26" s="51"/>
      <c r="CA26" s="51"/>
      <c r="CB26" s="51"/>
      <c r="CC26" s="51"/>
      <c r="CD26" s="51"/>
      <c r="CE26" s="51">
        <f>25.55-3.83</f>
        <v>21.72</v>
      </c>
      <c r="CF26" s="51"/>
      <c r="CG26" s="51"/>
      <c r="CH26" s="51"/>
      <c r="CI26" s="51"/>
      <c r="CJ26" s="51"/>
      <c r="CK26" s="51"/>
      <c r="CL26" s="51"/>
      <c r="CM26" s="51">
        <v>62.46</v>
      </c>
      <c r="CN26" s="51"/>
      <c r="CO26" s="51"/>
      <c r="CP26" s="51"/>
      <c r="CQ26" s="51"/>
      <c r="CR26" s="51"/>
      <c r="CS26" s="51"/>
      <c r="CT26" s="51"/>
      <c r="CU26" s="51"/>
      <c r="CV26" s="51"/>
      <c r="CW26" s="51"/>
      <c r="CX26" s="51"/>
      <c r="CY26" s="51"/>
      <c r="CZ26" s="51">
        <v>0.25</v>
      </c>
      <c r="DA26" s="51"/>
      <c r="DB26" s="51"/>
      <c r="DC26" s="51">
        <v>0.25</v>
      </c>
      <c r="DD26" s="51"/>
      <c r="DE26" s="51"/>
      <c r="DF26" s="51">
        <v>0.25</v>
      </c>
      <c r="DG26" s="51"/>
      <c r="DH26" s="51"/>
      <c r="DI26" s="51">
        <v>0.5</v>
      </c>
    </row>
    <row r="27" spans="2:113" x14ac:dyDescent="0.25">
      <c r="B27" s="12" t="str">
        <f t="shared" si="3"/>
        <v>20K6HU7</v>
      </c>
      <c r="C27" s="12" t="s">
        <v>162</v>
      </c>
      <c r="D27" t="e" vm="528">
        <v>#VALUE!</v>
      </c>
      <c r="E27" s="12" t="str" cm="1">
        <f t="array" aca="1" ref="E27" ca="1">_FV(Titres[[#This Row],[Action]],"Code mnémonique",TRUE)</f>
        <v>GE</v>
      </c>
      <c r="F27" t="str" cm="1">
        <f t="array" aca="1" ref="F27" ca="1">_FV(D27,"Change")</f>
        <v>New York Stock Exchange</v>
      </c>
      <c r="G27" t="str" cm="1">
        <f t="array" aca="1" ref="G27" ca="1">IFERROR(_FV(Titres[[#This Row],[Action]],"Industrie"),"")</f>
        <v>Aerospace &amp; Defense</v>
      </c>
      <c r="H27" t="s">
        <v>206</v>
      </c>
      <c r="I27" s="12" t="str" cm="1">
        <f t="array" aca="1" ref="I27" ca="1">_FV(D27,"Devise")</f>
        <v>USD</v>
      </c>
      <c r="J27" s="28">
        <v>6</v>
      </c>
      <c r="K27" s="41">
        <v>238.53</v>
      </c>
      <c r="L27" s="41">
        <f t="shared" si="4"/>
        <v>1431.18</v>
      </c>
      <c r="M27" s="41" cm="1">
        <f t="array" aca="1" ref="M27" ca="1">_FV(D27,"Prix")</f>
        <v>286.74</v>
      </c>
      <c r="N27" s="49">
        <f t="shared" ca="1" si="5"/>
        <v>1720.44</v>
      </c>
      <c r="O27" s="49">
        <f ca="1">IF(Titres[[#This Row],[Devise]]="CAD",Titres[[#This Row],[Valeur au marché
($ local)]],Titres[[#This Row],[Valeur au marché
($ local)]]*Ressources!$I$3)</f>
        <v>2350.1210400000004</v>
      </c>
      <c r="P27" s="49" cm="1">
        <f t="array" aca="1" ref="P27" ca="1">(Titres[[#This Row],[Prix actuel]]-_FV(Titres[[#This Row],[Action]],"Clôture précédente",TRUE))*Titres[[#This Row],[Nb d''actions]]</f>
        <v>-101.16000000000008</v>
      </c>
      <c r="Q27" s="22">
        <f ca="1">Titres[[#This Row],[Variation du jour ($)]]/(Titres[[#This Row],[Valeur au marché
($ local)]]-Titres[[#This Row],[Variation du jour ($)]])</f>
        <v>-5.5533596837944704E-2</v>
      </c>
      <c r="R27" s="41">
        <f ca="1">Titres[[#This Row],[Valeur au marché
($ local)]]-Titres[[#This Row],[Coût total]]</f>
        <v>289.26</v>
      </c>
      <c r="S27" s="22">
        <f ca="1">Titres[[#This Row],[Gain non réalisé ($)]]/Titres[[#This Row],[Coût total]]</f>
        <v>0.202112941768331</v>
      </c>
      <c r="T27" s="50">
        <v>0.08</v>
      </c>
      <c r="U27" s="41">
        <f>4*Titres[[#This Row],[Dividende trimestriel]]</f>
        <v>0.32</v>
      </c>
      <c r="V27" s="41">
        <f>Titres[[#This Row],[Dividende annuel]]*Titres[[#This Row],[Nb d''actions]]</f>
        <v>1.92</v>
      </c>
      <c r="W27" s="25">
        <f ca="1">Titres[[#This Row],[Dividende annuel]]/Titres[[#This Row],[Prix actuel]]</f>
        <v>1.1159935830368974E-3</v>
      </c>
      <c r="X27" s="49">
        <f>Titres[[#This Row],[Dividende annuel]]/Titres[[#This Row],[Coût moyen]]</f>
        <v>1.3415503290990652E-3</v>
      </c>
      <c r="Y27" s="12">
        <v>0</v>
      </c>
      <c r="Z27" s="40">
        <f ca="1">(((Titres[[#This Row],[Valeur au marché
($ local)]]-Titres[[#This Row],[Coût total]])+Titres[[#This Row],[Total - dividendes reçus]])/Titres[[#This Row],[Coût total]])</f>
        <v>0.22705040595871936</v>
      </c>
      <c r="AA27" s="38">
        <f>SUM(Titres[[#This Row],[Janvier 2019]:[Août 2024]])</f>
        <v>35.690000000000012</v>
      </c>
      <c r="AB27" s="38">
        <v>0.55000000000000004</v>
      </c>
      <c r="AC27" s="38">
        <v>21.48</v>
      </c>
      <c r="AD27" s="38"/>
      <c r="AE27" s="38">
        <v>0.55000000000000004</v>
      </c>
      <c r="AF27" s="38"/>
      <c r="AG27" s="38"/>
      <c r="AH27" s="38">
        <v>0.55000000000000004</v>
      </c>
      <c r="AI27" s="38"/>
      <c r="AJ27" s="38"/>
      <c r="AK27" s="38">
        <v>0.55000000000000004</v>
      </c>
      <c r="AL27" s="38"/>
      <c r="AM27" s="38"/>
      <c r="AN27" s="38">
        <v>0.55000000000000004</v>
      </c>
      <c r="AO27" s="38"/>
      <c r="AP27" s="38"/>
      <c r="AQ27" s="38">
        <v>0.55000000000000004</v>
      </c>
      <c r="AR27" s="38"/>
      <c r="AS27" s="38"/>
      <c r="AT27" s="38">
        <v>0.55000000000000004</v>
      </c>
      <c r="AU27" s="38"/>
      <c r="AV27" s="38"/>
      <c r="AW27" s="38">
        <v>0.55000000000000004</v>
      </c>
      <c r="AX27" s="38"/>
      <c r="AY27" s="38"/>
      <c r="AZ27" s="51">
        <v>0.55000000000000004</v>
      </c>
      <c r="BA27" s="51"/>
      <c r="BC27" s="51">
        <v>0.55000000000000004</v>
      </c>
      <c r="BF27" s="51">
        <v>0.55000000000000004</v>
      </c>
      <c r="BI27" s="51">
        <v>0.48</v>
      </c>
      <c r="BL27" s="51">
        <v>0.48</v>
      </c>
      <c r="BO27" s="51">
        <v>0.48</v>
      </c>
      <c r="BR27" s="51">
        <v>0.48</v>
      </c>
      <c r="BU27" s="51">
        <v>0.48</v>
      </c>
      <c r="BX27" s="51">
        <v>0.48</v>
      </c>
      <c r="CA27" s="51">
        <v>0.48</v>
      </c>
      <c r="CB27" s="51"/>
      <c r="CC27" s="51"/>
      <c r="CD27" s="51">
        <v>0.48</v>
      </c>
      <c r="CE27" s="51"/>
      <c r="CF27" s="51"/>
      <c r="CG27" s="51">
        <v>0.48</v>
      </c>
      <c r="CH27" s="51"/>
      <c r="CI27" s="51"/>
      <c r="CJ27" s="51">
        <v>0.48</v>
      </c>
      <c r="CK27" s="51"/>
      <c r="CL27" s="51"/>
      <c r="CM27" s="51">
        <v>1.68</v>
      </c>
      <c r="CN27" s="51"/>
      <c r="CO27" s="51"/>
      <c r="CP27" s="51">
        <v>1.68</v>
      </c>
      <c r="CQ27" s="51"/>
      <c r="CR27" s="51"/>
      <c r="CS27" s="51">
        <v>1.68</v>
      </c>
      <c r="CT27" s="51"/>
      <c r="CU27" s="51"/>
      <c r="CV27" s="51">
        <v>1.68</v>
      </c>
      <c r="CW27" s="51"/>
      <c r="CX27" s="51"/>
      <c r="CY27" s="51">
        <v>2.16</v>
      </c>
      <c r="CZ27" s="51"/>
      <c r="DA27" s="51"/>
      <c r="DB27" s="51">
        <v>2.16</v>
      </c>
      <c r="DC27" s="51"/>
      <c r="DD27" s="51"/>
      <c r="DE27" s="51">
        <v>2.16</v>
      </c>
      <c r="DF27" s="51"/>
      <c r="DG27" s="51"/>
      <c r="DH27" s="51">
        <v>2.16</v>
      </c>
      <c r="DI27" s="51"/>
    </row>
    <row r="28" spans="2:113" x14ac:dyDescent="0.25">
      <c r="B28" s="12" t="str">
        <f t="shared" si="3"/>
        <v>20K6HU7</v>
      </c>
      <c r="C28" s="12" t="s">
        <v>162</v>
      </c>
      <c r="D28" t="e" vm="529">
        <v>#VALUE!</v>
      </c>
      <c r="E28" s="12" t="str" cm="1">
        <f t="array" aca="1" ref="E28" ca="1">_FV(Titres[[#This Row],[Action]],"Code mnémonique",TRUE)</f>
        <v>GIS</v>
      </c>
      <c r="F28" t="str" cm="1">
        <f t="array" aca="1" ref="F28" ca="1">_FV(D28,"Change")</f>
        <v>New York Stock Exchange</v>
      </c>
      <c r="G28" t="str" cm="1">
        <f t="array" aca="1" ref="G28" ca="1">IFERROR(_FV(Titres[[#This Row],[Action]],"Industrie"),"")</f>
        <v>Food &amp; Tobacco</v>
      </c>
      <c r="H28" t="s">
        <v>206</v>
      </c>
      <c r="I28" s="12" t="str" cm="1">
        <f t="array" aca="1" ref="I28" ca="1">_FV(D28,"Devise")</f>
        <v>USD</v>
      </c>
      <c r="J28" s="28">
        <v>129</v>
      </c>
      <c r="K28" s="41">
        <v>50.95</v>
      </c>
      <c r="L28" s="41">
        <f t="shared" si="4"/>
        <v>6572.55</v>
      </c>
      <c r="M28" s="41" cm="1">
        <f t="array" aca="1" ref="M28" ca="1">_FV(D28,"Prix")</f>
        <v>35.055</v>
      </c>
      <c r="N28" s="49">
        <f t="shared" ca="1" si="5"/>
        <v>4522.0950000000003</v>
      </c>
      <c r="O28" s="49">
        <f ca="1">IF(Titres[[#This Row],[Devise]]="CAD",Titres[[#This Row],[Valeur au marché
($ local)]],Titres[[#This Row],[Valeur au marché
($ local)]]*Ressources!$I$3)</f>
        <v>6177.1817700000011</v>
      </c>
      <c r="P28" s="49" cm="1">
        <f t="array" aca="1" ref="P28" ca="1">(Titres[[#This Row],[Prix actuel]]-_FV(Titres[[#This Row],[Action]],"Clôture précédente",TRUE))*Titres[[#This Row],[Nb d''actions]]</f>
        <v>-29.025000000000183</v>
      </c>
      <c r="Q28" s="22">
        <f ca="1">Titres[[#This Row],[Variation du jour ($)]]/(Titres[[#This Row],[Valeur au marché
($ local)]]-Titres[[#This Row],[Variation du jour ($)]])</f>
        <v>-6.3775510204082024E-3</v>
      </c>
      <c r="R28" s="41">
        <f ca="1">Titres[[#This Row],[Valeur au marché
($ local)]]-Titres[[#This Row],[Coût total]]</f>
        <v>-2050.4549999999999</v>
      </c>
      <c r="S28" s="22">
        <f ca="1">Titres[[#This Row],[Gain non réalisé ($)]]/Titres[[#This Row],[Coût total]]</f>
        <v>-0.31197252208047105</v>
      </c>
      <c r="T28" s="50">
        <v>0.61</v>
      </c>
      <c r="U28" s="41">
        <f>4*Titres[[#This Row],[Dividende trimestriel]]</f>
        <v>2.44</v>
      </c>
      <c r="V28" s="41">
        <f>Titres[[#This Row],[Dividende annuel]]*Titres[[#This Row],[Nb d''actions]]</f>
        <v>314.76</v>
      </c>
      <c r="W28" s="25">
        <f ca="1">Titres[[#This Row],[Dividende annuel]]/Titres[[#This Row],[Prix actuel]]</f>
        <v>6.9604906575381542E-2</v>
      </c>
      <c r="X28" s="49">
        <f>Titres[[#This Row],[Dividende annuel]]/Titres[[#This Row],[Coût moyen]]</f>
        <v>4.7890088321884197E-2</v>
      </c>
      <c r="Y28" s="12">
        <v>3</v>
      </c>
      <c r="Z28" s="40">
        <f ca="1">(((Titres[[#This Row],[Valeur au marché
($ local)]]-Titres[[#This Row],[Coût total]])+Titres[[#This Row],[Total - dividendes reçus]])/Titres[[#This Row],[Coût total]])</f>
        <v>-0.25849556108359767</v>
      </c>
      <c r="AA28" s="38">
        <f>SUM(Titres[[#This Row],[Janvier 2019]:[Août 2024]])</f>
        <v>351.48</v>
      </c>
      <c r="AB28" s="38"/>
      <c r="AC28" s="38">
        <v>14.21</v>
      </c>
      <c r="AD28" s="38"/>
      <c r="AE28" s="38"/>
      <c r="AF28" s="38">
        <v>14.21</v>
      </c>
      <c r="AG28" s="38"/>
      <c r="AH28" s="38"/>
      <c r="AI28" s="38">
        <v>14.21</v>
      </c>
      <c r="AJ28" s="38"/>
      <c r="AK28" s="38"/>
      <c r="AL28" s="38">
        <v>14.21</v>
      </c>
      <c r="AM28" s="38"/>
      <c r="AN28" s="38"/>
      <c r="AO28" s="38">
        <v>14.21</v>
      </c>
      <c r="AP28" s="38"/>
      <c r="AQ28" s="38"/>
      <c r="AR28" s="38">
        <v>14.21</v>
      </c>
      <c r="AS28" s="38"/>
      <c r="AT28" s="38"/>
      <c r="AU28" s="38">
        <v>14.21</v>
      </c>
      <c r="AV28" s="38"/>
      <c r="AW28" s="38"/>
      <c r="AX28" s="38">
        <v>14.79</v>
      </c>
      <c r="AY28" s="38"/>
      <c r="AZ28" s="51"/>
      <c r="BA28" s="51">
        <v>14.79</v>
      </c>
      <c r="BD28" s="51">
        <v>14.79</v>
      </c>
      <c r="BG28" s="51">
        <v>14.79</v>
      </c>
      <c r="BJ28" s="51">
        <v>14.79</v>
      </c>
      <c r="BM28" s="51">
        <v>14.79</v>
      </c>
      <c r="BP28" s="51">
        <v>14.79</v>
      </c>
      <c r="BS28" s="51">
        <v>15.66</v>
      </c>
      <c r="BV28" s="51">
        <v>15.66</v>
      </c>
      <c r="BY28" s="51">
        <v>15.66</v>
      </c>
      <c r="CA28" s="51"/>
      <c r="CB28" s="51">
        <v>15.66</v>
      </c>
      <c r="CC28" s="51"/>
      <c r="CD28" s="51"/>
      <c r="CE28" s="51">
        <v>17.11</v>
      </c>
      <c r="CF28" s="51"/>
      <c r="CG28" s="51"/>
      <c r="CH28" s="51">
        <v>17.11</v>
      </c>
      <c r="CI28" s="51"/>
      <c r="CJ28" s="51"/>
      <c r="CK28" s="51">
        <v>17.11</v>
      </c>
      <c r="CL28" s="51"/>
      <c r="CM28" s="51"/>
      <c r="CN28" s="51">
        <v>17.11</v>
      </c>
      <c r="CO28" s="51"/>
      <c r="CP28" s="51"/>
      <c r="CQ28" s="51">
        <v>17.399999999999999</v>
      </c>
      <c r="CR28" s="51"/>
      <c r="CS28" s="51"/>
      <c r="CT28" s="51">
        <v>17.399999999999999</v>
      </c>
      <c r="CU28" s="51"/>
      <c r="CV28" s="51"/>
      <c r="CW28" s="51">
        <v>17.399999999999999</v>
      </c>
      <c r="CX28" s="51"/>
      <c r="CY28" s="51"/>
      <c r="CZ28" s="51">
        <v>17.399999999999999</v>
      </c>
      <c r="DA28" s="51"/>
      <c r="DB28" s="51"/>
      <c r="DC28" s="51">
        <v>17.690000000000001</v>
      </c>
      <c r="DD28" s="51"/>
      <c r="DE28" s="51"/>
      <c r="DF28" s="51">
        <v>78.69</v>
      </c>
      <c r="DG28" s="51"/>
      <c r="DH28" s="51"/>
      <c r="DI28" s="51">
        <v>78.69</v>
      </c>
    </row>
    <row r="29" spans="2:113" x14ac:dyDescent="0.25">
      <c r="B29" s="12" t="str">
        <f t="shared" si="3"/>
        <v>20K6HZ6</v>
      </c>
      <c r="C29" s="12" t="s">
        <v>160</v>
      </c>
      <c r="D29" t="e" vm="530">
        <v>#VALUE!</v>
      </c>
      <c r="E29" s="12" t="str" cm="1">
        <f t="array" aca="1" ref="E29" ca="1">_FV(Titres[[#This Row],[Action]],"Code mnémonique",TRUE)</f>
        <v>ENB</v>
      </c>
      <c r="F29" t="str" cm="1">
        <f t="array" aca="1" ref="F29" ca="1">_FV(D29,"Change")</f>
        <v>Toronto Stock Exchange</v>
      </c>
      <c r="G29" t="str" cm="1">
        <f t="array" aca="1" ref="G29" ca="1">IFERROR(_FV(Titres[[#This Row],[Action]],"Industrie"),"")</f>
        <v>Oil &amp; Gas Related Equipment and Services</v>
      </c>
      <c r="H29" t="s">
        <v>205</v>
      </c>
      <c r="I29" s="12" t="str" cm="1">
        <f t="array" aca="1" ref="I29" ca="1">_FV(D29,"Devise")</f>
        <v>CAD</v>
      </c>
      <c r="J29" s="28">
        <v>53</v>
      </c>
      <c r="K29" s="41">
        <v>55.63</v>
      </c>
      <c r="L29" s="41">
        <f t="shared" si="4"/>
        <v>2948.3900000000003</v>
      </c>
      <c r="M29" s="41" cm="1">
        <f t="array" aca="1" ref="M29" ca="1">_FV(D29,"Prix")</f>
        <v>70.98</v>
      </c>
      <c r="N29" s="49">
        <f t="shared" ca="1" si="5"/>
        <v>3761.94</v>
      </c>
      <c r="O29" s="49">
        <f ca="1">IF(Titres[[#This Row],[Devise]]="CAD",Titres[[#This Row],[Valeur au marché
($ local)]],Titres[[#This Row],[Valeur au marché
($ local)]]*Ressources!$I$3)</f>
        <v>3761.94</v>
      </c>
      <c r="P29" s="49" cm="1">
        <f t="array" aca="1" ref="P29" ca="1">(Titres[[#This Row],[Prix actuel]]-_FV(Titres[[#This Row],[Action]],"Clôture précédente",TRUE))*Titres[[#This Row],[Nb d''actions]]</f>
        <v>-18.019999999999428</v>
      </c>
      <c r="Q29" s="22">
        <f ca="1">Titres[[#This Row],[Variation du jour ($)]]/(Titres[[#This Row],[Valeur au marché
($ local)]]-Titres[[#This Row],[Variation du jour ($)]])</f>
        <v>-4.7672462142455026E-3</v>
      </c>
      <c r="R29" s="41">
        <f ca="1">Titres[[#This Row],[Valeur au marché
($ local)]]-Titres[[#This Row],[Coût total]]</f>
        <v>813.54999999999973</v>
      </c>
      <c r="S29" s="22">
        <f ca="1">Titres[[#This Row],[Gain non réalisé ($)]]/Titres[[#This Row],[Coût total]]</f>
        <v>0.27593025346036298</v>
      </c>
      <c r="T29" s="50">
        <v>0.97</v>
      </c>
      <c r="U29" s="41">
        <f>4*Titres[[#This Row],[Dividende trimestriel]]</f>
        <v>3.88</v>
      </c>
      <c r="V29" s="41">
        <f>Titres[[#This Row],[Dividende annuel]]*Titres[[#This Row],[Nb d''actions]]</f>
        <v>205.64</v>
      </c>
      <c r="W29" s="25">
        <f ca="1">Titres[[#This Row],[Dividende annuel]]/Titres[[#This Row],[Prix actuel]]</f>
        <v>5.4663285432516195E-2</v>
      </c>
      <c r="X29" s="49">
        <f>Titres[[#This Row],[Dividende annuel]]/Titres[[#This Row],[Coût moyen]]</f>
        <v>6.9746539636886568E-2</v>
      </c>
      <c r="Y29" s="12">
        <v>8</v>
      </c>
      <c r="Z29" s="40">
        <f ca="1">(((Titres[[#This Row],[Valeur au marché
($ local)]]-Titres[[#This Row],[Coût total]])+Titres[[#This Row],[Total - dividendes reçus]])/Titres[[#This Row],[Coût total]])</f>
        <v>0.60583233561367367</v>
      </c>
      <c r="AA29" s="38">
        <f>SUM(Titres[[#This Row],[Janvier 2019]:[Août 2024]])</f>
        <v>972.68</v>
      </c>
      <c r="AB29" s="38"/>
      <c r="AC29" s="38"/>
      <c r="AD29" s="38">
        <v>39.11</v>
      </c>
      <c r="AE29" s="38"/>
      <c r="AF29" s="38"/>
      <c r="AG29" s="38">
        <v>39.11</v>
      </c>
      <c r="AH29" s="38"/>
      <c r="AI29" s="38"/>
      <c r="AJ29" s="38">
        <v>39.11</v>
      </c>
      <c r="AK29" s="38"/>
      <c r="AL29" s="38"/>
      <c r="AM29" s="38">
        <v>39.11</v>
      </c>
      <c r="AN29" s="38"/>
      <c r="AO29" s="38"/>
      <c r="AP29" s="38">
        <v>42.93</v>
      </c>
      <c r="AQ29" s="38"/>
      <c r="AR29" s="38"/>
      <c r="AS29" s="38">
        <v>42.93</v>
      </c>
      <c r="AT29" s="38"/>
      <c r="AU29" s="38"/>
      <c r="AV29" s="38">
        <v>42.93</v>
      </c>
      <c r="AW29" s="38"/>
      <c r="AX29" s="38"/>
      <c r="AY29" s="38">
        <v>42.93</v>
      </c>
      <c r="AZ29" s="51"/>
      <c r="BA29" s="51"/>
      <c r="BB29" s="51">
        <v>44.26</v>
      </c>
      <c r="BE29" s="51">
        <v>44.26</v>
      </c>
      <c r="BH29" s="51">
        <v>44.26</v>
      </c>
      <c r="BK29" s="51">
        <v>44.26</v>
      </c>
      <c r="BN29" s="51">
        <v>45.58</v>
      </c>
      <c r="BQ29" s="51">
        <v>45.58</v>
      </c>
      <c r="BT29" s="51">
        <v>45.58</v>
      </c>
      <c r="BW29" s="51">
        <v>45.58</v>
      </c>
      <c r="BZ29" s="51">
        <v>47.04</v>
      </c>
      <c r="CA29" s="51"/>
      <c r="CB29" s="51"/>
      <c r="CC29" s="51">
        <v>47.04</v>
      </c>
      <c r="CD29" s="51"/>
      <c r="CE29" s="51"/>
      <c r="CF29" s="51">
        <v>47.04</v>
      </c>
      <c r="CG29" s="51"/>
      <c r="CH29" s="51"/>
      <c r="CI29" s="51">
        <v>47.04</v>
      </c>
      <c r="CJ29" s="51"/>
      <c r="CK29" s="51"/>
      <c r="CL29" s="51">
        <v>48.5</v>
      </c>
      <c r="CM29" s="51"/>
      <c r="CN29" s="51"/>
      <c r="CO29" s="51">
        <v>48.5</v>
      </c>
      <c r="CP29" s="51"/>
      <c r="CQ29" s="51"/>
      <c r="CR29" s="51">
        <v>48.5</v>
      </c>
      <c r="CS29" s="51"/>
      <c r="CT29" s="51"/>
      <c r="CU29" s="51">
        <v>48.5</v>
      </c>
      <c r="CV29" s="51"/>
      <c r="CW29" s="51"/>
      <c r="CX29" s="51">
        <v>49.95</v>
      </c>
      <c r="CY29" s="51"/>
      <c r="CZ29" s="51"/>
      <c r="DA29" s="51">
        <v>49.95</v>
      </c>
      <c r="DB29" s="51"/>
      <c r="DC29" s="51"/>
      <c r="DD29" s="51">
        <v>49.95</v>
      </c>
      <c r="DE29" s="51"/>
      <c r="DF29" s="51"/>
      <c r="DG29" s="51">
        <v>49.95</v>
      </c>
      <c r="DH29" s="51"/>
      <c r="DI29" s="51"/>
    </row>
    <row r="30" spans="2:113" x14ac:dyDescent="0.25">
      <c r="B30" s="12" t="str">
        <f t="shared" si="3"/>
        <v>20K6HZ6</v>
      </c>
      <c r="C30" s="12" t="s">
        <v>160</v>
      </c>
      <c r="D30" t="e" vm="531">
        <v>#VALUE!</v>
      </c>
      <c r="E30" s="12" t="str" cm="1">
        <f t="array" aca="1" ref="E30" ca="1">_FV(Titres[[#This Row],[Action]],"Code mnémonique",TRUE)</f>
        <v>FTS</v>
      </c>
      <c r="F30" t="str" cm="1">
        <f t="array" aca="1" ref="F30" ca="1">_FV(D30,"Change")</f>
        <v>Toronto Stock Exchange</v>
      </c>
      <c r="G30" t="str" cm="1">
        <f t="array" aca="1" ref="G30" ca="1">IFERROR(_FV(Titres[[#This Row],[Action]],"Industrie"),"")</f>
        <v>Electrical Utilities &amp; IPPs</v>
      </c>
      <c r="H30" t="s">
        <v>205</v>
      </c>
      <c r="I30" s="12" t="str" cm="1">
        <f t="array" aca="1" ref="I30" ca="1">_FV(D30,"Devise")</f>
        <v>CAD</v>
      </c>
      <c r="J30" s="28">
        <v>80</v>
      </c>
      <c r="K30" s="41">
        <v>45.81</v>
      </c>
      <c r="L30" s="41">
        <f t="shared" si="4"/>
        <v>3664.8</v>
      </c>
      <c r="M30" s="41" cm="1">
        <f t="array" aca="1" ref="M30" ca="1">_FV(D30,"Prix")</f>
        <v>76.44</v>
      </c>
      <c r="N30" s="49">
        <f t="shared" ca="1" si="5"/>
        <v>6115.2</v>
      </c>
      <c r="O30" s="49">
        <f ca="1">IF(Titres[[#This Row],[Devise]]="CAD",Titres[[#This Row],[Valeur au marché
($ local)]],Titres[[#This Row],[Valeur au marché
($ local)]]*Ressources!$I$3)</f>
        <v>6115.2</v>
      </c>
      <c r="P30" s="49" cm="1">
        <f t="array" aca="1" ref="P30" ca="1">(Titres[[#This Row],[Prix actuel]]-_FV(Titres[[#This Row],[Action]],"Clôture précédente",TRUE))*Titres[[#This Row],[Nb d''actions]]</f>
        <v>-41.599999999999682</v>
      </c>
      <c r="Q30" s="22">
        <f ca="1">Titres[[#This Row],[Variation du jour ($)]]/(Titres[[#This Row],[Valeur au marché
($ local)]]-Titres[[#This Row],[Variation du jour ($)]])</f>
        <v>-6.756756756756706E-3</v>
      </c>
      <c r="R30" s="41">
        <f ca="1">Titres[[#This Row],[Valeur au marché
($ local)]]-Titres[[#This Row],[Coût total]]</f>
        <v>2450.3999999999996</v>
      </c>
      <c r="S30" s="22">
        <f ca="1">Titres[[#This Row],[Gain non réalisé ($)]]/Titres[[#This Row],[Coût total]]</f>
        <v>0.66863130320890618</v>
      </c>
      <c r="T30" s="50">
        <v>0.64</v>
      </c>
      <c r="U30" s="41">
        <f>4*Titres[[#This Row],[Dividende trimestriel]]</f>
        <v>2.56</v>
      </c>
      <c r="V30" s="41">
        <f>Titres[[#This Row],[Dividende annuel]]*Titres[[#This Row],[Nb d''actions]]</f>
        <v>204.8</v>
      </c>
      <c r="W30" s="25">
        <f ca="1">Titres[[#This Row],[Dividende annuel]]/Titres[[#This Row],[Prix actuel]]</f>
        <v>3.3490319204604921E-2</v>
      </c>
      <c r="X30" s="49">
        <f>Titres[[#This Row],[Dividende annuel]]/Titres[[#This Row],[Coût moyen]]</f>
        <v>5.588299497926217E-2</v>
      </c>
      <c r="Y30" s="12">
        <v>16</v>
      </c>
      <c r="Z30" s="40">
        <f ca="1">(((Titres[[#This Row],[Valeur au marché
($ local)]]-Titres[[#This Row],[Coût total]])+Titres[[#This Row],[Total - dividendes reçus]])/Titres[[#This Row],[Coût total]])</f>
        <v>0.8000436585898274</v>
      </c>
      <c r="AA30" s="38">
        <f>SUM(Titres[[#This Row],[Janvier 2019]:[Août 2024]])</f>
        <v>481.6</v>
      </c>
      <c r="AB30" s="38"/>
      <c r="AC30" s="38"/>
      <c r="AD30" s="38">
        <v>18</v>
      </c>
      <c r="AE30" s="38"/>
      <c r="AF30" s="38"/>
      <c r="AG30" s="38">
        <v>18</v>
      </c>
      <c r="AH30" s="38"/>
      <c r="AI30" s="38"/>
      <c r="AJ30" s="38">
        <v>18</v>
      </c>
      <c r="AK30" s="38"/>
      <c r="AL30" s="38"/>
      <c r="AM30" s="38">
        <v>19.100000000000001</v>
      </c>
      <c r="AN30" s="38"/>
      <c r="AO30" s="38"/>
      <c r="AP30" s="38">
        <v>19.100000000000001</v>
      </c>
      <c r="AQ30" s="38"/>
      <c r="AR30" s="38"/>
      <c r="AS30" s="38">
        <v>19.100000000000001</v>
      </c>
      <c r="AT30" s="38"/>
      <c r="AU30" s="38"/>
      <c r="AV30" s="38">
        <v>19.100000000000001</v>
      </c>
      <c r="AW30" s="38"/>
      <c r="AX30" s="38"/>
      <c r="AY30" s="38">
        <v>20.2</v>
      </c>
      <c r="AZ30" s="51"/>
      <c r="BA30" s="51"/>
      <c r="BB30" s="51">
        <v>20.2</v>
      </c>
      <c r="BE30" s="51">
        <v>20.2</v>
      </c>
      <c r="BH30" s="51">
        <v>20.2</v>
      </c>
      <c r="BK30" s="51">
        <v>21.4</v>
      </c>
      <c r="BN30" s="51">
        <v>21.4</v>
      </c>
      <c r="BQ30" s="51">
        <v>21.4</v>
      </c>
      <c r="BT30" s="51">
        <v>21.4</v>
      </c>
      <c r="BW30" s="51">
        <v>22.6</v>
      </c>
      <c r="BZ30" s="51">
        <v>22.6</v>
      </c>
      <c r="CA30" s="51"/>
      <c r="CB30" s="51"/>
      <c r="CC30" s="51">
        <v>22.6</v>
      </c>
      <c r="CD30" s="51"/>
      <c r="CE30" s="51"/>
      <c r="CF30" s="51">
        <v>22.6</v>
      </c>
      <c r="CG30" s="51"/>
      <c r="CH30" s="51"/>
      <c r="CI30" s="51">
        <v>23.6</v>
      </c>
      <c r="CJ30" s="51"/>
      <c r="CK30" s="51"/>
      <c r="CL30" s="51">
        <v>23.6</v>
      </c>
      <c r="CM30" s="51"/>
      <c r="CN30" s="51"/>
      <c r="CO30" s="51">
        <v>47.2</v>
      </c>
      <c r="CP30" s="51"/>
      <c r="CQ30" s="51"/>
      <c r="CR30" s="51">
        <v>47.2</v>
      </c>
      <c r="CS30" s="51"/>
      <c r="CT30" s="51"/>
      <c r="CU30" s="51">
        <v>49.2</v>
      </c>
      <c r="CV30" s="51"/>
      <c r="CW30" s="51"/>
      <c r="CX30" s="51">
        <v>49.2</v>
      </c>
      <c r="CY30" s="51"/>
      <c r="CZ30" s="51"/>
      <c r="DA30" s="51">
        <v>49.2</v>
      </c>
      <c r="DB30" s="51"/>
      <c r="DC30" s="51"/>
      <c r="DD30" s="51">
        <v>49.2</v>
      </c>
      <c r="DE30" s="51"/>
      <c r="DF30" s="51"/>
      <c r="DG30" s="51"/>
      <c r="DH30" s="51"/>
      <c r="DI30" s="51"/>
    </row>
    <row r="31" spans="2:113" x14ac:dyDescent="0.25">
      <c r="B31" s="12" t="str">
        <f t="shared" si="3"/>
        <v>20K6HZ6</v>
      </c>
      <c r="C31" s="12" t="s">
        <v>160</v>
      </c>
      <c r="D31" t="e" vm="532">
        <v>#VALUE!</v>
      </c>
      <c r="E31" s="12" t="str" cm="1">
        <f t="array" aca="1" ref="E31" ca="1">_FV(Titres[[#This Row],[Action]],"Code mnémonique",TRUE)</f>
        <v>WN</v>
      </c>
      <c r="F31" t="str" cm="1">
        <f t="array" aca="1" ref="F31" ca="1">_FV(D31,"Change")</f>
        <v>Toronto Stock Exchange</v>
      </c>
      <c r="G31" t="str" cm="1">
        <f t="array" aca="1" ref="G31" ca="1">IFERROR(_FV(Titres[[#This Row],[Action]],"Industrie"),"")</f>
        <v>Food &amp; Drug Retailing</v>
      </c>
      <c r="H31" t="s">
        <v>205</v>
      </c>
      <c r="I31" s="12" t="str" cm="1">
        <f t="array" aca="1" ref="I31" ca="1">_FV(D31,"Devise")</f>
        <v>CAD</v>
      </c>
      <c r="J31" s="28">
        <v>90</v>
      </c>
      <c r="K31" s="41">
        <v>48.643300000000004</v>
      </c>
      <c r="L31" s="41">
        <f t="shared" si="4"/>
        <v>4377.8969999999999</v>
      </c>
      <c r="M31" s="41" cm="1">
        <f t="array" aca="1" ref="M31" ca="1">_FV(D31,"Prix")</f>
        <v>97.15</v>
      </c>
      <c r="N31" s="49">
        <f t="shared" ca="1" si="5"/>
        <v>8743.5</v>
      </c>
      <c r="O31" s="49">
        <f ca="1">IF(Titres[[#This Row],[Devise]]="CAD",Titres[[#This Row],[Valeur au marché
($ local)]],Titres[[#This Row],[Valeur au marché
($ local)]]*Ressources!$I$3)</f>
        <v>8743.5</v>
      </c>
      <c r="P31" s="49" cm="1">
        <f t="array" aca="1" ref="P31" ca="1">(Titres[[#This Row],[Prix actuel]]-_FV(Titres[[#This Row],[Action]],"Clôture précédente",TRUE))*Titres[[#This Row],[Nb d''actions]]</f>
        <v>70.200000000000102</v>
      </c>
      <c r="Q31" s="22">
        <f ca="1">Titres[[#This Row],[Variation du jour ($)]]/(Titres[[#This Row],[Valeur au marché
($ local)]]-Titres[[#This Row],[Variation du jour ($)]])</f>
        <v>8.0938051260765927E-3</v>
      </c>
      <c r="R31" s="76">
        <f ca="1">Titres[[#This Row],[Valeur au marché
($ local)]]-Titres[[#This Row],[Coût total]]</f>
        <v>4365.6030000000001</v>
      </c>
      <c r="S31" s="22">
        <f ca="1">Titres[[#This Row],[Gain non réalisé ($)]]/Titres[[#This Row],[Coût total]]</f>
        <v>0.9971918023653823</v>
      </c>
      <c r="T31" s="50">
        <v>0.29799999999999999</v>
      </c>
      <c r="U31" s="41">
        <f>4*Titres[[#This Row],[Dividende trimestriel]]</f>
        <v>1.1919999999999999</v>
      </c>
      <c r="V31" s="41">
        <f>Titres[[#This Row],[Dividende annuel]]*Titres[[#This Row],[Nb d''actions]]</f>
        <v>107.28</v>
      </c>
      <c r="W31" s="25">
        <f ca="1">Titres[[#This Row],[Dividende annuel]]/Titres[[#This Row],[Prix actuel]]</f>
        <v>1.226968605249614E-2</v>
      </c>
      <c r="X31" s="49">
        <f>Titres[[#This Row],[Dividende annuel]]/Titres[[#This Row],[Coût moyen]]</f>
        <v>2.4504916401642155E-2</v>
      </c>
      <c r="Y31" s="12">
        <v>11</v>
      </c>
      <c r="Z31" s="40">
        <f ca="1">(((Titres[[#This Row],[Valeur au marché
($ local)]]-Titres[[#This Row],[Coût total]])+Titres[[#This Row],[Total - dividendes reçus]])/Titres[[#This Row],[Coût total]])</f>
        <v>1.0175440399808402</v>
      </c>
      <c r="AA31" s="38">
        <f>SUM(Titres[[#This Row],[Janvier 2019]:[Août 2024]])</f>
        <v>89.1</v>
      </c>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51"/>
      <c r="BA31" s="51"/>
      <c r="CA31" s="51"/>
      <c r="CB31" s="51"/>
      <c r="CC31" s="51"/>
      <c r="CD31" s="51"/>
      <c r="CE31" s="51">
        <f>25.55-3.83</f>
        <v>21.72</v>
      </c>
      <c r="CF31" s="51"/>
      <c r="CG31" s="51"/>
      <c r="CH31" s="51"/>
      <c r="CI31" s="51"/>
      <c r="CJ31" s="51">
        <v>21.39</v>
      </c>
      <c r="CK31" s="51"/>
      <c r="CL31" s="51"/>
      <c r="CM31" s="51">
        <v>21.39</v>
      </c>
      <c r="CN31" s="51"/>
      <c r="CO31" s="51"/>
      <c r="CP31" s="51">
        <v>24.6</v>
      </c>
      <c r="CQ31" s="51"/>
      <c r="CR31" s="51"/>
      <c r="CS31" s="51">
        <v>24.6</v>
      </c>
      <c r="CT31" s="51"/>
      <c r="CU31" s="51"/>
      <c r="CV31" s="51">
        <v>24.6</v>
      </c>
      <c r="CW31" s="51"/>
      <c r="CX31" s="51"/>
      <c r="CY31" s="51">
        <v>24.6</v>
      </c>
      <c r="CZ31" s="51"/>
      <c r="DA31" s="51"/>
      <c r="DB31" s="51">
        <v>26.81</v>
      </c>
      <c r="DC31" s="51"/>
      <c r="DD31" s="51"/>
      <c r="DE31" s="51">
        <v>26.81</v>
      </c>
      <c r="DF31" s="51"/>
      <c r="DG31" s="51">
        <v>51.2</v>
      </c>
      <c r="DH31" s="51">
        <v>26.81</v>
      </c>
      <c r="DI31" s="51"/>
    </row>
    <row r="32" spans="2:113" x14ac:dyDescent="0.25">
      <c r="B32" s="12" t="str">
        <f t="shared" si="3"/>
        <v>20K6HU7</v>
      </c>
      <c r="C32" s="12" t="s">
        <v>162</v>
      </c>
      <c r="D32" t="e" vm="533">
        <v>#VALUE!</v>
      </c>
      <c r="E32" s="12" t="str" cm="1">
        <f t="array" aca="1" ref="E32" ca="1">_FV(Titres[[#This Row],[Action]],"Code mnémonique",TRUE)</f>
        <v>GSK</v>
      </c>
      <c r="F32" t="str" cm="1">
        <f t="array" aca="1" ref="F32" ca="1">_FV(D32,"Change")</f>
        <v>New York Stock Exchange</v>
      </c>
      <c r="G32" t="str" cm="1">
        <f t="array" aca="1" ref="G32" ca="1">IFERROR(_FV(Titres[[#This Row],[Action]],"Industrie"),"")</f>
        <v>Pharmaceuticals</v>
      </c>
      <c r="H32" t="s">
        <v>207</v>
      </c>
      <c r="I32" s="12" t="str" cm="1">
        <f t="array" aca="1" ref="I32" ca="1">_FV(D32,"Devise")</f>
        <v>USD</v>
      </c>
      <c r="J32" s="28">
        <v>80</v>
      </c>
      <c r="K32" s="41">
        <v>59.67</v>
      </c>
      <c r="L32" s="41">
        <f t="shared" si="4"/>
        <v>4773.6000000000004</v>
      </c>
      <c r="M32" s="41" cm="1">
        <f t="array" aca="1" ref="M32" ca="1">_FV(D32,"Prix")</f>
        <v>56.12</v>
      </c>
      <c r="N32" s="49">
        <f t="shared" ca="1" si="5"/>
        <v>4489.5999999999995</v>
      </c>
      <c r="O32" s="49">
        <f ca="1">IF(Titres[[#This Row],[Devise]]="CAD",Titres[[#This Row],[Valeur au marché
($ local)]],Titres[[#This Row],[Valeur au marché
($ local)]]*Ressources!$I$3)</f>
        <v>6132.7936</v>
      </c>
      <c r="P32" s="49" cm="1">
        <f t="array" aca="1" ref="P32" ca="1">(Titres[[#This Row],[Prix actuel]]-_FV(Titres[[#This Row],[Action]],"Clôture précédente",TRUE))*Titres[[#This Row],[Nb d''actions]]</f>
        <v>-98.400000000000318</v>
      </c>
      <c r="Q32" s="22">
        <f ca="1">Titres[[#This Row],[Variation du jour ($)]]/(Titres[[#This Row],[Valeur au marché
($ local)]]-Titres[[#This Row],[Variation du jour ($)]])</f>
        <v>-2.1447253705318289E-2</v>
      </c>
      <c r="R32" s="41">
        <f ca="1">Titres[[#This Row],[Valeur au marché
($ local)]]-Titres[[#This Row],[Coût total]]</f>
        <v>-284.00000000000091</v>
      </c>
      <c r="S32" s="22">
        <f ca="1">Titres[[#This Row],[Gain non réalisé ($)]]/Titres[[#This Row],[Coût total]]</f>
        <v>-5.9493883023294974E-2</v>
      </c>
      <c r="T32" s="50">
        <v>0.36</v>
      </c>
      <c r="U32" s="41">
        <f>4*Titres[[#This Row],[Dividende trimestriel]]</f>
        <v>1.44</v>
      </c>
      <c r="V32" s="41">
        <f>Titres[[#This Row],[Dividende annuel]]*Titres[[#This Row],[Nb d''actions]]</f>
        <v>115.19999999999999</v>
      </c>
      <c r="W32" s="25">
        <f ca="1">Titres[[#This Row],[Dividende annuel]]/Titres[[#This Row],[Prix actuel]]</f>
        <v>2.5659301496792589E-2</v>
      </c>
      <c r="X32" s="49">
        <f>Titres[[#This Row],[Dividende annuel]]/Titres[[#This Row],[Coût moyen]]</f>
        <v>2.4132730015082954E-2</v>
      </c>
      <c r="Y32" s="12">
        <v>0</v>
      </c>
      <c r="Z32" s="40">
        <f ca="1">(((Titres[[#This Row],[Valeur au marché
($ local)]]-Titres[[#This Row],[Coût total]])+Titres[[#This Row],[Total - dividendes reçus]])/Titres[[#This Row],[Coût total]])</f>
        <v>3.9542483660130537E-2</v>
      </c>
      <c r="AA32" s="38">
        <f>SUM(Titres[[#This Row],[Janvier 2019]:[Août 2024]])</f>
        <v>472.76000000000005</v>
      </c>
      <c r="AB32" s="38">
        <v>11.97</v>
      </c>
      <c r="AC32" s="38"/>
      <c r="AD32" s="38"/>
      <c r="AE32" s="38">
        <v>14.85</v>
      </c>
      <c r="AF32" s="38"/>
      <c r="AG32" s="38"/>
      <c r="AH32" s="38">
        <v>11.64</v>
      </c>
      <c r="AI32" s="38"/>
      <c r="AJ32" s="38"/>
      <c r="AK32" s="38">
        <v>11.46</v>
      </c>
      <c r="AL32" s="38"/>
      <c r="AM32" s="38"/>
      <c r="AN32" s="38">
        <v>12.31</v>
      </c>
      <c r="AO32" s="38"/>
      <c r="AP32" s="38"/>
      <c r="AQ32" s="38">
        <v>13.98</v>
      </c>
      <c r="AR32" s="38"/>
      <c r="AS32" s="38"/>
      <c r="AT32" s="38">
        <v>11.66</v>
      </c>
      <c r="AU32" s="38"/>
      <c r="AV32" s="38"/>
      <c r="AW32" s="38">
        <v>12.13</v>
      </c>
      <c r="AX32" s="38"/>
      <c r="AY32" s="38"/>
      <c r="AZ32" s="51">
        <v>12.73</v>
      </c>
      <c r="BA32" s="51"/>
      <c r="BC32" s="51">
        <v>15.73</v>
      </c>
      <c r="BF32" s="51">
        <v>12.97</v>
      </c>
      <c r="BI32" s="51">
        <v>12.75</v>
      </c>
      <c r="BL32" s="51">
        <v>12.73</v>
      </c>
      <c r="BO32" s="51">
        <v>14.9</v>
      </c>
      <c r="BR32" s="51">
        <v>33.39</v>
      </c>
      <c r="BU32" s="51">
        <v>28.96</v>
      </c>
      <c r="BX32" s="51">
        <v>26.18</v>
      </c>
      <c r="CA32" s="51">
        <v>26.75</v>
      </c>
      <c r="CB32" s="51"/>
      <c r="CC32" s="51"/>
      <c r="CD32" s="51">
        <v>28.28</v>
      </c>
      <c r="CE32" s="51"/>
      <c r="CF32" s="51"/>
      <c r="CG32" s="51">
        <v>26.88</v>
      </c>
      <c r="CH32" s="51"/>
      <c r="CI32" s="51"/>
      <c r="CJ32" s="51">
        <v>27.91</v>
      </c>
      <c r="CK32" s="51"/>
      <c r="CL32" s="51"/>
      <c r="CM32" s="51">
        <v>61.86</v>
      </c>
      <c r="CN32" s="51"/>
      <c r="CO32" s="51"/>
      <c r="CP32" s="51">
        <v>30.74</v>
      </c>
      <c r="CQ32" s="51"/>
      <c r="CR32" s="51"/>
      <c r="CS32" s="51">
        <v>30.83</v>
      </c>
      <c r="CT32" s="51"/>
      <c r="CU32" s="51"/>
      <c r="CV32" s="51">
        <v>29.55</v>
      </c>
      <c r="CW32" s="51"/>
      <c r="CX32" s="51"/>
      <c r="CY32" s="51">
        <v>32.01</v>
      </c>
      <c r="CZ32" s="51"/>
      <c r="DA32" s="51"/>
      <c r="DB32" s="51">
        <v>34.18</v>
      </c>
      <c r="DC32" s="51"/>
      <c r="DD32" s="51"/>
      <c r="DE32" s="51">
        <v>33.799999999999997</v>
      </c>
      <c r="DF32" s="51"/>
      <c r="DG32" s="51"/>
      <c r="DH32" s="51">
        <v>34.049999999999997</v>
      </c>
      <c r="DI32" s="51"/>
    </row>
    <row r="33" spans="2:113" x14ac:dyDescent="0.25">
      <c r="B33" s="12" t="str">
        <f t="shared" si="3"/>
        <v>20K6HZ6</v>
      </c>
      <c r="C33" s="12" t="s">
        <v>160</v>
      </c>
      <c r="D33" t="e" vm="534">
        <v>#VALUE!</v>
      </c>
      <c r="E33" s="12" t="str" cm="1">
        <f t="array" aca="1" ref="E33" ca="1">_FV(Titres[[#This Row],[Action]],"Code mnémonique",TRUE)</f>
        <v>GEI</v>
      </c>
      <c r="F33" t="str" cm="1">
        <f t="array" aca="1" ref="F33" ca="1">_FV(D33,"Change")</f>
        <v>Toronto Stock Exchange</v>
      </c>
      <c r="G33" t="str" cm="1">
        <f t="array" aca="1" ref="G33" ca="1">IFERROR(_FV(Titres[[#This Row],[Action]],"Industrie"),"")</f>
        <v>Oil &amp; Gas</v>
      </c>
      <c r="H33" t="s">
        <v>205</v>
      </c>
      <c r="I33" s="12" t="str" cm="1">
        <f t="array" aca="1" ref="I33" ca="1">_FV(D33,"Devise")</f>
        <v>CAD</v>
      </c>
      <c r="J33" s="28">
        <v>200</v>
      </c>
      <c r="K33" s="41">
        <v>23.39</v>
      </c>
      <c r="L33" s="41">
        <f t="shared" si="4"/>
        <v>4678</v>
      </c>
      <c r="M33" s="41" cm="1">
        <f t="array" aca="1" ref="M33" ca="1">_FV(D33,"Prix")</f>
        <v>27.48</v>
      </c>
      <c r="N33" s="49">
        <f t="shared" ca="1" si="5"/>
        <v>5496</v>
      </c>
      <c r="O33" s="49">
        <f ca="1">IF(Titres[[#This Row],[Devise]]="CAD",Titres[[#This Row],[Valeur au marché
($ local)]],Titres[[#This Row],[Valeur au marché
($ local)]]*Ressources!$I$3)</f>
        <v>5496</v>
      </c>
      <c r="P33" s="49" cm="1">
        <f t="array" aca="1" ref="P33" ca="1">(Titres[[#This Row],[Prix actuel]]-_FV(Titres[[#This Row],[Action]],"Clôture précédente",TRUE))*Titres[[#This Row],[Nb d''actions]]</f>
        <v>48.000000000000398</v>
      </c>
      <c r="Q33" s="22">
        <f ca="1">Titres[[#This Row],[Variation du jour ($)]]/(Titres[[#This Row],[Valeur au marché
($ local)]]-Titres[[#This Row],[Variation du jour ($)]])</f>
        <v>8.8105726872247433E-3</v>
      </c>
      <c r="R33" s="41">
        <f ca="1">Titres[[#This Row],[Valeur au marché
($ local)]]-Titres[[#This Row],[Coût total]]</f>
        <v>818</v>
      </c>
      <c r="S33" s="22">
        <f ca="1">Titres[[#This Row],[Gain non réalisé ($)]]/Titres[[#This Row],[Coût total]]</f>
        <v>0.1748610517315092</v>
      </c>
      <c r="T33" s="50">
        <v>0.43</v>
      </c>
      <c r="U33" s="41">
        <f>4*Titres[[#This Row],[Dividende trimestriel]]</f>
        <v>1.72</v>
      </c>
      <c r="V33" s="41">
        <f>Titres[[#This Row],[Dividende annuel]]*Titres[[#This Row],[Nb d''actions]]</f>
        <v>344</v>
      </c>
      <c r="W33" s="25">
        <f ca="1">Titres[[#This Row],[Dividende annuel]]/Titres[[#This Row],[Prix actuel]]</f>
        <v>6.2590975254730716E-2</v>
      </c>
      <c r="X33" s="49">
        <f>Titres[[#This Row],[Dividende annuel]]/Titres[[#This Row],[Coût moyen]]</f>
        <v>7.3535699016673783E-2</v>
      </c>
      <c r="Y33" s="12">
        <v>3</v>
      </c>
      <c r="Z33" s="40">
        <f ca="1">(((Titres[[#This Row],[Valeur au marché
($ local)]]-Titres[[#This Row],[Coût total]])+Titres[[#This Row],[Total - dividendes reçus]])/Titres[[#This Row],[Coût total]])</f>
        <v>0.27661393758016245</v>
      </c>
      <c r="AA33" s="38">
        <f>SUM(Titres[[#This Row],[Janvier 2019]:[Août 2024]])</f>
        <v>476</v>
      </c>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51"/>
      <c r="BA33" s="51"/>
      <c r="CA33" s="51">
        <v>78</v>
      </c>
      <c r="CB33" s="51"/>
      <c r="CC33" s="51"/>
      <c r="CD33" s="51">
        <v>78</v>
      </c>
      <c r="CE33" s="51"/>
      <c r="CF33" s="51"/>
      <c r="CG33" s="51">
        <v>78</v>
      </c>
      <c r="CH33" s="51"/>
      <c r="CI33" s="51"/>
      <c r="CJ33" s="51">
        <v>78</v>
      </c>
      <c r="CK33" s="51"/>
      <c r="CL33" s="51"/>
      <c r="CM33" s="51">
        <v>82</v>
      </c>
      <c r="CN33" s="51"/>
      <c r="CO33" s="51"/>
      <c r="CP33" s="51">
        <v>82</v>
      </c>
      <c r="CQ33" s="51"/>
      <c r="CR33" s="51"/>
      <c r="CS33" s="51">
        <v>82</v>
      </c>
      <c r="CT33" s="51"/>
      <c r="CU33" s="51"/>
      <c r="CV33" s="51">
        <v>82</v>
      </c>
      <c r="CW33" s="51"/>
      <c r="CX33" s="51"/>
      <c r="CY33" s="51">
        <v>86</v>
      </c>
      <c r="CZ33" s="51"/>
      <c r="DA33" s="51"/>
      <c r="DB33" s="51">
        <v>86</v>
      </c>
      <c r="DC33" s="51"/>
      <c r="DD33" s="51"/>
      <c r="DE33" s="51">
        <v>86</v>
      </c>
      <c r="DF33" s="51"/>
      <c r="DG33" s="51"/>
      <c r="DH33" s="51">
        <v>86</v>
      </c>
      <c r="DI33" s="51"/>
    </row>
    <row r="34" spans="2:113" x14ac:dyDescent="0.25">
      <c r="B34" s="12" t="str">
        <f t="shared" si="3"/>
        <v>20K6HU7</v>
      </c>
      <c r="C34" s="12" t="s">
        <v>162</v>
      </c>
      <c r="D34" t="e" vm="535">
        <v>#VALUE!</v>
      </c>
      <c r="E34" s="12" t="str" cm="1">
        <f t="array" aca="1" ref="E34" ca="1">_FV(Titres[[#This Row],[Action]],"Code mnémonique",TRUE)</f>
        <v>HLN</v>
      </c>
      <c r="F34" t="str" cm="1">
        <f t="array" aca="1" ref="F34" ca="1">_FV(D34,"Change")</f>
        <v>New York Stock Exchange</v>
      </c>
      <c r="G34" t="str" cm="1">
        <f t="array" aca="1" ref="G34" ca="1">IFERROR(_FV(Titres[[#This Row],[Action]],"Industrie"),"")</f>
        <v>Pharmaceuticals</v>
      </c>
      <c r="H34" t="s">
        <v>207</v>
      </c>
      <c r="I34" s="12" t="str" cm="1">
        <f t="array" aca="1" ref="I34" ca="1">_FV(D34,"Devise")</f>
        <v>USD</v>
      </c>
      <c r="J34" s="28">
        <v>100</v>
      </c>
      <c r="K34" s="41">
        <v>7.28</v>
      </c>
      <c r="L34" s="41">
        <f t="shared" si="4"/>
        <v>728</v>
      </c>
      <c r="M34" s="41" cm="1">
        <f t="array" aca="1" ref="M34" ca="1">_FV(D34,"Prix")</f>
        <v>9.5250000000000004</v>
      </c>
      <c r="N34" s="49">
        <f t="shared" ca="1" si="5"/>
        <v>952.5</v>
      </c>
      <c r="O34" s="49">
        <f ca="1">IF(Titres[[#This Row],[Devise]]="CAD",Titres[[#This Row],[Valeur au marché
($ local)]],Titres[[#This Row],[Valeur au marché
($ local)]]*Ressources!$I$3)</f>
        <v>1301.115</v>
      </c>
      <c r="P34" s="49" cm="1">
        <f t="array" aca="1" ref="P34" ca="1">(Titres[[#This Row],[Prix actuel]]-_FV(Titres[[#This Row],[Action]],"Clôture précédente",TRUE))*Titres[[#This Row],[Nb d''actions]]</f>
        <v>-15.499999999999936</v>
      </c>
      <c r="Q34" s="22">
        <f ca="1">Titres[[#This Row],[Variation du jour ($)]]/(Titres[[#This Row],[Valeur au marché
($ local)]]-Titres[[#This Row],[Variation du jour ($)]])</f>
        <v>-1.6012396694214812E-2</v>
      </c>
      <c r="R34" s="41">
        <f ca="1">Titres[[#This Row],[Valeur au marché
($ local)]]-Titres[[#This Row],[Coût total]]</f>
        <v>224.5</v>
      </c>
      <c r="S34" s="22">
        <f ca="1">Titres[[#This Row],[Gain non réalisé ($)]]/Titres[[#This Row],[Coût total]]</f>
        <v>0.30837912087912089</v>
      </c>
      <c r="T34" s="50">
        <v>0.06</v>
      </c>
      <c r="U34" s="41">
        <f>4*Titres[[#This Row],[Dividende trimestriel]]</f>
        <v>0.24</v>
      </c>
      <c r="V34" s="41">
        <f>Titres[[#This Row],[Dividende annuel]]*Titres[[#This Row],[Nb d''actions]]</f>
        <v>24</v>
      </c>
      <c r="W34" s="25">
        <f ca="1">Titres[[#This Row],[Dividende annuel]]/Titres[[#This Row],[Prix actuel]]</f>
        <v>2.5196850393700787E-2</v>
      </c>
      <c r="X34" s="49">
        <f>Titres[[#This Row],[Dividende annuel]]/Titres[[#This Row],[Coût moyen]]</f>
        <v>3.2967032967032968E-2</v>
      </c>
      <c r="Y34" s="12">
        <v>0</v>
      </c>
      <c r="Z34" s="40">
        <f ca="1">(((Titres[[#This Row],[Valeur au marché
($ local)]]-Titres[[#This Row],[Coût total]])+Titres[[#This Row],[Total - dividendes reçus]])/Titres[[#This Row],[Coût total]])</f>
        <v>0.33707417582417581</v>
      </c>
      <c r="AA34" s="38">
        <f>SUM(Titres[[#This Row],[Janvier 2019]:[Août 2024]])</f>
        <v>20.89</v>
      </c>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51"/>
      <c r="BA34" s="51"/>
      <c r="CA34" s="51">
        <v>5.97</v>
      </c>
      <c r="CB34" s="51"/>
      <c r="CC34" s="51"/>
      <c r="CD34" s="51"/>
      <c r="CE34" s="51"/>
      <c r="CF34" s="51"/>
      <c r="CG34" s="51">
        <v>4.3899999999999997</v>
      </c>
      <c r="CH34" s="51"/>
      <c r="CI34" s="51"/>
      <c r="CJ34" s="51"/>
      <c r="CK34" s="51"/>
      <c r="CL34" s="51"/>
      <c r="CM34" s="51"/>
      <c r="CN34" s="51">
        <v>10.53</v>
      </c>
      <c r="CO34" s="51"/>
      <c r="CP34" s="51"/>
      <c r="CQ34" s="51"/>
      <c r="CR34" s="51">
        <v>5.27</v>
      </c>
      <c r="CS34" s="51"/>
      <c r="CT34" s="51"/>
      <c r="CU34" s="51"/>
      <c r="CV34" s="51"/>
      <c r="CW34" s="51"/>
      <c r="CX34" s="51"/>
      <c r="CY34" s="51"/>
      <c r="CZ34" s="51"/>
      <c r="DA34" s="51">
        <v>12.46</v>
      </c>
      <c r="DB34" s="51"/>
      <c r="DC34" s="51"/>
      <c r="DD34" s="51">
        <v>5.68</v>
      </c>
      <c r="DE34" s="51"/>
      <c r="DF34" s="51"/>
      <c r="DG34" s="51"/>
      <c r="DH34" s="51"/>
      <c r="DI34" s="51"/>
    </row>
    <row r="35" spans="2:113" x14ac:dyDescent="0.25">
      <c r="B35" s="12" t="str">
        <f t="shared" si="3"/>
        <v>20K6HZ6</v>
      </c>
      <c r="C35" s="12" t="s">
        <v>160</v>
      </c>
      <c r="D35" t="e" vm="536">
        <v>#VALUE!</v>
      </c>
      <c r="E35" s="12" t="str" cm="1">
        <f t="array" aca="1" ref="E35" ca="1">_FV(Titres[[#This Row],[Action]],"Code mnémonique",TRUE)</f>
        <v>GWO</v>
      </c>
      <c r="F35" t="str" cm="1">
        <f t="array" aca="1" ref="F35" ca="1">_FV(D35,"Change")</f>
        <v>Toronto Stock Exchange</v>
      </c>
      <c r="G35" t="str" cm="1">
        <f t="array" aca="1" ref="G35" ca="1">IFERROR(_FV(Titres[[#This Row],[Action]],"Industrie"),"")</f>
        <v>Insurance</v>
      </c>
      <c r="H35" t="s">
        <v>205</v>
      </c>
      <c r="I35" s="12" t="str" cm="1">
        <f t="array" aca="1" ref="I35" ca="1">_FV(D35,"Devise")</f>
        <v>CAD</v>
      </c>
      <c r="J35" s="28">
        <v>145</v>
      </c>
      <c r="K35" s="41">
        <v>32.11</v>
      </c>
      <c r="L35" s="41">
        <f t="shared" si="4"/>
        <v>4655.95</v>
      </c>
      <c r="M35" s="41" cm="1">
        <f t="array" aca="1" ref="M35" ca="1">_FV(D35,"Prix")</f>
        <v>70.849999999999994</v>
      </c>
      <c r="N35" s="49">
        <f t="shared" ca="1" si="5"/>
        <v>10273.25</v>
      </c>
      <c r="O35" s="49">
        <f ca="1">IF(Titres[[#This Row],[Devise]]="CAD",Titres[[#This Row],[Valeur au marché
($ local)]],Titres[[#This Row],[Valeur au marché
($ local)]]*Ressources!$I$3)</f>
        <v>10273.25</v>
      </c>
      <c r="P35" s="49" cm="1">
        <f t="array" aca="1" ref="P35" ca="1">(Titres[[#This Row],[Prix actuel]]-_FV(Titres[[#This Row],[Action]],"Clôture précédente",TRUE))*Titres[[#This Row],[Nb d''actions]]</f>
        <v>42.049999999998846</v>
      </c>
      <c r="Q35" s="22">
        <f ca="1">Titres[[#This Row],[Variation du jour ($)]]/(Titres[[#This Row],[Valeur au marché
($ local)]]-Titres[[#This Row],[Variation du jour ($)]])</f>
        <v>4.1099773242629254E-3</v>
      </c>
      <c r="R35" s="41">
        <f ca="1">Titres[[#This Row],[Valeur au marché
($ local)]]-Titres[[#This Row],[Coût total]]</f>
        <v>5617.3</v>
      </c>
      <c r="S35" s="22">
        <f ca="1">Titres[[#This Row],[Gain non réalisé ($)]]/Titres[[#This Row],[Coût total]]</f>
        <v>1.2064777327935223</v>
      </c>
      <c r="T35" s="50">
        <v>0.61</v>
      </c>
      <c r="U35" s="41">
        <f>4*Titres[[#This Row],[Dividende trimestriel]]</f>
        <v>2.44</v>
      </c>
      <c r="V35" s="41">
        <f>Titres[[#This Row],[Dividende annuel]]*Titres[[#This Row],[Nb d''actions]]</f>
        <v>353.8</v>
      </c>
      <c r="W35" s="25">
        <f ca="1">Titres[[#This Row],[Dividende annuel]]/Titres[[#This Row],[Prix actuel]]</f>
        <v>3.4438955539872973E-2</v>
      </c>
      <c r="X35" s="49">
        <f>Titres[[#This Row],[Dividende annuel]]/Titres[[#This Row],[Coût moyen]]</f>
        <v>7.5988788539395821E-2</v>
      </c>
      <c r="Y35" s="12">
        <v>8</v>
      </c>
      <c r="Z35" s="40">
        <f ca="1">(((Titres[[#This Row],[Valeur au marché
($ local)]]-Titres[[#This Row],[Coût total]])+Titres[[#This Row],[Total - dividendes reçus]])/Titres[[#This Row],[Coût total]])</f>
        <v>1.4397577293570594</v>
      </c>
      <c r="AA35" s="38">
        <f>SUM(Titres[[#This Row],[Janvier 2019]:[Août 2024]])</f>
        <v>1086.1399999999999</v>
      </c>
      <c r="AB35" s="38"/>
      <c r="AC35" s="38"/>
      <c r="AD35" s="38">
        <v>18.59</v>
      </c>
      <c r="AE35" s="38"/>
      <c r="AF35" s="38"/>
      <c r="AG35" s="38">
        <v>18.59</v>
      </c>
      <c r="AH35" s="38"/>
      <c r="AI35" s="38"/>
      <c r="AJ35" s="38">
        <v>18.59</v>
      </c>
      <c r="AK35" s="38"/>
      <c r="AL35" s="38"/>
      <c r="AM35" s="38">
        <v>18.59</v>
      </c>
      <c r="AN35" s="38"/>
      <c r="AO35" s="38"/>
      <c r="AP35" s="38">
        <v>19.71</v>
      </c>
      <c r="AQ35" s="38"/>
      <c r="AR35" s="38"/>
      <c r="AS35" s="38">
        <v>19.71</v>
      </c>
      <c r="AT35" s="38"/>
      <c r="AU35" s="38"/>
      <c r="AV35" s="38">
        <v>19.71</v>
      </c>
      <c r="AW35" s="38"/>
      <c r="AX35" s="38"/>
      <c r="AY35" s="38">
        <v>19.71</v>
      </c>
      <c r="AZ35" s="51"/>
      <c r="BA35" s="51"/>
      <c r="BB35" s="51">
        <v>63.51</v>
      </c>
      <c r="BE35" s="51">
        <v>63.51</v>
      </c>
      <c r="BH35" s="51">
        <v>63.51</v>
      </c>
      <c r="BK35" s="51">
        <v>71.05</v>
      </c>
      <c r="BN35" s="51">
        <v>71.05</v>
      </c>
      <c r="BQ35" s="51">
        <v>71.05</v>
      </c>
      <c r="BT35" s="51">
        <v>71.05</v>
      </c>
      <c r="BW35" s="51">
        <v>71.05</v>
      </c>
      <c r="CA35" s="51"/>
      <c r="CB35" s="51"/>
      <c r="CC35" s="51">
        <v>75.400000000000006</v>
      </c>
      <c r="CD35" s="51"/>
      <c r="CE35" s="51"/>
      <c r="CF35" s="51">
        <v>75.400000000000006</v>
      </c>
      <c r="CG35" s="51"/>
      <c r="CH35" s="51"/>
      <c r="CI35" s="51">
        <v>75.400000000000006</v>
      </c>
      <c r="CJ35" s="51"/>
      <c r="CK35" s="51"/>
      <c r="CL35" s="51">
        <v>80.48</v>
      </c>
      <c r="CM35" s="51"/>
      <c r="CN35" s="51"/>
      <c r="CO35" s="51"/>
      <c r="CP35" s="51">
        <v>80.48</v>
      </c>
      <c r="CQ35" s="51"/>
      <c r="CR35" s="51">
        <v>80.48</v>
      </c>
      <c r="CS35" s="51"/>
      <c r="CT35" s="51"/>
      <c r="CU35" s="51">
        <v>80.48</v>
      </c>
      <c r="CV35" s="51"/>
      <c r="CW35" s="51"/>
      <c r="CX35" s="51">
        <v>88.45</v>
      </c>
      <c r="CY35" s="51"/>
      <c r="CZ35" s="51"/>
      <c r="DA35" s="51"/>
      <c r="DB35" s="51">
        <v>88.45</v>
      </c>
      <c r="DC35" s="51"/>
      <c r="DD35" s="51">
        <v>88.45</v>
      </c>
      <c r="DE35" s="51"/>
      <c r="DF35" s="51"/>
      <c r="DG35" s="51">
        <v>88.45</v>
      </c>
      <c r="DH35" s="51"/>
      <c r="DI35" s="51"/>
    </row>
    <row r="36" spans="2:113" x14ac:dyDescent="0.25">
      <c r="B36" s="12" t="str">
        <f t="shared" si="3"/>
        <v>20K6HZ6</v>
      </c>
      <c r="C36" s="12" t="s">
        <v>160</v>
      </c>
      <c r="D36" t="e" vm="537">
        <v>#VALUE!</v>
      </c>
      <c r="E36" s="12" t="str" cm="1">
        <f t="array" aca="1" ref="E36" ca="1">_FV(Titres[[#This Row],[Action]],"Code mnémonique",TRUE)</f>
        <v>HR.UN</v>
      </c>
      <c r="F36" t="str" cm="1">
        <f t="array" aca="1" ref="F36" ca="1">_FV(D36,"Change")</f>
        <v>Toronto Stock Exchange</v>
      </c>
      <c r="G36" t="str" cm="1">
        <f t="array" ref="G36">IFERROR(_FV(Titres[[#This Row],[Action]],"Industrie"),"")</f>
        <v/>
      </c>
      <c r="H36" t="s">
        <v>117</v>
      </c>
      <c r="I36" s="12" t="str" cm="1">
        <f t="array" aca="1" ref="I36" ca="1">_FV(D36,"Devise")</f>
        <v>CAD</v>
      </c>
      <c r="J36" s="28">
        <v>160</v>
      </c>
      <c r="K36" s="41">
        <v>18.670000000000002</v>
      </c>
      <c r="L36" s="41">
        <f t="shared" si="4"/>
        <v>2987.2000000000003</v>
      </c>
      <c r="M36" s="41" cm="1">
        <f t="array" aca="1" ref="M36" ca="1">_FV(D36,"Prix")</f>
        <v>10.35</v>
      </c>
      <c r="N36" s="49">
        <f t="shared" ca="1" si="5"/>
        <v>1656</v>
      </c>
      <c r="O36" s="49">
        <f ca="1">IF(Titres[[#This Row],[Devise]]="CAD",Titres[[#This Row],[Valeur au marché
($ local)]],Titres[[#This Row],[Valeur au marché
($ local)]]*Ressources!$I$3)</f>
        <v>1656</v>
      </c>
      <c r="P36" s="49" cm="1">
        <f t="array" aca="1" ref="P36" ca="1">(Titres[[#This Row],[Prix actuel]]-_FV(Titres[[#This Row],[Action]],"Clôture précédente",TRUE))*Titres[[#This Row],[Nb d''actions]]</f>
        <v>6.3999999999998636</v>
      </c>
      <c r="Q36" s="22">
        <f ca="1">Titres[[#This Row],[Variation du jour ($)]]/(Titres[[#This Row],[Valeur au marché
($ local)]]-Titres[[#This Row],[Variation du jour ($)]])</f>
        <v>3.879728419010586E-3</v>
      </c>
      <c r="R36" s="41">
        <f ca="1">Titres[[#This Row],[Valeur au marché
($ local)]]-Titres[[#This Row],[Coût total]]</f>
        <v>-1331.2000000000003</v>
      </c>
      <c r="S36" s="22">
        <f ca="1">Titres[[#This Row],[Gain non réalisé ($)]]/Titres[[#This Row],[Coût total]]</f>
        <v>-0.4456347080878415</v>
      </c>
      <c r="T36" s="50">
        <v>0.05</v>
      </c>
      <c r="U36" s="41">
        <f>4*Titres[[#This Row],[Dividende trimestriel]]</f>
        <v>0.2</v>
      </c>
      <c r="V36" s="41">
        <f>Titres[[#This Row],[Dividende annuel]]*Titres[[#This Row],[Nb d''actions]]</f>
        <v>32</v>
      </c>
      <c r="W36" s="25">
        <f ca="1">Titres[[#This Row],[Dividende annuel]]/Titres[[#This Row],[Prix actuel]]</f>
        <v>1.9323671497584544E-2</v>
      </c>
      <c r="X36" s="49">
        <f>Titres[[#This Row],[Dividende annuel]]/Titres[[#This Row],[Coût moyen]]</f>
        <v>1.0712372790573112E-2</v>
      </c>
      <c r="Y36" s="12">
        <v>0</v>
      </c>
      <c r="Z36" s="40">
        <f ca="1">(((Titres[[#This Row],[Valeur au marché
($ local)]]-Titres[[#This Row],[Coût total]])+Titres[[#This Row],[Total - dividendes reçus]])/Titres[[#This Row],[Coût total]])</f>
        <v>-0.27237546866630974</v>
      </c>
      <c r="AA36" s="38">
        <f>SUM(Titres[[#This Row],[Janvier 2019]:[Août 2024]])</f>
        <v>517.55999999999972</v>
      </c>
      <c r="AB36" s="38"/>
      <c r="AC36" s="38"/>
      <c r="AD36" s="38"/>
      <c r="AE36" s="38"/>
      <c r="AF36" s="38"/>
      <c r="AG36" s="38"/>
      <c r="AH36" s="38"/>
      <c r="AI36" s="38"/>
      <c r="AJ36" s="38"/>
      <c r="AK36" s="38"/>
      <c r="AL36" s="38"/>
      <c r="AM36" s="38"/>
      <c r="AN36" s="38"/>
      <c r="AO36" s="38">
        <v>18.399999999999999</v>
      </c>
      <c r="AP36" s="38">
        <v>18.399999999999999</v>
      </c>
      <c r="AQ36" s="38"/>
      <c r="AR36" s="38">
        <v>18.399999999999999</v>
      </c>
      <c r="AS36" s="38">
        <v>9.1999999999999993</v>
      </c>
      <c r="AT36" s="38">
        <v>9.1999999999999993</v>
      </c>
      <c r="AU36" s="38">
        <v>9.1999999999999993</v>
      </c>
      <c r="AV36" s="38">
        <v>9.1999999999999993</v>
      </c>
      <c r="AW36" s="38">
        <v>9.1999999999999993</v>
      </c>
      <c r="AX36" s="38">
        <v>9.1999999999999993</v>
      </c>
      <c r="AY36" s="38">
        <v>9.1999999999999993</v>
      </c>
      <c r="AZ36" s="51">
        <v>9.1999999999999993</v>
      </c>
      <c r="BA36" s="51">
        <v>9.1999999999999993</v>
      </c>
      <c r="BB36" s="51">
        <v>9.1999999999999993</v>
      </c>
      <c r="BC36" s="51">
        <v>9.1999999999999993</v>
      </c>
      <c r="BD36" s="51">
        <v>9.1999999999999993</v>
      </c>
      <c r="BE36" s="51">
        <v>9.1999999999999993</v>
      </c>
      <c r="BF36" s="51">
        <v>9.1999999999999993</v>
      </c>
      <c r="BG36" s="51">
        <v>9.1999999999999993</v>
      </c>
      <c r="BH36" s="51">
        <v>9.1999999999999993</v>
      </c>
      <c r="BI36" s="51">
        <v>9.1999999999999993</v>
      </c>
      <c r="BJ36" s="51">
        <v>9.1999999999999993</v>
      </c>
      <c r="BK36" s="51">
        <v>9.1999999999999993</v>
      </c>
      <c r="BL36" s="51">
        <v>25.2</v>
      </c>
      <c r="BM36" s="51">
        <v>6.93</v>
      </c>
      <c r="BN36" s="51">
        <v>6.93</v>
      </c>
      <c r="BO36" s="51">
        <v>6.93</v>
      </c>
      <c r="BP36" s="51">
        <v>6.93</v>
      </c>
      <c r="BQ36" s="51">
        <v>7.33</v>
      </c>
      <c r="BR36" s="51">
        <v>7.33</v>
      </c>
      <c r="BS36" s="51">
        <v>7.33</v>
      </c>
      <c r="BT36" s="51">
        <v>7.33</v>
      </c>
      <c r="BU36" s="51">
        <v>7.33</v>
      </c>
      <c r="BV36" s="51">
        <v>7.33</v>
      </c>
      <c r="BW36" s="51">
        <v>7.33</v>
      </c>
      <c r="BX36" s="51">
        <v>15.33</v>
      </c>
      <c r="BY36" s="51">
        <v>8</v>
      </c>
      <c r="BZ36" s="51">
        <v>8</v>
      </c>
      <c r="CA36" s="51">
        <v>8</v>
      </c>
      <c r="CB36" s="51">
        <v>8</v>
      </c>
      <c r="CC36" s="51">
        <v>8</v>
      </c>
      <c r="CD36" s="51">
        <v>8</v>
      </c>
      <c r="CE36" s="51">
        <v>8</v>
      </c>
      <c r="CF36" s="51">
        <v>8</v>
      </c>
      <c r="CG36" s="51">
        <v>8</v>
      </c>
      <c r="CH36" s="51">
        <v>8</v>
      </c>
      <c r="CI36" s="51">
        <v>8</v>
      </c>
      <c r="CJ36" s="51">
        <v>24</v>
      </c>
      <c r="CK36" s="51">
        <v>8</v>
      </c>
      <c r="CL36" s="51">
        <v>8</v>
      </c>
      <c r="CM36" s="51">
        <v>8</v>
      </c>
      <c r="CN36" s="51">
        <v>8</v>
      </c>
      <c r="CO36" s="51">
        <v>8</v>
      </c>
      <c r="CP36" s="51">
        <v>8</v>
      </c>
      <c r="CQ36" s="51">
        <v>8</v>
      </c>
      <c r="CR36" s="51">
        <v>8</v>
      </c>
      <c r="CS36" s="51">
        <v>8</v>
      </c>
      <c r="CT36" s="51">
        <v>8</v>
      </c>
      <c r="CU36" s="51">
        <v>8</v>
      </c>
      <c r="CV36" s="51">
        <v>27.2</v>
      </c>
      <c r="CW36" s="51">
        <v>8</v>
      </c>
      <c r="CX36" s="51">
        <v>8</v>
      </c>
      <c r="CY36" s="51">
        <v>8</v>
      </c>
      <c r="CZ36" s="51">
        <v>8</v>
      </c>
      <c r="DA36" s="51">
        <v>8</v>
      </c>
      <c r="DB36" s="51">
        <v>8</v>
      </c>
      <c r="DC36" s="51">
        <v>8</v>
      </c>
      <c r="DD36" s="51">
        <v>8</v>
      </c>
      <c r="DE36" s="51">
        <v>8</v>
      </c>
      <c r="DF36" s="51">
        <v>8</v>
      </c>
      <c r="DG36" s="51">
        <v>8</v>
      </c>
      <c r="DH36" s="51">
        <v>8</v>
      </c>
      <c r="DI36" s="51">
        <v>8</v>
      </c>
    </row>
    <row r="37" spans="2:113" x14ac:dyDescent="0.25">
      <c r="B37" s="12" t="str">
        <f t="shared" si="3"/>
        <v>20K6HZ6</v>
      </c>
      <c r="C37" s="12" t="s">
        <v>160</v>
      </c>
      <c r="D37" t="e" vm="538">
        <v>#VALUE!</v>
      </c>
      <c r="E37" s="12" t="str" cm="1">
        <f t="array" aca="1" ref="E37" ca="1">_FV(Titres[[#This Row],[Action]],"Code mnémonique",TRUE)</f>
        <v>IAG</v>
      </c>
      <c r="F37" t="str" cm="1">
        <f t="array" aca="1" ref="F37" ca="1">_FV(D37,"Change")</f>
        <v>Toronto Stock Exchange</v>
      </c>
      <c r="G37" t="str" cm="1">
        <f t="array" aca="1" ref="G37" ca="1">IFERROR(_FV(Titres[[#This Row],[Action]],"Industrie"),"")</f>
        <v>Insurance</v>
      </c>
      <c r="H37" t="s">
        <v>205</v>
      </c>
      <c r="I37" s="12" t="str" cm="1">
        <f t="array" aca="1" ref="I37" ca="1">_FV(D37,"Devise")</f>
        <v>CAD</v>
      </c>
      <c r="J37" s="28">
        <v>69</v>
      </c>
      <c r="K37" s="41">
        <v>42.88</v>
      </c>
      <c r="L37" s="41">
        <f t="shared" si="4"/>
        <v>2958.7200000000003</v>
      </c>
      <c r="M37" s="41" cm="1">
        <f t="array" aca="1" ref="M37" ca="1">_FV(D37,"Prix")</f>
        <v>173.53</v>
      </c>
      <c r="N37" s="49">
        <f t="shared" ca="1" si="5"/>
        <v>11973.57</v>
      </c>
      <c r="O37" s="49">
        <f ca="1">IF(Titres[[#This Row],[Devise]]="CAD",Titres[[#This Row],[Valeur au marché
($ local)]],Titres[[#This Row],[Valeur au marché
($ local)]]*Ressources!$I$3)</f>
        <v>11973.57</v>
      </c>
      <c r="P37" s="49" cm="1">
        <f t="array" aca="1" ref="P37" ca="1">(Titres[[#This Row],[Prix actuel]]-_FV(Titres[[#This Row],[Action]],"Clôture précédente",TRUE))*Titres[[#This Row],[Nb d''actions]]</f>
        <v>76.590000000000941</v>
      </c>
      <c r="Q37" s="22">
        <f ca="1">Titres[[#This Row],[Variation du jour ($)]]/(Titres[[#This Row],[Valeur au marché
($ local)]]-Titres[[#This Row],[Variation du jour ($)]])</f>
        <v>6.4377682403434274E-3</v>
      </c>
      <c r="R37" s="41">
        <f ca="1">Titres[[#This Row],[Valeur au marché
($ local)]]-Titres[[#This Row],[Coût total]]</f>
        <v>9014.8499999999985</v>
      </c>
      <c r="S37" s="22">
        <f ca="1">Titres[[#This Row],[Gain non réalisé ($)]]/Titres[[#This Row],[Coût total]]</f>
        <v>3.0468749999999991</v>
      </c>
      <c r="T37" s="50">
        <v>0.99</v>
      </c>
      <c r="U37" s="41">
        <f>4*Titres[[#This Row],[Dividende trimestriel]]</f>
        <v>3.96</v>
      </c>
      <c r="V37" s="41">
        <f>Titres[[#This Row],[Dividende annuel]]*Titres[[#This Row],[Nb d''actions]]</f>
        <v>273.24</v>
      </c>
      <c r="W37" s="25">
        <f ca="1">Titres[[#This Row],[Dividende annuel]]/Titres[[#This Row],[Prix actuel]]</f>
        <v>2.2820261626231776E-2</v>
      </c>
      <c r="X37" s="49">
        <f>Titres[[#This Row],[Dividende annuel]]/Titres[[#This Row],[Coût moyen]]</f>
        <v>9.2350746268656705E-2</v>
      </c>
      <c r="Y37" s="12">
        <v>2</v>
      </c>
      <c r="Z37" s="40">
        <f ca="1">(((Titres[[#This Row],[Valeur au marché
($ local)]]-Titres[[#This Row],[Coût total]])+Titres[[#This Row],[Total - dividendes reçus]])/Titres[[#This Row],[Coût total]])</f>
        <v>3.3499587659528438</v>
      </c>
      <c r="AA37" s="38">
        <f>SUM(Titres[[#This Row],[Janvier 2019]:[Août 2024]])</f>
        <v>896.74000000000012</v>
      </c>
      <c r="AB37" s="38"/>
      <c r="AC37" s="38"/>
      <c r="AD37" s="38">
        <v>28.64</v>
      </c>
      <c r="AE37" s="38"/>
      <c r="AF37" s="38"/>
      <c r="AG37" s="38">
        <v>31.05</v>
      </c>
      <c r="AH37" s="38"/>
      <c r="AI37" s="38"/>
      <c r="AJ37" s="38">
        <v>31.05</v>
      </c>
      <c r="AK37" s="38"/>
      <c r="AL37" s="38"/>
      <c r="AM37" s="38">
        <v>31.05</v>
      </c>
      <c r="AN37" s="38"/>
      <c r="AO37" s="38"/>
      <c r="AP37" s="38">
        <v>33.47</v>
      </c>
      <c r="AQ37" s="38"/>
      <c r="AR37" s="38"/>
      <c r="AS37" s="38">
        <v>33.47</v>
      </c>
      <c r="AT37" s="38"/>
      <c r="AU37" s="38"/>
      <c r="AV37" s="38">
        <v>33.47</v>
      </c>
      <c r="AW37" s="38"/>
      <c r="AX37" s="38"/>
      <c r="AY37" s="38">
        <v>33.47</v>
      </c>
      <c r="AZ37" s="51"/>
      <c r="BA37" s="51"/>
      <c r="BB37" s="51">
        <v>33.47</v>
      </c>
      <c r="BE37" s="51">
        <v>33.47</v>
      </c>
      <c r="BH37" s="51">
        <v>33.47</v>
      </c>
      <c r="BK37" s="51">
        <v>43.13</v>
      </c>
      <c r="BN37" s="51">
        <v>43.13</v>
      </c>
      <c r="BQ37" s="51">
        <v>43.13</v>
      </c>
      <c r="BT37" s="51">
        <v>46.58</v>
      </c>
      <c r="BW37" s="51">
        <v>46.58</v>
      </c>
      <c r="BZ37" s="51">
        <v>46.58</v>
      </c>
      <c r="CA37" s="51"/>
      <c r="CB37" s="51"/>
      <c r="CC37" s="51">
        <v>52.79</v>
      </c>
      <c r="CD37" s="51"/>
      <c r="CE37" s="51"/>
      <c r="CF37" s="51">
        <v>52.79</v>
      </c>
      <c r="CG37" s="51"/>
      <c r="CH37" s="51"/>
      <c r="CI37" s="51">
        <v>52.79</v>
      </c>
      <c r="CJ37" s="51"/>
      <c r="CK37" s="51"/>
      <c r="CL37" s="51">
        <v>56.58</v>
      </c>
      <c r="CM37" s="51"/>
      <c r="CN37" s="51"/>
      <c r="CO37" s="51">
        <v>56.58</v>
      </c>
      <c r="CP37" s="51"/>
      <c r="CQ37" s="51"/>
      <c r="CR37" s="51">
        <v>56.58</v>
      </c>
      <c r="CS37" s="51"/>
      <c r="CT37" s="51"/>
      <c r="CU37" s="51">
        <v>62.1</v>
      </c>
      <c r="CV37" s="51"/>
      <c r="CW37" s="51"/>
      <c r="CX37" s="51">
        <v>62.1</v>
      </c>
      <c r="CY37" s="51"/>
      <c r="CZ37" s="51"/>
      <c r="DA37" s="51">
        <v>62.1</v>
      </c>
      <c r="DB37" s="51"/>
      <c r="DC37" s="51"/>
      <c r="DD37" s="51">
        <v>68.31</v>
      </c>
      <c r="DE37" s="51"/>
      <c r="DF37" s="51"/>
      <c r="DG37" s="51">
        <v>68.31</v>
      </c>
      <c r="DH37" s="51"/>
      <c r="DI37" s="51"/>
    </row>
    <row r="38" spans="2:113" x14ac:dyDescent="0.25">
      <c r="B38" s="12" t="str">
        <f t="shared" si="3"/>
        <v>20K6HU7</v>
      </c>
      <c r="C38" s="12" t="s">
        <v>162</v>
      </c>
      <c r="D38" t="e" vm="539">
        <v>#VALUE!</v>
      </c>
      <c r="E38" s="12" t="str" cm="1">
        <f t="array" aca="1" ref="E38" ca="1">_FV(Titres[[#This Row],[Action]],"Code mnémonique",TRUE)</f>
        <v>INTC</v>
      </c>
      <c r="F38" t="str" cm="1">
        <f t="array" aca="1" ref="F38" ca="1">_FV(D38,"Change")</f>
        <v>Nasdaq Stock Market</v>
      </c>
      <c r="G38" t="str" cm="1">
        <f t="array" aca="1" ref="G38" ca="1">IFERROR(_FV(Titres[[#This Row],[Action]],"Industrie"),"")</f>
        <v>Semiconductors &amp; Semiconductor Equipment</v>
      </c>
      <c r="H38" t="s">
        <v>206</v>
      </c>
      <c r="I38" s="12" t="str" cm="1">
        <f t="array" aca="1" ref="I38" ca="1">_FV(D38,"Devise")</f>
        <v>USD</v>
      </c>
      <c r="J38" s="28">
        <v>140</v>
      </c>
      <c r="K38" s="41">
        <v>24.23</v>
      </c>
      <c r="L38" s="41">
        <f t="shared" si="4"/>
        <v>3392.2000000000003</v>
      </c>
      <c r="M38" s="41" cm="1">
        <f t="array" aca="1" ref="M38" ca="1">_FV(D38,"Prix")</f>
        <v>66.260000000000005</v>
      </c>
      <c r="N38" s="49">
        <f t="shared" ca="1" si="5"/>
        <v>9276.4000000000015</v>
      </c>
      <c r="O38" s="49">
        <f ca="1">IF(Titres[[#This Row],[Devise]]="CAD",Titres[[#This Row],[Valeur au marché
($ local)]],Titres[[#This Row],[Valeur au marché
($ local)]]*Ressources!$I$3)</f>
        <v>12671.562400000003</v>
      </c>
      <c r="P38" s="49" cm="1">
        <f t="array" aca="1" ref="P38" ca="1">(Titres[[#This Row],[Prix actuel]]-_FV(Titres[[#This Row],[Action]],"Clôture précédente",TRUE))*Titres[[#This Row],[Nb d''actions]]</f>
        <v>78.400000000000318</v>
      </c>
      <c r="Q38" s="22">
        <f ca="1">Titres[[#This Row],[Variation du jour ($)]]/(Titres[[#This Row],[Valeur au marché
($ local)]]-Titres[[#This Row],[Variation du jour ($)]])</f>
        <v>8.5235920852359537E-3</v>
      </c>
      <c r="R38" s="41">
        <f ca="1">Titres[[#This Row],[Valeur au marché
($ local)]]-Titres[[#This Row],[Coût total]]</f>
        <v>5884.2000000000007</v>
      </c>
      <c r="S38" s="22">
        <f ca="1">Titres[[#This Row],[Gain non réalisé ($)]]/Titres[[#This Row],[Coût total]]</f>
        <v>1.7346264960792406</v>
      </c>
      <c r="T38" s="50">
        <v>0.125</v>
      </c>
      <c r="U38" s="41">
        <f>4*Titres[[#This Row],[Dividende trimestriel]]</f>
        <v>0.5</v>
      </c>
      <c r="V38" s="41">
        <f>Titres[[#This Row],[Dividende annuel]]*Titres[[#This Row],[Nb d''actions]]</f>
        <v>70</v>
      </c>
      <c r="W38" s="25">
        <f ca="1">Titres[[#This Row],[Dividende annuel]]/Titres[[#This Row],[Prix actuel]]</f>
        <v>7.5460307878056137E-3</v>
      </c>
      <c r="X38" s="49">
        <f>Titres[[#This Row],[Dividende annuel]]/Titres[[#This Row],[Coût moyen]]</f>
        <v>2.0635575732562937E-2</v>
      </c>
      <c r="Y38" s="12">
        <v>8</v>
      </c>
      <c r="Z38" s="40">
        <f ca="1">(((Titres[[#This Row],[Valeur au marché
($ local)]]-Titres[[#This Row],[Coût total]])+Titres[[#This Row],[Total - dividendes reçus]])/Titres[[#This Row],[Coût total]])</f>
        <v>1.8671304757974176</v>
      </c>
      <c r="AA38" s="38">
        <f>SUM(Titres[[#This Row],[Janvier 2019]:[Août 2024]])</f>
        <v>449.47999999999996</v>
      </c>
      <c r="AB38" s="38"/>
      <c r="AC38" s="38"/>
      <c r="AD38" s="38">
        <v>22.05</v>
      </c>
      <c r="AE38" s="38"/>
      <c r="AF38" s="38"/>
      <c r="AG38" s="38">
        <v>22.05</v>
      </c>
      <c r="AH38" s="38"/>
      <c r="AI38" s="38"/>
      <c r="AJ38" s="38">
        <v>22.05</v>
      </c>
      <c r="AK38" s="38"/>
      <c r="AL38" s="38"/>
      <c r="AM38" s="38">
        <v>22.05</v>
      </c>
      <c r="AN38" s="38"/>
      <c r="AO38" s="38"/>
      <c r="AP38" s="38">
        <v>23.1</v>
      </c>
      <c r="AQ38" s="38"/>
      <c r="AR38" s="38"/>
      <c r="AS38" s="38">
        <v>23.1</v>
      </c>
      <c r="AT38" s="38"/>
      <c r="AU38" s="38"/>
      <c r="AV38" s="38">
        <v>23.1</v>
      </c>
      <c r="AW38" s="38"/>
      <c r="AX38" s="38"/>
      <c r="AY38" s="38">
        <v>23.1</v>
      </c>
      <c r="AZ38" s="51"/>
      <c r="BA38" s="51"/>
      <c r="BB38" s="51">
        <v>24.33</v>
      </c>
      <c r="BE38" s="51">
        <v>24.33</v>
      </c>
      <c r="BH38" s="51">
        <v>24.33</v>
      </c>
      <c r="BK38" s="51">
        <v>24.33</v>
      </c>
      <c r="BN38" s="51">
        <v>25.55</v>
      </c>
      <c r="BQ38" s="51">
        <v>25.55</v>
      </c>
      <c r="BT38" s="51">
        <v>25.55</v>
      </c>
      <c r="BW38" s="51">
        <v>25.55</v>
      </c>
      <c r="BZ38" s="51">
        <v>25.55</v>
      </c>
      <c r="CA38" s="51"/>
      <c r="CB38" s="51"/>
      <c r="CC38" s="51">
        <v>8.7799999999999994</v>
      </c>
      <c r="CD38" s="51"/>
      <c r="CE38" s="51"/>
      <c r="CF38" s="51">
        <v>8.75</v>
      </c>
      <c r="CG38" s="51"/>
      <c r="CH38" s="51"/>
      <c r="CI38" s="51">
        <v>8.75</v>
      </c>
      <c r="CJ38" s="51"/>
      <c r="CK38" s="51"/>
      <c r="CL38" s="51">
        <v>8.7799999999999994</v>
      </c>
      <c r="CM38" s="51"/>
      <c r="CN38" s="51"/>
      <c r="CO38" s="51">
        <v>8.75</v>
      </c>
      <c r="CP38" s="51"/>
      <c r="CQ38" s="51"/>
      <c r="CR38" s="51">
        <v>8.75</v>
      </c>
      <c r="CS38" s="51"/>
      <c r="CT38" s="51"/>
      <c r="CU38" s="51"/>
      <c r="CV38" s="51"/>
      <c r="CW38" s="51"/>
      <c r="CX38" s="51"/>
      <c r="CY38" s="51"/>
      <c r="CZ38" s="51"/>
      <c r="DA38" s="51"/>
      <c r="DB38" s="51"/>
      <c r="DC38" s="51"/>
      <c r="DD38" s="51"/>
      <c r="DE38" s="51"/>
      <c r="DF38" s="51"/>
      <c r="DG38" s="51"/>
      <c r="DH38" s="51"/>
      <c r="DI38" s="51"/>
    </row>
    <row r="39" spans="2:113" x14ac:dyDescent="0.25">
      <c r="B39" s="12" t="str">
        <f t="shared" ref="B39:B70" si="6">IF(C39="","",_xlfn.XLOOKUP(C39,Type_Compte,Num_Compte))</f>
        <v>20K6HU7</v>
      </c>
      <c r="C39" s="12" t="s">
        <v>162</v>
      </c>
      <c r="D39" t="e" vm="540">
        <v>#VALUE!</v>
      </c>
      <c r="E39" s="12" t="str" cm="1">
        <f t="array" aca="1" ref="E39" ca="1">_FV(Titres[[#This Row],[Action]],"Code mnémonique",TRUE)</f>
        <v>JNJ</v>
      </c>
      <c r="F39" t="str" cm="1">
        <f t="array" aca="1" ref="F39" ca="1">_FV(D39,"Change")</f>
        <v>New York Stock Exchange</v>
      </c>
      <c r="G39" t="str" cm="1">
        <f t="array" aca="1" ref="G39" ca="1">IFERROR(_FV(Titres[[#This Row],[Action]],"Industrie"),"")</f>
        <v>Pharmaceuticals</v>
      </c>
      <c r="H39" t="s">
        <v>206</v>
      </c>
      <c r="I39" s="12" t="str" cm="1">
        <f t="array" aca="1" ref="I39" ca="1">_FV(D39,"Devise")</f>
        <v>USD</v>
      </c>
      <c r="J39" s="28">
        <v>20</v>
      </c>
      <c r="K39" s="41">
        <v>119.85</v>
      </c>
      <c r="L39" s="41">
        <f t="shared" ref="L39:L70" si="7">J39*K39</f>
        <v>2397</v>
      </c>
      <c r="M39" s="41" cm="1">
        <f t="array" aca="1" ref="M39" ca="1">_FV(D39,"Prix")</f>
        <v>226.16</v>
      </c>
      <c r="N39" s="49">
        <f t="shared" ref="N39:N70" ca="1" si="8">J39*M39</f>
        <v>4523.2</v>
      </c>
      <c r="O39" s="49">
        <f ca="1">IF(Titres[[#This Row],[Devise]]="CAD",Titres[[#This Row],[Valeur au marché
($ local)]],Titres[[#This Row],[Valeur au marché
($ local)]]*Ressources!$I$3)</f>
        <v>6178.6912000000002</v>
      </c>
      <c r="P39" s="49" cm="1">
        <f t="array" aca="1" ref="P39" ca="1">(Titres[[#This Row],[Prix actuel]]-_FV(Titres[[#This Row],[Action]],"Clôture précédente",TRUE))*Titres[[#This Row],[Nb d''actions]]</f>
        <v>-90.600000000000023</v>
      </c>
      <c r="Q39" s="22">
        <f ca="1">Titres[[#This Row],[Variation du jour ($)]]/(Titres[[#This Row],[Valeur au marché
($ local)]]-Titres[[#This Row],[Variation du jour ($)]])</f>
        <v>-1.9636741948068841E-2</v>
      </c>
      <c r="R39" s="41">
        <f ca="1">Titres[[#This Row],[Valeur au marché
($ local)]]-Titres[[#This Row],[Coût total]]</f>
        <v>2126.1999999999998</v>
      </c>
      <c r="S39" s="22">
        <f ca="1">Titres[[#This Row],[Gain non réalisé ($)]]/Titres[[#This Row],[Coût total]]</f>
        <v>0.88702544847726317</v>
      </c>
      <c r="T39" s="50">
        <v>1.3</v>
      </c>
      <c r="U39" s="41">
        <f>4*Titres[[#This Row],[Dividende trimestriel]]</f>
        <v>5.2</v>
      </c>
      <c r="V39" s="41">
        <f>Titres[[#This Row],[Dividende annuel]]*Titres[[#This Row],[Nb d''actions]]</f>
        <v>104</v>
      </c>
      <c r="W39" s="25">
        <f ca="1">Titres[[#This Row],[Dividende annuel]]/Titres[[#This Row],[Prix actuel]]</f>
        <v>2.2992571630703926E-2</v>
      </c>
      <c r="X39" s="49">
        <f>Titres[[#This Row],[Dividende annuel]]/Titres[[#This Row],[Coût moyen]]</f>
        <v>4.3387567793074677E-2</v>
      </c>
      <c r="Y39" s="12">
        <v>60</v>
      </c>
      <c r="Z39" s="40">
        <f ca="1">(((Titres[[#This Row],[Valeur au marché
($ local)]]-Titres[[#This Row],[Coût total]])+Titres[[#This Row],[Total - dividendes reçus]])/Titres[[#This Row],[Coût total]])</f>
        <v>1.0513141426783479</v>
      </c>
      <c r="AA39" s="38">
        <f>SUM(Titres[[#This Row],[Janvier 2019]:[Août 2024]])</f>
        <v>393.80000000000007</v>
      </c>
      <c r="AB39" s="38"/>
      <c r="AC39" s="38"/>
      <c r="AD39" s="38">
        <v>13.5</v>
      </c>
      <c r="AE39" s="38"/>
      <c r="AF39" s="38"/>
      <c r="AG39" s="38">
        <v>14.25</v>
      </c>
      <c r="AH39" s="38"/>
      <c r="AI39" s="38"/>
      <c r="AJ39" s="38">
        <v>14.25</v>
      </c>
      <c r="AK39" s="38"/>
      <c r="AL39" s="38"/>
      <c r="AM39" s="38">
        <v>14.25</v>
      </c>
      <c r="AN39" s="38"/>
      <c r="AO39" s="38"/>
      <c r="AP39" s="38">
        <v>14.25</v>
      </c>
      <c r="AQ39" s="38"/>
      <c r="AR39" s="38"/>
      <c r="AS39" s="38">
        <v>15.15</v>
      </c>
      <c r="AT39" s="38"/>
      <c r="AU39" s="38"/>
      <c r="AV39" s="38">
        <v>15.15</v>
      </c>
      <c r="AW39" s="38"/>
      <c r="AX39" s="38"/>
      <c r="AY39" s="38">
        <v>15.15</v>
      </c>
      <c r="AZ39" s="51"/>
      <c r="BA39" s="51"/>
      <c r="BB39" s="51">
        <v>15.15</v>
      </c>
      <c r="BE39" s="51">
        <v>15.9</v>
      </c>
      <c r="BH39" s="51">
        <v>15.9</v>
      </c>
      <c r="BK39" s="51">
        <v>15.9</v>
      </c>
      <c r="BN39" s="51">
        <v>15.9</v>
      </c>
      <c r="BQ39" s="51">
        <v>16.95</v>
      </c>
      <c r="BT39" s="51">
        <v>16.95</v>
      </c>
      <c r="BW39" s="51">
        <v>22.6</v>
      </c>
      <c r="BZ39" s="51">
        <v>22.6</v>
      </c>
      <c r="CA39" s="51"/>
      <c r="CB39" s="51"/>
      <c r="CC39" s="51">
        <v>23.8</v>
      </c>
      <c r="CD39" s="51"/>
      <c r="CE39" s="51"/>
      <c r="CF39" s="51">
        <v>23.8</v>
      </c>
      <c r="CG39" s="51"/>
      <c r="CH39" s="51"/>
      <c r="CI39" s="51">
        <v>23.8</v>
      </c>
      <c r="CJ39" s="51"/>
      <c r="CK39" s="51"/>
      <c r="CL39" s="51">
        <v>23.8</v>
      </c>
      <c r="CM39" s="51"/>
      <c r="CN39" s="51"/>
      <c r="CO39" s="51">
        <v>24.8</v>
      </c>
      <c r="CP39" s="51"/>
      <c r="CQ39" s="51"/>
      <c r="CR39" s="51">
        <v>24.8</v>
      </c>
      <c r="CS39" s="51"/>
      <c r="CT39" s="51"/>
      <c r="CU39" s="51">
        <v>24.8</v>
      </c>
      <c r="CV39" s="51"/>
      <c r="CW39" s="51"/>
      <c r="CX39" s="51">
        <v>24.8</v>
      </c>
      <c r="CY39" s="51"/>
      <c r="CZ39" s="51"/>
      <c r="DA39" s="51">
        <v>26</v>
      </c>
      <c r="DB39" s="51"/>
      <c r="DC39" s="51"/>
      <c r="DD39" s="51">
        <v>26</v>
      </c>
      <c r="DE39" s="51"/>
      <c r="DF39" s="51"/>
      <c r="DG39" s="51">
        <v>26</v>
      </c>
      <c r="DH39" s="51"/>
      <c r="DI39" s="51"/>
    </row>
    <row r="40" spans="2:113" x14ac:dyDescent="0.25">
      <c r="B40" s="12" t="str">
        <f t="shared" si="6"/>
        <v>20K6HZ6</v>
      </c>
      <c r="C40" s="12" t="s">
        <v>160</v>
      </c>
      <c r="D40" t="e" vm="541">
        <v>#VALUE!</v>
      </c>
      <c r="E40" s="12" t="str" cm="1">
        <f t="array" aca="1" ref="E40" ca="1">_FV(Titres[[#This Row],[Action]],"Code mnémonique",TRUE)</f>
        <v>IGM</v>
      </c>
      <c r="F40" t="str" cm="1">
        <f t="array" aca="1" ref="F40" ca="1">_FV(D40,"Change")</f>
        <v>Toronto Stock Exchange</v>
      </c>
      <c r="G40" t="str" cm="1">
        <f t="array" aca="1" ref="G40" ca="1">IFERROR(_FV(Titres[[#This Row],[Action]],"Industrie"),"")</f>
        <v>Investment Banking &amp; Investment Services</v>
      </c>
      <c r="H40" t="s">
        <v>205</v>
      </c>
      <c r="I40" s="12" t="str" cm="1">
        <f t="array" aca="1" ref="I40" ca="1">_FV(D40,"Devise")</f>
        <v>CAD</v>
      </c>
      <c r="J40" s="28">
        <v>85</v>
      </c>
      <c r="K40" s="41">
        <v>39.049999999999997</v>
      </c>
      <c r="L40" s="41">
        <f t="shared" si="7"/>
        <v>3319.2499999999995</v>
      </c>
      <c r="M40" s="41" cm="1">
        <f t="array" aca="1" ref="M40" ca="1">_FV(D40,"Prix")</f>
        <v>73.22</v>
      </c>
      <c r="N40" s="49">
        <f t="shared" ca="1" si="8"/>
        <v>6223.7</v>
      </c>
      <c r="O40" s="49">
        <f ca="1">IF(Titres[[#This Row],[Devise]]="CAD",Titres[[#This Row],[Valeur au marché
($ local)]],Titres[[#This Row],[Valeur au marché
($ local)]]*Ressources!$I$3)</f>
        <v>6223.7</v>
      </c>
      <c r="P40" s="49" cm="1">
        <f t="array" aca="1" ref="P40" ca="1">(Titres[[#This Row],[Prix actuel]]-_FV(Titres[[#This Row],[Action]],"Clôture précédente",TRUE))*Titres[[#This Row],[Nb d''actions]]</f>
        <v>-114.74999999999952</v>
      </c>
      <c r="Q40" s="22">
        <f ca="1">Titres[[#This Row],[Variation du jour ($)]]/(Titres[[#This Row],[Valeur au marché
($ local)]]-Titres[[#This Row],[Variation du jour ($)]])</f>
        <v>-1.8103795091859925E-2</v>
      </c>
      <c r="R40" s="41">
        <f ca="1">Titres[[#This Row],[Valeur au marché
($ local)]]-Titres[[#This Row],[Coût total]]</f>
        <v>2904.4500000000003</v>
      </c>
      <c r="S40" s="22">
        <f ca="1">Titres[[#This Row],[Gain non réalisé ($)]]/Titres[[#This Row],[Coût total]]</f>
        <v>0.87503201024327804</v>
      </c>
      <c r="T40" s="50">
        <v>0.56299999999999994</v>
      </c>
      <c r="U40" s="41">
        <f>4*Titres[[#This Row],[Dividende trimestriel]]</f>
        <v>2.2519999999999998</v>
      </c>
      <c r="V40" s="41">
        <f>Titres[[#This Row],[Dividende annuel]]*Titres[[#This Row],[Nb d''actions]]</f>
        <v>191.42</v>
      </c>
      <c r="W40" s="25">
        <f ca="1">Titres[[#This Row],[Dividende annuel]]/Titres[[#This Row],[Prix actuel]]</f>
        <v>3.0756623873258671E-2</v>
      </c>
      <c r="X40" s="49">
        <f>Titres[[#This Row],[Dividende annuel]]/Titres[[#This Row],[Coût moyen]]</f>
        <v>5.7669654289372596E-2</v>
      </c>
      <c r="Y40" s="12">
        <v>0</v>
      </c>
      <c r="Z40" s="40">
        <f ca="1">(((Titres[[#This Row],[Valeur au marché
($ local)]]-Titres[[#This Row],[Coût total]])+Titres[[#This Row],[Total - dividendes reçus]])/Titres[[#This Row],[Coût total]])</f>
        <v>1.1306861489794382</v>
      </c>
      <c r="AA40" s="38">
        <f>SUM(Titres[[#This Row],[Janvier 2019]:[Août 2024]])</f>
        <v>848.5799999999997</v>
      </c>
      <c r="AB40" s="38"/>
      <c r="AC40" s="38"/>
      <c r="AD40" s="38"/>
      <c r="AE40" s="38"/>
      <c r="AF40" s="38"/>
      <c r="AG40" s="38"/>
      <c r="AH40" s="38"/>
      <c r="AI40" s="38"/>
      <c r="AJ40" s="38"/>
      <c r="AK40" s="38"/>
      <c r="AL40" s="38"/>
      <c r="AM40" s="38"/>
      <c r="AN40" s="38"/>
      <c r="AO40" s="38"/>
      <c r="AP40" s="38"/>
      <c r="AQ40" s="38">
        <v>47.81</v>
      </c>
      <c r="AR40" s="38"/>
      <c r="AS40" s="38"/>
      <c r="AT40" s="38">
        <v>41.81</v>
      </c>
      <c r="AU40" s="38"/>
      <c r="AV40" s="38"/>
      <c r="AW40" s="38">
        <v>47.81</v>
      </c>
      <c r="AX40" s="38"/>
      <c r="AY40" s="38"/>
      <c r="AZ40" s="51">
        <v>47.81</v>
      </c>
      <c r="BA40" s="51"/>
      <c r="BC40" s="51">
        <v>47.81</v>
      </c>
      <c r="BF40" s="51">
        <v>47.81</v>
      </c>
      <c r="BI40" s="51">
        <v>47.81</v>
      </c>
      <c r="BL40" s="51">
        <v>47.81</v>
      </c>
      <c r="BO40" s="51">
        <v>47.81</v>
      </c>
      <c r="BR40" s="51">
        <v>47.81</v>
      </c>
      <c r="BU40" s="51">
        <v>41.81</v>
      </c>
      <c r="BX40" s="51">
        <v>47.81</v>
      </c>
      <c r="CA40" s="51">
        <v>47.81</v>
      </c>
      <c r="CB40" s="51"/>
      <c r="CC40" s="51"/>
      <c r="CD40" s="51">
        <v>47.81</v>
      </c>
      <c r="CE40" s="51"/>
      <c r="CF40" s="51"/>
      <c r="CG40" s="51">
        <v>47.81</v>
      </c>
      <c r="CH40" s="51"/>
      <c r="CI40" s="51"/>
      <c r="CJ40" s="51">
        <v>47.81</v>
      </c>
      <c r="CK40" s="51"/>
      <c r="CL40" s="51"/>
      <c r="CM40" s="51">
        <v>47.81</v>
      </c>
      <c r="CN40" s="51"/>
      <c r="CO40" s="51"/>
      <c r="CP40" s="51">
        <v>47.81</v>
      </c>
      <c r="CQ40" s="51"/>
      <c r="CR40" s="51"/>
      <c r="CS40" s="51">
        <v>47.81</v>
      </c>
      <c r="CT40" s="51"/>
      <c r="CU40" s="51"/>
      <c r="CV40" s="51">
        <v>47.81</v>
      </c>
      <c r="CW40" s="51"/>
      <c r="CX40" s="51"/>
      <c r="CY40" s="51">
        <v>47.81</v>
      </c>
      <c r="CZ40" s="51"/>
      <c r="DA40" s="51"/>
      <c r="DB40" s="51">
        <v>47.81</v>
      </c>
      <c r="DC40" s="51"/>
      <c r="DD40" s="51"/>
      <c r="DE40" s="51">
        <v>47.81</v>
      </c>
      <c r="DF40" s="51"/>
      <c r="DG40" s="51"/>
      <c r="DH40" s="51">
        <v>47.81</v>
      </c>
      <c r="DI40" s="51"/>
    </row>
    <row r="41" spans="2:113" x14ac:dyDescent="0.25">
      <c r="B41" s="12" t="str">
        <f t="shared" si="6"/>
        <v>20K6HZ6</v>
      </c>
      <c r="C41" s="12" t="s">
        <v>160</v>
      </c>
      <c r="D41" t="e" vm="542">
        <v>#VALUE!</v>
      </c>
      <c r="E41" s="12" t="str" cm="1">
        <f t="array" aca="1" ref="E41" ca="1">_FV(Titres[[#This Row],[Action]],"Code mnémonique",TRUE)</f>
        <v>IFC</v>
      </c>
      <c r="F41" t="str" cm="1">
        <f t="array" aca="1" ref="F41" ca="1">_FV(D41,"Change")</f>
        <v>Toronto Stock Exchange</v>
      </c>
      <c r="G41" t="str" cm="1">
        <f t="array" aca="1" ref="G41" ca="1">IFERROR(_FV(Titres[[#This Row],[Action]],"Industrie"),"")</f>
        <v>Insurance</v>
      </c>
      <c r="H41" t="s">
        <v>205</v>
      </c>
      <c r="I41" s="12" t="str" cm="1">
        <f t="array" aca="1" ref="I41" ca="1">_FV(D41,"Devise")</f>
        <v>CAD</v>
      </c>
      <c r="J41" s="28">
        <v>40</v>
      </c>
      <c r="K41" s="41">
        <v>136.52000000000001</v>
      </c>
      <c r="L41" s="41">
        <f t="shared" si="7"/>
        <v>5460.8</v>
      </c>
      <c r="M41" s="41" cm="1">
        <f t="array" aca="1" ref="M41" ca="1">_FV(D41,"Prix")</f>
        <v>261.33</v>
      </c>
      <c r="N41" s="49">
        <f t="shared" ca="1" si="8"/>
        <v>10453.199999999999</v>
      </c>
      <c r="O41" s="49">
        <f ca="1">IF(Titres[[#This Row],[Devise]]="CAD",Titres[[#This Row],[Valeur au marché
($ local)]],Titres[[#This Row],[Valeur au marché
($ local)]]*Ressources!$I$3)</f>
        <v>10453.199999999999</v>
      </c>
      <c r="P41" s="49" cm="1">
        <f t="array" aca="1" ref="P41" ca="1">(Titres[[#This Row],[Prix actuel]]-_FV(Titres[[#This Row],[Action]],"Clôture précédente",TRUE))*Titres[[#This Row],[Nb d''actions]]</f>
        <v>-2.0000000000004547</v>
      </c>
      <c r="Q41" s="22">
        <f ca="1">Titres[[#This Row],[Variation du jour ($)]]/(Titres[[#This Row],[Valeur au marché
($ local)]]-Titres[[#This Row],[Variation du jour ($)]])</f>
        <v>-1.9129237126027765E-4</v>
      </c>
      <c r="R41" s="41">
        <f ca="1">Titres[[#This Row],[Valeur au marché
($ local)]]-Titres[[#This Row],[Coût total]]</f>
        <v>4992.3999999999987</v>
      </c>
      <c r="S41" s="22">
        <f ca="1">Titres[[#This Row],[Gain non réalisé ($)]]/Titres[[#This Row],[Coût total]]</f>
        <v>0.91422502197480193</v>
      </c>
      <c r="T41" s="50">
        <v>1.33</v>
      </c>
      <c r="U41" s="41">
        <f>4*Titres[[#This Row],[Dividende trimestriel]]</f>
        <v>5.32</v>
      </c>
      <c r="V41" s="41">
        <f>Titres[[#This Row],[Dividende annuel]]*Titres[[#This Row],[Nb d''actions]]</f>
        <v>212.8</v>
      </c>
      <c r="W41" s="25">
        <f ca="1">Titres[[#This Row],[Dividende annuel]]/Titres[[#This Row],[Prix actuel]]</f>
        <v>2.0357402517889259E-2</v>
      </c>
      <c r="X41" s="49">
        <f>Titres[[#This Row],[Dividende annuel]]/Titres[[#This Row],[Coût moyen]]</f>
        <v>3.8968649282156459E-2</v>
      </c>
      <c r="Y41" s="12">
        <v>17</v>
      </c>
      <c r="Z41" s="40">
        <f ca="1">(((Titres[[#This Row],[Valeur au marché
($ local)]]-Titres[[#This Row],[Coût total]])+Titres[[#This Row],[Total - dividendes reçus]])/Titres[[#This Row],[Coût total]])</f>
        <v>1.0402138880750071</v>
      </c>
      <c r="AA41" s="38">
        <f>SUM(Titres[[#This Row],[Janvier 2019]:[Août 2024]])</f>
        <v>687.99999999999989</v>
      </c>
      <c r="AB41" s="38"/>
      <c r="AC41" s="38"/>
      <c r="AD41" s="38"/>
      <c r="AE41" s="38"/>
      <c r="AF41" s="38"/>
      <c r="AG41" s="38"/>
      <c r="AH41" s="38"/>
      <c r="AI41" s="38"/>
      <c r="AJ41" s="38"/>
      <c r="AK41" s="38"/>
      <c r="AL41" s="38"/>
      <c r="AM41" s="38">
        <v>30.4</v>
      </c>
      <c r="AN41" s="38"/>
      <c r="AO41" s="38"/>
      <c r="AP41" s="38">
        <v>33.200000000000003</v>
      </c>
      <c r="AQ41" s="38"/>
      <c r="AR41" s="38"/>
      <c r="AS41" s="38">
        <v>33.200000000000003</v>
      </c>
      <c r="AT41" s="38"/>
      <c r="AU41" s="38"/>
      <c r="AV41" s="38">
        <v>33.200000000000003</v>
      </c>
      <c r="AW41" s="38"/>
      <c r="AX41" s="38"/>
      <c r="AY41" s="38">
        <v>33.200000000000003</v>
      </c>
      <c r="AZ41" s="51"/>
      <c r="BA41" s="51"/>
      <c r="BB41" s="51">
        <v>33.200000000000003</v>
      </c>
      <c r="BE41" s="51">
        <v>33.200000000000003</v>
      </c>
      <c r="BI41" s="51">
        <v>33.200000000000003</v>
      </c>
      <c r="BK41" s="51">
        <v>36.4</v>
      </c>
      <c r="BN41" s="51">
        <v>40</v>
      </c>
      <c r="BQ41" s="51">
        <v>40</v>
      </c>
      <c r="BU41" s="51">
        <v>40</v>
      </c>
      <c r="BW41" s="51">
        <v>40</v>
      </c>
      <c r="CA41" s="51"/>
      <c r="CB41" s="51"/>
      <c r="CC41" s="51">
        <v>44</v>
      </c>
      <c r="CD41" s="51"/>
      <c r="CE41" s="51"/>
      <c r="CF41" s="51">
        <v>44</v>
      </c>
      <c r="CG41" s="51"/>
      <c r="CH41" s="51"/>
      <c r="CI41" s="51">
        <v>44</v>
      </c>
      <c r="CJ41" s="51"/>
      <c r="CK41" s="51"/>
      <c r="CL41" s="51"/>
      <c r="CM41" s="51">
        <v>48.4</v>
      </c>
      <c r="CN41" s="51"/>
      <c r="CO41" s="51"/>
      <c r="CP41" s="51">
        <v>48.4</v>
      </c>
      <c r="CQ41" s="51"/>
      <c r="CR41" s="51">
        <v>48.4</v>
      </c>
      <c r="CS41" s="51"/>
      <c r="CT41" s="51"/>
      <c r="CU41" s="51">
        <v>48.4</v>
      </c>
      <c r="CV41" s="51"/>
      <c r="CW41" s="51"/>
      <c r="CX41" s="51">
        <v>53.2</v>
      </c>
      <c r="CY41" s="51"/>
      <c r="CZ41" s="51"/>
      <c r="DA41" s="51">
        <v>53.2</v>
      </c>
      <c r="DB41" s="51"/>
      <c r="DC41" s="51"/>
      <c r="DD41" s="51">
        <v>53.2</v>
      </c>
      <c r="DE41" s="51"/>
      <c r="DF41" s="51"/>
      <c r="DG41" s="51">
        <v>53.2</v>
      </c>
      <c r="DH41" s="51"/>
      <c r="DI41" s="51"/>
    </row>
    <row r="42" spans="2:113" x14ac:dyDescent="0.25">
      <c r="B42" s="12" t="str">
        <f t="shared" si="6"/>
        <v>20K6HZ6</v>
      </c>
      <c r="C42" s="12" t="s">
        <v>160</v>
      </c>
      <c r="D42" t="e" vm="543">
        <v>#VALUE!</v>
      </c>
      <c r="E42" s="12" t="str" cm="1">
        <f t="array" aca="1" ref="E42" ca="1">_FV(Titres[[#This Row],[Action]],"Code mnémonique",TRUE)</f>
        <v>XEF</v>
      </c>
      <c r="F42" t="str" cm="1">
        <f t="array" aca="1" ref="F42" ca="1">_FV(D42,"Change")</f>
        <v>NEO Exchange</v>
      </c>
      <c r="G42" t="str" cm="1">
        <f t="array" ref="G42">IFERROR(_FV(Titres[[#This Row],[Action]],"Industrie"),"")</f>
        <v/>
      </c>
      <c r="H42" t="s">
        <v>207</v>
      </c>
      <c r="I42" s="12" t="str" cm="1">
        <f t="array" aca="1" ref="I42" ca="1">_FV(D42,"Devise")</f>
        <v>CAD</v>
      </c>
      <c r="J42" s="28">
        <v>120</v>
      </c>
      <c r="K42" s="41">
        <v>49.2</v>
      </c>
      <c r="L42" s="41">
        <f t="shared" si="7"/>
        <v>5904</v>
      </c>
      <c r="M42" s="41" cm="1">
        <f t="array" aca="1" ref="M42" ca="1">_FV(D42,"Prix")</f>
        <v>48.88</v>
      </c>
      <c r="N42" s="49">
        <f t="shared" ca="1" si="8"/>
        <v>5865.6</v>
      </c>
      <c r="O42" s="49">
        <f ca="1">IF(Titres[[#This Row],[Devise]]="CAD",Titres[[#This Row],[Valeur au marché
($ local)]],Titres[[#This Row],[Valeur au marché
($ local)]]*Ressources!$I$3)</f>
        <v>5865.6</v>
      </c>
      <c r="P42" s="49" cm="1">
        <f t="array" aca="1" ref="P42" ca="1">(Titres[[#This Row],[Prix actuel]]-_FV(Titres[[#This Row],[Action]],"Clôture précédente",TRUE))*Titres[[#This Row],[Nb d''actions]]</f>
        <v>-121.19999999999976</v>
      </c>
      <c r="Q42" s="22">
        <f ca="1">Titres[[#This Row],[Variation du jour ($)]]/(Titres[[#This Row],[Valeur au marché
($ local)]]-Titres[[#This Row],[Variation du jour ($)]])</f>
        <v>-2.02445379835638E-2</v>
      </c>
      <c r="R42" s="76">
        <f ca="1">Titres[[#This Row],[Valeur au marché
($ local)]]-Titres[[#This Row],[Coût total]]</f>
        <v>-38.399999999999636</v>
      </c>
      <c r="S42" s="22">
        <f ca="1">Titres[[#This Row],[Gain non réalisé ($)]]/Titres[[#This Row],[Coût total]]</f>
        <v>-6.5040650406503449E-3</v>
      </c>
      <c r="T42" s="50">
        <v>0.41499999999999998</v>
      </c>
      <c r="U42" s="41">
        <f>4*Titres[[#This Row],[Dividende trimestriel]]</f>
        <v>1.66</v>
      </c>
      <c r="V42" s="41">
        <f>Titres[[#This Row],[Dividende annuel]]*Titres[[#This Row],[Nb d''actions]]</f>
        <v>199.2</v>
      </c>
      <c r="W42" s="25">
        <f ca="1">Titres[[#This Row],[Dividende annuel]]/Titres[[#This Row],[Prix actuel]]</f>
        <v>3.3960720130932896E-2</v>
      </c>
      <c r="X42" s="49">
        <f>Titres[[#This Row],[Dividende annuel]]/Titres[[#This Row],[Coût moyen]]</f>
        <v>3.3739837398373981E-2</v>
      </c>
      <c r="Z42" s="40">
        <f ca="1">(((Titres[[#This Row],[Valeur au marché
($ local)]]-Titres[[#This Row],[Coût total]])+Titres[[#This Row],[Total - dividendes reçus]])/Titres[[#This Row],[Coût total]])</f>
        <v>-2.8252032520324588E-3</v>
      </c>
      <c r="AA42" s="38">
        <f>SUM(Titres[[#This Row],[Janvier 2019]:[Août 2024]])</f>
        <v>21.72</v>
      </c>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51"/>
      <c r="BA42" s="51"/>
      <c r="CA42" s="51"/>
      <c r="CB42" s="51"/>
      <c r="CC42" s="51"/>
      <c r="CD42" s="51"/>
      <c r="CE42" s="51">
        <f>25.55-3.83</f>
        <v>21.72</v>
      </c>
      <c r="CF42" s="51"/>
      <c r="CG42" s="51"/>
      <c r="CH42" s="51"/>
      <c r="CI42" s="51"/>
      <c r="CJ42" s="51"/>
      <c r="CK42" s="51"/>
      <c r="CL42" s="51"/>
      <c r="CM42" s="51"/>
      <c r="CN42" s="51"/>
      <c r="CO42" s="51"/>
      <c r="CP42" s="51"/>
      <c r="CQ42" s="51"/>
      <c r="CR42" s="51"/>
      <c r="CS42" s="51"/>
      <c r="CT42" s="51"/>
      <c r="CU42" s="51"/>
      <c r="CV42" s="51"/>
      <c r="CW42" s="51"/>
      <c r="CX42" s="51"/>
      <c r="CY42" s="51"/>
      <c r="CZ42" s="51"/>
      <c r="DA42" s="51"/>
      <c r="DB42" s="51"/>
      <c r="DC42" s="51"/>
      <c r="DD42" s="51"/>
      <c r="DE42" s="51"/>
      <c r="DF42" s="51"/>
      <c r="DG42" s="51"/>
      <c r="DH42" s="51"/>
      <c r="DI42" s="51"/>
    </row>
    <row r="43" spans="2:113" x14ac:dyDescent="0.25">
      <c r="B43" s="12" t="str">
        <f t="shared" si="6"/>
        <v>20K6HZ6</v>
      </c>
      <c r="C43" s="12" t="s">
        <v>160</v>
      </c>
      <c r="D43" t="e" vm="544">
        <v>#VALUE!</v>
      </c>
      <c r="E43" s="12" t="str" cm="1">
        <f t="array" aca="1" ref="E43" ca="1">_FV(Titres[[#This Row],[Action]],"Code mnémonique",TRUE)</f>
        <v>TD</v>
      </c>
      <c r="F43" t="str" cm="1">
        <f t="array" aca="1" ref="F43" ca="1">_FV(D43,"Change")</f>
        <v>Toronto Stock Exchange</v>
      </c>
      <c r="G43" t="str" cm="1">
        <f t="array" aca="1" ref="G43" ca="1">IFERROR(_FV(Titres[[#This Row],[Action]],"Industrie"),"")</f>
        <v>Banking Services</v>
      </c>
      <c r="H43" t="s">
        <v>205</v>
      </c>
      <c r="I43" s="12" t="str" cm="1">
        <f t="array" aca="1" ref="I43" ca="1">_FV(D43,"Devise")</f>
        <v>CAD</v>
      </c>
      <c r="J43" s="28">
        <v>48</v>
      </c>
      <c r="K43" s="41">
        <v>65.7</v>
      </c>
      <c r="L43" s="41">
        <f t="shared" si="7"/>
        <v>3153.6000000000004</v>
      </c>
      <c r="M43" s="41" cm="1">
        <f t="array" aca="1" ref="M43" ca="1">_FV(D43,"Prix")</f>
        <v>144.11000000000001</v>
      </c>
      <c r="N43" s="49">
        <f t="shared" ca="1" si="8"/>
        <v>6917.2800000000007</v>
      </c>
      <c r="O43" s="49">
        <f ca="1">IF(Titres[[#This Row],[Devise]]="CAD",Titres[[#This Row],[Valeur au marché
($ local)]],Titres[[#This Row],[Valeur au marché
($ local)]]*Ressources!$I$3)</f>
        <v>6917.2800000000007</v>
      </c>
      <c r="P43" s="49" cm="1">
        <f t="array" aca="1" ref="P43" ca="1">(Titres[[#This Row],[Prix actuel]]-_FV(Titres[[#This Row],[Action]],"Clôture précédente",TRUE))*Titres[[#This Row],[Nb d''actions]]</f>
        <v>-62.399999999999181</v>
      </c>
      <c r="Q43" s="22">
        <f ca="1">Titres[[#This Row],[Variation du jour ($)]]/(Titres[[#This Row],[Valeur au marché
($ local)]]-Titres[[#This Row],[Variation du jour ($)]])</f>
        <v>-8.9402379478714187E-3</v>
      </c>
      <c r="R43" s="41">
        <f ca="1">Titres[[#This Row],[Valeur au marché
($ local)]]-Titres[[#This Row],[Coût total]]</f>
        <v>3763.6800000000003</v>
      </c>
      <c r="S43" s="22">
        <f ca="1">Titres[[#This Row],[Gain non réalisé ($)]]/Titres[[#This Row],[Coût total]]</f>
        <v>1.1934550989345509</v>
      </c>
      <c r="T43" s="50">
        <v>1.08</v>
      </c>
      <c r="U43" s="41">
        <f>4*Titres[[#This Row],[Dividende trimestriel]]</f>
        <v>4.32</v>
      </c>
      <c r="V43" s="41">
        <f>Titres[[#This Row],[Dividende annuel]]*Titres[[#This Row],[Nb d''actions]]</f>
        <v>207.36</v>
      </c>
      <c r="W43" s="25">
        <f ca="1">Titres[[#This Row],[Dividende annuel]]/Titres[[#This Row],[Prix actuel]]</f>
        <v>2.99771008257581E-2</v>
      </c>
      <c r="X43" s="49">
        <f>Titres[[#This Row],[Dividende annuel]]/Titres[[#This Row],[Coût moyen]]</f>
        <v>6.5753424657534254E-2</v>
      </c>
      <c r="Y43" s="12">
        <v>8</v>
      </c>
      <c r="Z43" s="40">
        <f ca="1">(((Titres[[#This Row],[Valeur au marché
($ local)]]-Titres[[#This Row],[Coût total]])+Titres[[#This Row],[Total - dividendes reçus]])/Titres[[#This Row],[Coût total]])</f>
        <v>1.448820395738204</v>
      </c>
      <c r="AA43" s="38">
        <f>SUM(Titres[[#This Row],[Janvier 2019]:[Août 2024]])</f>
        <v>805.32000000000028</v>
      </c>
      <c r="AB43" s="38">
        <v>20.100000000000001</v>
      </c>
      <c r="AC43" s="38"/>
      <c r="AD43" s="38"/>
      <c r="AE43" s="38">
        <v>22.2</v>
      </c>
      <c r="AF43" s="38"/>
      <c r="AG43" s="38"/>
      <c r="AH43" s="38">
        <v>22.2</v>
      </c>
      <c r="AI43" s="38"/>
      <c r="AJ43" s="38"/>
      <c r="AK43" s="38">
        <v>22.2</v>
      </c>
      <c r="AL43" s="38"/>
      <c r="AM43" s="38"/>
      <c r="AN43" s="38">
        <v>22.2</v>
      </c>
      <c r="AO43" s="38"/>
      <c r="AP43" s="38"/>
      <c r="AQ43" s="38">
        <v>23.7</v>
      </c>
      <c r="AR43" s="38"/>
      <c r="AS43" s="38"/>
      <c r="AT43" s="38">
        <v>23.7</v>
      </c>
      <c r="AU43" s="38"/>
      <c r="AV43" s="38"/>
      <c r="AW43" s="38"/>
      <c r="AX43" s="38">
        <v>23.7</v>
      </c>
      <c r="AY43" s="38"/>
      <c r="AZ43" s="51"/>
      <c r="BA43" s="51">
        <v>23.7</v>
      </c>
      <c r="BC43" s="51">
        <v>23.7</v>
      </c>
      <c r="BG43" s="51">
        <v>37.92</v>
      </c>
      <c r="BJ43" s="51">
        <v>37.92</v>
      </c>
      <c r="BL43" s="51">
        <v>42.72</v>
      </c>
      <c r="BP43" s="51">
        <v>42.72</v>
      </c>
      <c r="BS43" s="51">
        <v>42.72</v>
      </c>
      <c r="BU43" s="51">
        <v>42.72</v>
      </c>
      <c r="BX43" s="51">
        <v>46.08</v>
      </c>
      <c r="CA43" s="51"/>
      <c r="CB43" s="51">
        <v>46.08</v>
      </c>
      <c r="CC43" s="51"/>
      <c r="CD43" s="51">
        <v>46.08</v>
      </c>
      <c r="CE43" s="51"/>
      <c r="CF43" s="51"/>
      <c r="CG43" s="51">
        <v>46.08</v>
      </c>
      <c r="CH43" s="51"/>
      <c r="CI43" s="51"/>
      <c r="CJ43" s="51">
        <v>48.96</v>
      </c>
      <c r="CK43" s="51"/>
      <c r="CL43" s="51"/>
      <c r="CM43" s="51">
        <v>48.96</v>
      </c>
      <c r="CN43" s="51"/>
      <c r="CO43" s="51"/>
      <c r="CP43" s="51">
        <v>48.96</v>
      </c>
      <c r="CQ43" s="51"/>
      <c r="CR43" s="51"/>
      <c r="CS43" s="51">
        <v>48.96</v>
      </c>
      <c r="CT43" s="51"/>
      <c r="CU43" s="51"/>
      <c r="CV43" s="51">
        <v>50.4</v>
      </c>
      <c r="CW43" s="51"/>
      <c r="CX43" s="51"/>
      <c r="CY43" s="51">
        <v>50.4</v>
      </c>
      <c r="CZ43" s="51"/>
      <c r="DA43" s="51"/>
      <c r="DB43" s="51">
        <v>50.4</v>
      </c>
      <c r="DC43" s="51"/>
      <c r="DD43" s="51"/>
      <c r="DE43" s="51">
        <v>50.4</v>
      </c>
      <c r="DF43" s="51"/>
      <c r="DG43" s="51"/>
      <c r="DH43" s="51"/>
      <c r="DI43" s="51">
        <v>51.84</v>
      </c>
    </row>
    <row r="44" spans="2:113" x14ac:dyDescent="0.25">
      <c r="B44" s="12" t="str">
        <f t="shared" si="6"/>
        <v>20K6HU7</v>
      </c>
      <c r="C44" s="12" t="s">
        <v>162</v>
      </c>
      <c r="D44" t="e" vm="545">
        <v>#VALUE!</v>
      </c>
      <c r="E44" s="12" t="str" cm="1">
        <f t="array" aca="1" ref="E44" ca="1">_FV(Titres[[#This Row],[Action]],"Code mnémonique",TRUE)</f>
        <v>MCD</v>
      </c>
      <c r="F44" t="str" cm="1">
        <f t="array" aca="1" ref="F44" ca="1">_FV(D44,"Change")</f>
        <v>New York Stock Exchange</v>
      </c>
      <c r="G44" t="str" cm="1">
        <f t="array" aca="1" ref="G44" ca="1">IFERROR(_FV(Titres[[#This Row],[Action]],"Industrie"),"")</f>
        <v>Hotels &amp; Entertainment Services</v>
      </c>
      <c r="H44" t="s">
        <v>206</v>
      </c>
      <c r="I44" s="12" t="str" cm="1">
        <f t="array" aca="1" ref="I44" ca="1">_FV(D44,"Devise")</f>
        <v>USD</v>
      </c>
      <c r="J44" s="28">
        <v>13</v>
      </c>
      <c r="K44" s="41">
        <v>116.36</v>
      </c>
      <c r="L44" s="41">
        <f t="shared" si="7"/>
        <v>1512.68</v>
      </c>
      <c r="M44" s="41" cm="1">
        <f t="array" aca="1" ref="M44" ca="1">_FV(D44,"Prix")</f>
        <v>301.81</v>
      </c>
      <c r="N44" s="49">
        <f t="shared" ca="1" si="8"/>
        <v>3923.53</v>
      </c>
      <c r="O44" s="49">
        <f ca="1">IF(Titres[[#This Row],[Devise]]="CAD",Titres[[#This Row],[Valeur au marché
($ local)]],Titres[[#This Row],[Valeur au marché
($ local)]]*Ressources!$I$3)</f>
        <v>5359.5419800000009</v>
      </c>
      <c r="P44" s="49" cm="1">
        <f t="array" aca="1" ref="P44" ca="1">(Titres[[#This Row],[Prix actuel]]-_FV(Titres[[#This Row],[Action]],"Clôture précédente",TRUE))*Titres[[#This Row],[Nb d''actions]]</f>
        <v>-66.689999999999941</v>
      </c>
      <c r="Q44" s="22">
        <f ca="1">Titres[[#This Row],[Variation du jour ($)]]/(Titres[[#This Row],[Valeur au marché
($ local)]]-Titres[[#This Row],[Variation du jour ($)]])</f>
        <v>-1.6713364175408859E-2</v>
      </c>
      <c r="R44" s="41">
        <f ca="1">Titres[[#This Row],[Valeur au marché
($ local)]]-Titres[[#This Row],[Coût total]]</f>
        <v>2410.8500000000004</v>
      </c>
      <c r="S44" s="22">
        <f ca="1">Titres[[#This Row],[Gain non réalisé ($)]]/Titres[[#This Row],[Coût total]]</f>
        <v>1.5937607425232041</v>
      </c>
      <c r="T44" s="50">
        <v>1.86</v>
      </c>
      <c r="U44" s="41">
        <f>4*Titres[[#This Row],[Dividende trimestriel]]</f>
        <v>7.44</v>
      </c>
      <c r="V44" s="41">
        <f>Titres[[#This Row],[Dividende annuel]]*Titres[[#This Row],[Nb d''actions]]</f>
        <v>96.72</v>
      </c>
      <c r="W44" s="25">
        <f ca="1">Titres[[#This Row],[Dividende annuel]]/Titres[[#This Row],[Prix actuel]]</f>
        <v>2.4651270666975911E-2</v>
      </c>
      <c r="X44" s="49">
        <f>Titres[[#This Row],[Dividende annuel]]/Titres[[#This Row],[Coût moyen]]</f>
        <v>6.3939498109315915E-2</v>
      </c>
      <c r="Y44" s="12">
        <v>21</v>
      </c>
      <c r="Z44" s="40">
        <f ca="1">(((Titres[[#This Row],[Valeur au marché
($ local)]]-Titres[[#This Row],[Coût total]])+Titres[[#This Row],[Total - dividendes reçus]])/Titres[[#This Row],[Coût total]])</f>
        <v>1.853749636406907</v>
      </c>
      <c r="AA44" s="38">
        <f>SUM(Titres[[#This Row],[Janvier 2019]:[Août 2024]])</f>
        <v>393.27999999999992</v>
      </c>
      <c r="AB44" s="38"/>
      <c r="AC44" s="38"/>
      <c r="AD44" s="38">
        <v>15.08</v>
      </c>
      <c r="AE44" s="38"/>
      <c r="AF44" s="38"/>
      <c r="AG44" s="38">
        <v>15.08</v>
      </c>
      <c r="AH44" s="38"/>
      <c r="AI44" s="38"/>
      <c r="AJ44" s="38">
        <v>15.08</v>
      </c>
      <c r="AK44" s="38"/>
      <c r="AL44" s="38"/>
      <c r="AM44" s="38">
        <v>16.25</v>
      </c>
      <c r="AN44" s="38"/>
      <c r="AO44" s="38"/>
      <c r="AP44" s="38">
        <v>16.25</v>
      </c>
      <c r="AQ44" s="38"/>
      <c r="AR44" s="38"/>
      <c r="AS44" s="38">
        <v>16.25</v>
      </c>
      <c r="AT44" s="38"/>
      <c r="AU44" s="38"/>
      <c r="AV44" s="38">
        <v>16.25</v>
      </c>
      <c r="AW44" s="38"/>
      <c r="AX44" s="38"/>
      <c r="AY44" s="38">
        <v>16.77</v>
      </c>
      <c r="AZ44" s="51"/>
      <c r="BA44" s="51"/>
      <c r="BB44" s="51">
        <v>16.77</v>
      </c>
      <c r="BE44" s="51">
        <v>16.77</v>
      </c>
      <c r="BH44" s="51">
        <v>16.77</v>
      </c>
      <c r="BK44" s="51">
        <v>17.97</v>
      </c>
      <c r="BN44" s="51">
        <v>17.940000000000001</v>
      </c>
      <c r="BQ44" s="51">
        <v>17.940000000000001</v>
      </c>
      <c r="BT44" s="51">
        <v>17.940000000000001</v>
      </c>
      <c r="BW44" s="51">
        <v>19.760000000000002</v>
      </c>
      <c r="BZ44" s="51">
        <v>19.760000000000002</v>
      </c>
      <c r="CA44" s="51"/>
      <c r="CB44" s="51"/>
      <c r="CC44" s="51">
        <v>19.760000000000002</v>
      </c>
      <c r="CD44" s="51"/>
      <c r="CE44" s="51"/>
      <c r="CF44" s="51">
        <v>19.760000000000002</v>
      </c>
      <c r="CG44" s="51"/>
      <c r="CH44" s="51"/>
      <c r="CI44" s="51">
        <v>21.71</v>
      </c>
      <c r="CJ44" s="51"/>
      <c r="CK44" s="51"/>
      <c r="CL44" s="51">
        <v>21.71</v>
      </c>
      <c r="CM44" s="51"/>
      <c r="CN44" s="51"/>
      <c r="CO44" s="51">
        <v>21.71</v>
      </c>
      <c r="CP44" s="51"/>
      <c r="CQ44" s="51"/>
      <c r="CR44" s="51">
        <v>21.71</v>
      </c>
      <c r="CS44" s="51"/>
      <c r="CT44" s="51"/>
      <c r="CU44" s="51">
        <v>23.01</v>
      </c>
      <c r="CV44" s="51"/>
      <c r="CW44" s="51"/>
      <c r="CX44" s="51">
        <v>23.01</v>
      </c>
      <c r="CY44" s="51"/>
      <c r="CZ44" s="51"/>
      <c r="DA44" s="51">
        <v>23.01</v>
      </c>
      <c r="DB44" s="51"/>
      <c r="DC44" s="51"/>
      <c r="DD44" s="51">
        <v>23.01</v>
      </c>
      <c r="DE44" s="51"/>
      <c r="DF44" s="51"/>
      <c r="DG44" s="51">
        <v>24.18</v>
      </c>
      <c r="DH44" s="51"/>
      <c r="DI44" s="51"/>
    </row>
    <row r="45" spans="2:113" x14ac:dyDescent="0.25">
      <c r="B45" s="12" t="str">
        <f t="shared" si="6"/>
        <v>20K6HU7</v>
      </c>
      <c r="C45" s="12" t="s">
        <v>162</v>
      </c>
      <c r="D45" t="e" vm="546">
        <v>#VALUE!</v>
      </c>
      <c r="E45" s="12" t="str" cm="1">
        <f t="array" aca="1" ref="E45" ca="1">_FV(Titres[[#This Row],[Action]],"Code mnémonique",TRUE)</f>
        <v>MSFT</v>
      </c>
      <c r="F45" t="str" cm="1">
        <f t="array" aca="1" ref="F45" ca="1">_FV(D45,"Change")</f>
        <v>Nasdaq Stock Market</v>
      </c>
      <c r="G45" t="str" cm="1">
        <f t="array" aca="1" ref="G45" ca="1">IFERROR(_FV(Titres[[#This Row],[Action]],"Industrie"),"")</f>
        <v>Software &amp; IT Services</v>
      </c>
      <c r="H45" t="s">
        <v>206</v>
      </c>
      <c r="I45" s="12" t="str" cm="1">
        <f t="array" aca="1" ref="I45" ca="1">_FV(D45,"Devise")</f>
        <v>USD</v>
      </c>
      <c r="J45" s="28">
        <v>20</v>
      </c>
      <c r="K45" s="41">
        <v>40.630000000000003</v>
      </c>
      <c r="L45" s="41">
        <f t="shared" si="7"/>
        <v>812.6</v>
      </c>
      <c r="M45" s="41" cm="1">
        <f t="array" aca="1" ref="M45" ca="1">_FV(D45,"Prix")</f>
        <v>424.16</v>
      </c>
      <c r="N45" s="49">
        <f t="shared" ca="1" si="8"/>
        <v>8483.2000000000007</v>
      </c>
      <c r="O45" s="49">
        <f ca="1">IF(Titres[[#This Row],[Devise]]="CAD",Titres[[#This Row],[Valeur au marché
($ local)]],Titres[[#This Row],[Valeur au marché
($ local)]]*Ressources!$I$3)</f>
        <v>11588.051200000002</v>
      </c>
      <c r="P45" s="49" cm="1">
        <f t="array" aca="1" ref="P45" ca="1">(Titres[[#This Row],[Prix actuel]]-_FV(Titres[[#This Row],[Action]],"Clôture précédente",TRUE))*Titres[[#This Row],[Nb d''actions]]</f>
        <v>121.80000000000064</v>
      </c>
      <c r="Q45" s="22">
        <f ca="1">Titres[[#This Row],[Variation du jour ($)]]/(Titres[[#This Row],[Valeur au marché
($ local)]]-Titres[[#This Row],[Variation du jour ($)]])</f>
        <v>1.4566938550960442E-2</v>
      </c>
      <c r="R45" s="41">
        <f ca="1">Titres[[#This Row],[Valeur au marché
($ local)]]-Titres[[#This Row],[Coût total]]</f>
        <v>7670.6</v>
      </c>
      <c r="S45" s="22">
        <f ca="1">Titres[[#This Row],[Gain non réalisé ($)]]/Titres[[#This Row],[Coût total]]</f>
        <v>9.4395766674870796</v>
      </c>
      <c r="T45" s="50">
        <v>0.91</v>
      </c>
      <c r="U45" s="41">
        <f>4*Titres[[#This Row],[Dividende trimestriel]]</f>
        <v>3.64</v>
      </c>
      <c r="V45" s="41">
        <f>Titres[[#This Row],[Dividende annuel]]*Titres[[#This Row],[Nb d''actions]]</f>
        <v>72.8</v>
      </c>
      <c r="W45" s="25">
        <f ca="1">Titres[[#This Row],[Dividende annuel]]/Titres[[#This Row],[Prix actuel]]</f>
        <v>8.5816672953602409E-3</v>
      </c>
      <c r="X45" s="49">
        <f>Titres[[#This Row],[Dividende annuel]]/Titres[[#This Row],[Coût moyen]]</f>
        <v>8.958897366477972E-2</v>
      </c>
      <c r="Y45" s="12">
        <v>18</v>
      </c>
      <c r="Z45" s="40">
        <f ca="1">(((Titres[[#This Row],[Valeur au marché
($ local)]]-Titres[[#This Row],[Coût total]])+Titres[[#This Row],[Total - dividendes reçus]])/Titres[[#This Row],[Coût total]])</f>
        <v>9.9168102387398473</v>
      </c>
      <c r="AA45" s="38">
        <f>SUM(Titres[[#This Row],[Janvier 2019]:[Août 2024]])</f>
        <v>387.80000000000007</v>
      </c>
      <c r="AB45" s="38"/>
      <c r="AC45" s="38"/>
      <c r="AD45" s="38">
        <v>18.399999999999999</v>
      </c>
      <c r="AE45" s="38"/>
      <c r="AF45" s="38"/>
      <c r="AG45" s="38">
        <v>18.399999999999999</v>
      </c>
      <c r="AH45" s="38"/>
      <c r="AI45" s="38"/>
      <c r="AJ45" s="38">
        <v>18.399999999999999</v>
      </c>
      <c r="AK45" s="38"/>
      <c r="AL45" s="38"/>
      <c r="AM45" s="38">
        <v>20.399999999999999</v>
      </c>
      <c r="AN45" s="38"/>
      <c r="AO45" s="38"/>
      <c r="AP45" s="38">
        <v>20.399999999999999</v>
      </c>
      <c r="AQ45" s="38"/>
      <c r="AR45" s="38"/>
      <c r="AS45" s="38">
        <v>20.399999999999999</v>
      </c>
      <c r="AT45" s="38"/>
      <c r="AU45" s="38"/>
      <c r="AV45" s="38">
        <v>20.399999999999999</v>
      </c>
      <c r="AW45" s="38"/>
      <c r="AX45" s="38"/>
      <c r="AY45" s="38">
        <v>22.4</v>
      </c>
      <c r="AZ45" s="51"/>
      <c r="BA45" s="51"/>
      <c r="BB45" s="51">
        <v>22.4</v>
      </c>
      <c r="BE45" s="51">
        <v>22.4</v>
      </c>
      <c r="BH45" s="51">
        <v>22.4</v>
      </c>
      <c r="BK45" s="51">
        <v>24.8</v>
      </c>
      <c r="BN45" s="51">
        <v>12.4</v>
      </c>
      <c r="BQ45" s="51">
        <v>12.4</v>
      </c>
      <c r="BT45" s="51">
        <v>12.4</v>
      </c>
      <c r="BW45" s="51">
        <v>13.6</v>
      </c>
      <c r="BZ45" s="51">
        <v>13.6</v>
      </c>
      <c r="CA45" s="51"/>
      <c r="CB45" s="51"/>
      <c r="CC45" s="51">
        <v>13.6</v>
      </c>
      <c r="CD45" s="51"/>
      <c r="CE45" s="51"/>
      <c r="CF45" s="51">
        <v>13.6</v>
      </c>
      <c r="CG45" s="51"/>
      <c r="CH45" s="51"/>
      <c r="CI45" s="51">
        <v>15</v>
      </c>
      <c r="CJ45" s="51"/>
      <c r="CK45" s="51"/>
      <c r="CL45" s="51">
        <v>15</v>
      </c>
      <c r="CM45" s="51"/>
      <c r="CN45" s="51"/>
      <c r="CO45" s="51">
        <v>15</v>
      </c>
      <c r="CP45" s="51"/>
      <c r="CQ45" s="51"/>
      <c r="CR45" s="51">
        <v>15</v>
      </c>
      <c r="CS45" s="51"/>
      <c r="CT45" s="51"/>
      <c r="CU45" s="51">
        <v>16.600000000000001</v>
      </c>
      <c r="CV45" s="51"/>
      <c r="CW45" s="51"/>
      <c r="CX45" s="51">
        <v>16.600000000000001</v>
      </c>
      <c r="CY45" s="51"/>
      <c r="CZ45" s="51"/>
      <c r="DA45" s="51">
        <v>16.600000000000001</v>
      </c>
      <c r="DB45" s="51"/>
      <c r="DC45" s="51"/>
      <c r="DD45" s="51">
        <v>16.600000000000001</v>
      </c>
      <c r="DE45" s="51"/>
      <c r="DF45" s="51"/>
      <c r="DG45" s="51">
        <v>18.2</v>
      </c>
      <c r="DH45" s="51"/>
      <c r="DI45" s="51"/>
    </row>
    <row r="46" spans="2:113" x14ac:dyDescent="0.25">
      <c r="B46" s="12" t="str">
        <f t="shared" si="6"/>
        <v>20K6HZ6</v>
      </c>
      <c r="C46" s="12" t="s">
        <v>160</v>
      </c>
      <c r="D46" t="e" vm="547">
        <v>#VALUE!</v>
      </c>
      <c r="E46" s="12" t="e" cm="1" vm="548">
        <f t="array" ref="E46">_FV(Titres[[#This Row],[Action]],"Code mnémonique",TRUE)</f>
        <v>#VALUE!</v>
      </c>
      <c r="F46" t="str" cm="1">
        <f t="array" aca="1" ref="F46" ca="1">_FV(D46,"Change")</f>
        <v>OTC Markets</v>
      </c>
      <c r="G46" t="str" cm="1">
        <f t="array" aca="1" ref="G46" ca="1">IFERROR(_FV(Titres[[#This Row],[Action]],"Industrie"),"")</f>
        <v>Automobiles &amp; Auto Parts</v>
      </c>
      <c r="H46" t="s">
        <v>205</v>
      </c>
      <c r="I46" s="12" t="str" cm="1">
        <f t="array" aca="1" ref="I46" ca="1">_FV(D46,"Devise")</f>
        <v>USD</v>
      </c>
      <c r="J46" s="28">
        <v>300</v>
      </c>
      <c r="K46" s="41">
        <v>12.62</v>
      </c>
      <c r="L46" s="41">
        <f t="shared" si="7"/>
        <v>3785.9999999999995</v>
      </c>
      <c r="M46" s="41" cm="1">
        <f t="array" aca="1" ref="M46" ca="1">_FV(D46,"Prix")</f>
        <v>2.4E-2</v>
      </c>
      <c r="N46" s="49">
        <f t="shared" ca="1" si="8"/>
        <v>7.2</v>
      </c>
      <c r="O46" s="49">
        <f ca="1">IF(Titres[[#This Row],[Devise]]="CAD",Titres[[#This Row],[Valeur au marché
($ local)]],Titres[[#This Row],[Valeur au marché
($ local)]]*Ressources!$I$3)</f>
        <v>9.8352000000000004</v>
      </c>
      <c r="P46" s="49" cm="1">
        <f t="array" aca="1" ref="P46" ca="1">(Titres[[#This Row],[Prix actuel]]-_FV(Titres[[#This Row],[Action]],"Clôture précédente",TRUE))*Titres[[#This Row],[Nb d''actions]]</f>
        <v>-1.7999999999999996</v>
      </c>
      <c r="Q46" s="22">
        <f ca="1">Titres[[#This Row],[Variation du jour ($)]]/(Titres[[#This Row],[Valeur au marché
($ local)]]-Titres[[#This Row],[Variation du jour ($)]])</f>
        <v>-0.19999999999999996</v>
      </c>
      <c r="R46" s="41">
        <f ca="1">Titres[[#This Row],[Valeur au marché
($ local)]]-Titres[[#This Row],[Coût total]]</f>
        <v>-3778.7999999999997</v>
      </c>
      <c r="S46" s="22">
        <f ca="1">Titres[[#This Row],[Gain non réalisé ($)]]/Titres[[#This Row],[Coût total]]</f>
        <v>-0.99809825673534081</v>
      </c>
      <c r="T46" s="50">
        <v>0</v>
      </c>
      <c r="U46" s="41">
        <f>4*Titres[[#This Row],[Dividende trimestriel]]</f>
        <v>0</v>
      </c>
      <c r="V46" s="41">
        <f>Titres[[#This Row],[Dividende annuel]]*Titres[[#This Row],[Nb d''actions]]</f>
        <v>0</v>
      </c>
      <c r="W46" s="25">
        <f ca="1">Titres[[#This Row],[Dividende annuel]]/Titres[[#This Row],[Prix actuel]]</f>
        <v>0</v>
      </c>
      <c r="X46" s="49">
        <f>Titres[[#This Row],[Dividende annuel]]/Titres[[#This Row],[Coût moyen]]</f>
        <v>0</v>
      </c>
      <c r="Y46" s="12">
        <v>0</v>
      </c>
      <c r="Z46" s="40">
        <f ca="1">(((Titres[[#This Row],[Valeur au marché
($ local)]]-Titres[[#This Row],[Coût total]])+Titres[[#This Row],[Total - dividendes reçus]])/Titres[[#This Row],[Coût total]])</f>
        <v>-0.99809825673534081</v>
      </c>
      <c r="AA46" s="38">
        <f>SUM(Titres[[#This Row],[Janvier 2019]:[Août 2024]])</f>
        <v>0</v>
      </c>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51"/>
      <c r="BA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c r="DA46" s="51"/>
      <c r="DB46" s="51"/>
      <c r="DC46" s="51"/>
      <c r="DD46" s="51"/>
      <c r="DE46" s="51"/>
      <c r="DF46" s="51"/>
      <c r="DG46" s="51"/>
      <c r="DH46" s="51"/>
      <c r="DI46" s="51"/>
    </row>
    <row r="47" spans="2:113" x14ac:dyDescent="0.25">
      <c r="B47" s="12" t="str">
        <f t="shared" si="6"/>
        <v>20K6HZ6</v>
      </c>
      <c r="C47" s="12" t="s">
        <v>160</v>
      </c>
      <c r="D47" t="e" vm="549">
        <v>#VALUE!</v>
      </c>
      <c r="E47" s="12" t="str" cm="1">
        <f t="array" aca="1" ref="E47" ca="1">_FV(Titres[[#This Row],[Action]],"Code mnémonique",TRUE)</f>
        <v>L</v>
      </c>
      <c r="F47" t="str" cm="1">
        <f t="array" aca="1" ref="F47" ca="1">_FV(D47,"Change")</f>
        <v>Toronto Stock Exchange</v>
      </c>
      <c r="G47" t="str" cm="1">
        <f t="array" aca="1" ref="G47" ca="1">IFERROR(_FV(Titres[[#This Row],[Action]],"Industrie"),"")</f>
        <v>Food &amp; Drug Retailing</v>
      </c>
      <c r="H47" t="s">
        <v>205</v>
      </c>
      <c r="I47" s="12" t="str" cm="1">
        <f t="array" aca="1" ref="I47" ca="1">_FV(D47,"Devise")</f>
        <v>CAD</v>
      </c>
      <c r="J47" s="28">
        <v>140</v>
      </c>
      <c r="K47" s="41">
        <v>27.9025</v>
      </c>
      <c r="L47" s="41">
        <f t="shared" si="7"/>
        <v>3906.35</v>
      </c>
      <c r="M47" s="41" cm="1">
        <f t="array" aca="1" ref="M47" ca="1">_FV(D47,"Prix")</f>
        <v>62.23</v>
      </c>
      <c r="N47" s="49">
        <f t="shared" ca="1" si="8"/>
        <v>8712.1999999999989</v>
      </c>
      <c r="O47" s="49">
        <f ca="1">IF(Titres[[#This Row],[Devise]]="CAD",Titres[[#This Row],[Valeur au marché
($ local)]],Titres[[#This Row],[Valeur au marché
($ local)]]*Ressources!$I$3)</f>
        <v>8712.1999999999989</v>
      </c>
      <c r="P47" s="49" cm="1">
        <f t="array" aca="1" ref="P47" ca="1">(Titres[[#This Row],[Prix actuel]]-_FV(Titres[[#This Row],[Action]],"Clôture précédente",TRUE))*Titres[[#This Row],[Nb d''actions]]</f>
        <v>75.599999999999881</v>
      </c>
      <c r="Q47" s="22">
        <f ca="1">Titres[[#This Row],[Variation du jour ($)]]/(Titres[[#This Row],[Valeur au marché
($ local)]]-Titres[[#This Row],[Variation du jour ($)]])</f>
        <v>8.7534446425676649E-3</v>
      </c>
      <c r="R47" s="41">
        <f ca="1">Titres[[#This Row],[Valeur au marché
($ local)]]-Titres[[#This Row],[Coût total]]</f>
        <v>4805.8499999999985</v>
      </c>
      <c r="S47" s="22">
        <f ca="1">Titres[[#This Row],[Gain non réalisé ($)]]/Titres[[#This Row],[Coût total]]</f>
        <v>1.2302661051877068</v>
      </c>
      <c r="T47" s="50">
        <v>0.14099999999999999</v>
      </c>
      <c r="U47" s="41">
        <f>4*Titres[[#This Row],[Dividende trimestriel]]</f>
        <v>0.56399999999999995</v>
      </c>
      <c r="V47" s="41">
        <f>Titres[[#This Row],[Dividende annuel]]*Titres[[#This Row],[Nb d''actions]]</f>
        <v>78.959999999999994</v>
      </c>
      <c r="W47" s="25">
        <f ca="1">Titres[[#This Row],[Dividende annuel]]/Titres[[#This Row],[Prix actuel]]</f>
        <v>9.0631528201831901E-3</v>
      </c>
      <c r="X47" s="49">
        <f>Titres[[#This Row],[Dividende annuel]]/Titres[[#This Row],[Coût moyen]]</f>
        <v>2.0213242540990949E-2</v>
      </c>
      <c r="Y47" s="12">
        <v>11</v>
      </c>
      <c r="Z47" s="40">
        <f ca="1">(((Titres[[#This Row],[Valeur au marché
($ local)]]-Titres[[#This Row],[Coût total]])+Titres[[#This Row],[Total - dividendes reçus]])/Titres[[#This Row],[Coût total]])</f>
        <v>1.2612208327466814</v>
      </c>
      <c r="AA47" s="38">
        <f>SUM(Titres[[#This Row],[Janvier 2019]:[Août 2024]])</f>
        <v>120.91999999999999</v>
      </c>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51"/>
      <c r="BA47" s="51"/>
      <c r="BR47" s="51">
        <v>6.08</v>
      </c>
      <c r="BU47" s="51">
        <v>6.08</v>
      </c>
      <c r="BW47" s="51">
        <v>14.18</v>
      </c>
      <c r="CA47" s="51">
        <v>14.18</v>
      </c>
      <c r="CB47" s="51"/>
      <c r="CC47" s="51"/>
      <c r="CD47" s="51">
        <v>15.61</v>
      </c>
      <c r="CE47" s="51"/>
      <c r="CF47" s="51"/>
      <c r="CG47" s="51">
        <v>15.61</v>
      </c>
      <c r="CH47" s="51"/>
      <c r="CI47" s="51"/>
      <c r="CJ47" s="51">
        <v>15.61</v>
      </c>
      <c r="CK47" s="51"/>
      <c r="CL47" s="51"/>
      <c r="CM47" s="51">
        <v>15.61</v>
      </c>
      <c r="CN47" s="51"/>
      <c r="CO47" s="51"/>
      <c r="CP47" s="51">
        <v>17.96</v>
      </c>
      <c r="CQ47" s="51"/>
      <c r="CR47" s="51"/>
      <c r="CS47" s="51">
        <v>17.96</v>
      </c>
      <c r="CT47" s="51"/>
      <c r="CU47" s="51">
        <v>17.96</v>
      </c>
      <c r="CV47" s="51"/>
      <c r="CW47" s="51"/>
      <c r="CX47" s="51"/>
      <c r="CY47" s="51">
        <v>17.96</v>
      </c>
      <c r="CZ47" s="51"/>
      <c r="DA47" s="51"/>
      <c r="DB47" s="51">
        <v>19.75</v>
      </c>
      <c r="DC47" s="51"/>
      <c r="DD47" s="51"/>
      <c r="DE47" s="51">
        <v>19.75</v>
      </c>
      <c r="DF47" s="51"/>
      <c r="DG47" s="51">
        <v>19.75</v>
      </c>
      <c r="DH47" s="51"/>
      <c r="DI47" s="51"/>
    </row>
    <row r="48" spans="2:113" x14ac:dyDescent="0.25">
      <c r="B48" s="12" t="str">
        <f t="shared" si="6"/>
        <v>20K6HU7</v>
      </c>
      <c r="C48" s="12" t="s">
        <v>162</v>
      </c>
      <c r="D48" t="e" vm="550">
        <v>#VALUE!</v>
      </c>
      <c r="E48" s="12" t="str" cm="1">
        <f t="array" aca="1" ref="E48" ca="1">_FV(Titres[[#This Row],[Action]],"Code mnémonique",TRUE)</f>
        <v>PEP</v>
      </c>
      <c r="F48" t="str" cm="1">
        <f t="array" aca="1" ref="F48" ca="1">_FV(D48,"Change")</f>
        <v>Nasdaq Stock Market</v>
      </c>
      <c r="G48" t="str" cm="1">
        <f t="array" aca="1" ref="G48" ca="1">IFERROR(_FV(Titres[[#This Row],[Action]],"Industrie"),"")</f>
        <v>Beverages</v>
      </c>
      <c r="H48" t="s">
        <v>206</v>
      </c>
      <c r="I48" s="12" t="str" cm="1">
        <f t="array" aca="1" ref="I48" ca="1">_FV(D48,"Devise")</f>
        <v>USD</v>
      </c>
      <c r="J48" s="28">
        <v>18</v>
      </c>
      <c r="K48" s="41">
        <v>96.95</v>
      </c>
      <c r="L48" s="41">
        <f t="shared" si="7"/>
        <v>1745.1000000000001</v>
      </c>
      <c r="M48" s="41" cm="1">
        <f t="array" aca="1" ref="M48" ca="1">_FV(D48,"Prix")</f>
        <v>154.91999999999999</v>
      </c>
      <c r="N48" s="49">
        <f t="shared" ca="1" si="8"/>
        <v>2788.56</v>
      </c>
      <c r="O48" s="49">
        <f ca="1">IF(Titres[[#This Row],[Devise]]="CAD",Titres[[#This Row],[Valeur au marché
($ local)]],Titres[[#This Row],[Valeur au marché
($ local)]]*Ressources!$I$3)</f>
        <v>3809.1729600000003</v>
      </c>
      <c r="P48" s="49" cm="1">
        <f t="array" aca="1" ref="P48" ca="1">(Titres[[#This Row],[Prix actuel]]-_FV(Titres[[#This Row],[Action]],"Clôture précédente",TRUE))*Titres[[#This Row],[Nb d''actions]]</f>
        <v>-37.260000000000389</v>
      </c>
      <c r="Q48" s="22">
        <f ca="1">Titres[[#This Row],[Variation du jour ($)]]/(Titres[[#This Row],[Valeur au marché
($ local)]]-Titres[[#This Row],[Variation du jour ($)]])</f>
        <v>-1.3185553219950453E-2</v>
      </c>
      <c r="R48" s="41">
        <f ca="1">Titres[[#This Row],[Valeur au marché
($ local)]]-Titres[[#This Row],[Coût total]]</f>
        <v>1043.4599999999998</v>
      </c>
      <c r="S48" s="22">
        <f ca="1">Titres[[#This Row],[Gain non réalisé ($)]]/Titres[[#This Row],[Coût total]]</f>
        <v>0.59793708096957177</v>
      </c>
      <c r="T48" s="50">
        <v>1.423</v>
      </c>
      <c r="U48" s="41">
        <f>4*Titres[[#This Row],[Dividende trimestriel]]</f>
        <v>5.6920000000000002</v>
      </c>
      <c r="V48" s="41">
        <f>Titres[[#This Row],[Dividende annuel]]*Titres[[#This Row],[Nb d''actions]]</f>
        <v>102.456</v>
      </c>
      <c r="W48" s="25">
        <f ca="1">Titres[[#This Row],[Dividende annuel]]/Titres[[#This Row],[Prix actuel]]</f>
        <v>3.6741544022721409E-2</v>
      </c>
      <c r="X48" s="49">
        <f>Titres[[#This Row],[Dividende annuel]]/Titres[[#This Row],[Coût moyen]]</f>
        <v>5.8710675605982462E-2</v>
      </c>
      <c r="Y48" s="12">
        <v>50</v>
      </c>
      <c r="Z48" s="40">
        <f ca="1">(((Titres[[#This Row],[Valeur au marché
($ local)]]-Titres[[#This Row],[Coût total]])+Titres[[#This Row],[Total - dividendes reçus]])/Titres[[#This Row],[Coût total]])</f>
        <v>0.8447825339522087</v>
      </c>
      <c r="AA48" s="38">
        <f>SUM(Titres[[#This Row],[Janvier 2019]:[Août 2024]])</f>
        <v>430.76999999999987</v>
      </c>
      <c r="AB48" s="38">
        <v>16.7</v>
      </c>
      <c r="AC48" s="38"/>
      <c r="AD48" s="38">
        <v>16.7</v>
      </c>
      <c r="AE48" s="38"/>
      <c r="AF48" s="38"/>
      <c r="AG48" s="38">
        <v>17.190000000000001</v>
      </c>
      <c r="AH48" s="38"/>
      <c r="AI48" s="38"/>
      <c r="AJ48" s="38">
        <v>17.190000000000001</v>
      </c>
      <c r="AK48" s="38"/>
      <c r="AL48" s="38"/>
      <c r="AM48" s="38"/>
      <c r="AN48" s="38">
        <v>17.190000000000001</v>
      </c>
      <c r="AO48" s="38"/>
      <c r="AP48" s="38">
        <v>17.190000000000001</v>
      </c>
      <c r="AQ48" s="38"/>
      <c r="AR48" s="38"/>
      <c r="AS48" s="38">
        <v>18.41</v>
      </c>
      <c r="AT48" s="38"/>
      <c r="AU48" s="38"/>
      <c r="AV48" s="38">
        <v>18.41</v>
      </c>
      <c r="AW48" s="38"/>
      <c r="AX48" s="38"/>
      <c r="AY48" s="38"/>
      <c r="AZ48" s="51">
        <v>18.41</v>
      </c>
      <c r="BA48" s="51"/>
      <c r="BB48" s="51">
        <v>18.41</v>
      </c>
      <c r="BE48" s="51">
        <v>19.350000000000001</v>
      </c>
      <c r="BH48" s="51">
        <v>19.350000000000001</v>
      </c>
      <c r="BL48" s="51">
        <v>19.350000000000001</v>
      </c>
      <c r="BN48" s="51">
        <v>19.350000000000001</v>
      </c>
      <c r="BQ48" s="51">
        <v>20.7</v>
      </c>
      <c r="BT48" s="51">
        <v>20.7</v>
      </c>
      <c r="BX48" s="51">
        <v>20.7</v>
      </c>
      <c r="CA48" s="51"/>
      <c r="CB48" s="51"/>
      <c r="CC48" s="51">
        <v>22.77</v>
      </c>
      <c r="CD48" s="51"/>
      <c r="CE48" s="51"/>
      <c r="CF48" s="51">
        <v>22.77</v>
      </c>
      <c r="CG48" s="51"/>
      <c r="CH48" s="51"/>
      <c r="CI48" s="51"/>
      <c r="CJ48" s="51">
        <v>22.77</v>
      </c>
      <c r="CK48" s="51"/>
      <c r="CL48" s="51"/>
      <c r="CM48" s="51">
        <v>22.77</v>
      </c>
      <c r="CN48" s="51"/>
      <c r="CO48" s="51"/>
      <c r="CP48" s="51">
        <v>24.39</v>
      </c>
      <c r="CQ48" s="51"/>
      <c r="CR48" s="51">
        <v>24.39</v>
      </c>
      <c r="CS48" s="51"/>
      <c r="CT48" s="51"/>
      <c r="CU48" s="51"/>
      <c r="CV48" s="51">
        <v>24.39</v>
      </c>
      <c r="CW48" s="51"/>
      <c r="CX48" s="51">
        <v>24.39</v>
      </c>
      <c r="CY48" s="51"/>
      <c r="CZ48" s="51"/>
      <c r="DA48" s="51">
        <v>25.61</v>
      </c>
      <c r="DB48" s="51"/>
      <c r="DC48" s="51"/>
      <c r="DD48" s="51">
        <v>25.61</v>
      </c>
      <c r="DE48" s="51"/>
      <c r="DF48" s="51"/>
      <c r="DG48" s="51"/>
      <c r="DH48" s="51">
        <v>25.61</v>
      </c>
      <c r="DI48" s="51"/>
    </row>
    <row r="49" spans="2:113" x14ac:dyDescent="0.25">
      <c r="B49" s="12" t="str">
        <f t="shared" si="6"/>
        <v>20K6HF2</v>
      </c>
      <c r="C49" s="12" t="s">
        <v>159</v>
      </c>
      <c r="D49" t="e" vm="551">
        <v>#VALUE!</v>
      </c>
      <c r="E49" s="12" t="str" cm="1">
        <f t="array" aca="1" ref="E49" ca="1">_FV(Titres[[#This Row],[Action]],"Code mnémonique",TRUE)</f>
        <v>PII</v>
      </c>
      <c r="F49" t="str" cm="1">
        <f t="array" aca="1" ref="F49" ca="1">_FV(D49,"Change")</f>
        <v>New York Stock Exchange</v>
      </c>
      <c r="G49" t="str" cm="1">
        <f t="array" aca="1" ref="G49" ca="1">IFERROR(_FV(Titres[[#This Row],[Action]],"Industrie"),"")</f>
        <v>Automobiles &amp; Auto Parts</v>
      </c>
      <c r="H49" t="s">
        <v>206</v>
      </c>
      <c r="I49" s="12" t="str" cm="1">
        <f t="array" aca="1" ref="I49" ca="1">_FV(D49,"Devise")</f>
        <v>USD</v>
      </c>
      <c r="J49" s="28">
        <v>0</v>
      </c>
      <c r="K49" s="41">
        <v>106.74</v>
      </c>
      <c r="L49" s="41">
        <f t="shared" si="7"/>
        <v>0</v>
      </c>
      <c r="M49" s="41" cm="1">
        <f t="array" aca="1" ref="M49" ca="1">_FV(D49,"Prix")</f>
        <v>61.41</v>
      </c>
      <c r="N49" s="49">
        <f t="shared" ca="1" si="8"/>
        <v>0</v>
      </c>
      <c r="O49" s="49">
        <f ca="1">IF(Titres[[#This Row],[Devise]]="CAD",Titres[[#This Row],[Valeur au marché
($ local)]],Titres[[#This Row],[Valeur au marché
($ local)]]*Ressources!$I$3)</f>
        <v>0</v>
      </c>
      <c r="P49" s="49" cm="1">
        <f t="array" aca="1" ref="P49" ca="1">(Titres[[#This Row],[Prix actuel]]-_FV(Titres[[#This Row],[Action]],"Clôture précédente",TRUE))*Titres[[#This Row],[Nb d''actions]]</f>
        <v>0</v>
      </c>
      <c r="Q49" s="22" t="e">
        <f ca="1">Titres[[#This Row],[Variation du jour ($)]]/(Titres[[#This Row],[Valeur au marché
($ local)]]-Titres[[#This Row],[Variation du jour ($)]])</f>
        <v>#DIV/0!</v>
      </c>
      <c r="R49" s="41">
        <f ca="1">Titres[[#This Row],[Valeur au marché
($ local)]]-Titres[[#This Row],[Coût total]]</f>
        <v>0</v>
      </c>
      <c r="S49" s="22" t="e">
        <f ca="1">Titres[[#This Row],[Gain non réalisé ($)]]/Titres[[#This Row],[Coût total]]</f>
        <v>#DIV/0!</v>
      </c>
      <c r="T49" s="50">
        <v>0.68</v>
      </c>
      <c r="U49" s="41">
        <f>4*Titres[[#This Row],[Dividende trimestriel]]</f>
        <v>2.72</v>
      </c>
      <c r="V49" s="41">
        <f>Titres[[#This Row],[Dividende annuel]]*Titres[[#This Row],[Nb d''actions]]</f>
        <v>0</v>
      </c>
      <c r="W49" s="25">
        <f ca="1">Titres[[#This Row],[Dividende annuel]]/Titres[[#This Row],[Prix actuel]]</f>
        <v>4.4292460511317383E-2</v>
      </c>
      <c r="X49" s="49">
        <f>Titres[[#This Row],[Dividende annuel]]/Titres[[#This Row],[Coût moyen]]</f>
        <v>2.5482480794453817E-2</v>
      </c>
      <c r="Y49" s="12">
        <v>17</v>
      </c>
      <c r="Z49" s="40" t="e">
        <f ca="1">(((Titres[[#This Row],[Valeur au marché
($ local)]]-Titres[[#This Row],[Coût total]])+Titres[[#This Row],[Total - dividendes reçus]])/Titres[[#This Row],[Coût total]])</f>
        <v>#DIV/0!</v>
      </c>
      <c r="AA49" s="38">
        <f>SUM(Titres[[#This Row],[Janvier 2019]:[Août 2024]])</f>
        <v>110.48</v>
      </c>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51"/>
      <c r="BA49" s="51"/>
      <c r="BZ49" s="51">
        <v>27.62</v>
      </c>
      <c r="CA49" s="51"/>
      <c r="CB49" s="51"/>
      <c r="CC49" s="51">
        <v>27.62</v>
      </c>
      <c r="CD49" s="51"/>
      <c r="CE49" s="51">
        <v>27.62</v>
      </c>
      <c r="CF49" s="51"/>
      <c r="CG49" s="51"/>
      <c r="CH49" s="51"/>
      <c r="CI49" s="51">
        <v>27.62</v>
      </c>
      <c r="CJ49" s="51"/>
      <c r="CK49" s="51"/>
      <c r="CL49" s="51"/>
      <c r="CM49" s="51"/>
      <c r="CN49" s="51"/>
      <c r="CO49" s="51"/>
      <c r="CP49" s="51"/>
      <c r="CQ49" s="51"/>
      <c r="CR49" s="51"/>
      <c r="CS49" s="51"/>
      <c r="CT49" s="51"/>
      <c r="CU49" s="51"/>
      <c r="CV49" s="51"/>
      <c r="CW49" s="51"/>
      <c r="CX49" s="51"/>
      <c r="CY49" s="51"/>
      <c r="CZ49" s="51"/>
      <c r="DA49" s="51"/>
      <c r="DB49" s="51"/>
      <c r="DC49" s="51"/>
      <c r="DD49" s="51"/>
      <c r="DE49" s="51"/>
      <c r="DF49" s="51"/>
      <c r="DG49" s="51"/>
      <c r="DH49" s="51"/>
      <c r="DI49" s="51"/>
    </row>
    <row r="50" spans="2:113" x14ac:dyDescent="0.25">
      <c r="B50" s="12" t="str">
        <f t="shared" si="6"/>
        <v>20K6HZ6</v>
      </c>
      <c r="C50" s="12" t="s">
        <v>160</v>
      </c>
      <c r="D50" t="e" vm="552">
        <v>#VALUE!</v>
      </c>
      <c r="E50" s="12" t="str" cm="1">
        <f t="array" aca="1" ref="E50" ca="1">_FV(Titres[[#This Row],[Action]],"Code mnémonique",TRUE)</f>
        <v>MFC</v>
      </c>
      <c r="F50" t="str" cm="1">
        <f t="array" aca="1" ref="F50" ca="1">_FV(D50,"Change")</f>
        <v>Toronto Stock Exchange</v>
      </c>
      <c r="G50" t="str" cm="1">
        <f t="array" aca="1" ref="G50" ca="1">IFERROR(_FV(Titres[[#This Row],[Action]],"Industrie"),"")</f>
        <v>Insurance</v>
      </c>
      <c r="H50" t="s">
        <v>205</v>
      </c>
      <c r="I50" s="12" t="str" cm="1">
        <f t="array" aca="1" ref="I50" ca="1">_FV(D50,"Devise")</f>
        <v>CAD</v>
      </c>
      <c r="J50" s="28">
        <v>125</v>
      </c>
      <c r="K50" s="41">
        <v>20.66</v>
      </c>
      <c r="L50" s="41">
        <f t="shared" si="7"/>
        <v>2582.5</v>
      </c>
      <c r="M50" s="41" cm="1">
        <f t="array" aca="1" ref="M50" ca="1">_FV(D50,"Prix")</f>
        <v>52.28</v>
      </c>
      <c r="N50" s="49">
        <f t="shared" ca="1" si="8"/>
        <v>6535</v>
      </c>
      <c r="O50" s="49">
        <f ca="1">IF(Titres[[#This Row],[Devise]]="CAD",Titres[[#This Row],[Valeur au marché
($ local)]],Titres[[#This Row],[Valeur au marché
($ local)]]*Ressources!$I$3)</f>
        <v>6535</v>
      </c>
      <c r="P50" s="49" cm="1">
        <f t="array" aca="1" ref="P50" ca="1">(Titres[[#This Row],[Prix actuel]]-_FV(Titres[[#This Row],[Action]],"Clôture précédente",TRUE))*Titres[[#This Row],[Nb d''actions]]</f>
        <v>-48.750000000000071</v>
      </c>
      <c r="Q50" s="22">
        <f ca="1">Titres[[#This Row],[Variation du jour ($)]]/(Titres[[#This Row],[Valeur au marché
($ local)]]-Titres[[#This Row],[Variation du jour ($)]])</f>
        <v>-7.4045946459084973E-3</v>
      </c>
      <c r="R50" s="41">
        <f ca="1">Titres[[#This Row],[Valeur au marché
($ local)]]-Titres[[#This Row],[Coût total]]</f>
        <v>3952.5</v>
      </c>
      <c r="S50" s="22">
        <f ca="1">Titres[[#This Row],[Gain non réalisé ($)]]/Titres[[#This Row],[Coût total]]</f>
        <v>1.5304937076476284</v>
      </c>
      <c r="T50" s="50">
        <v>0.44</v>
      </c>
      <c r="U50" s="41">
        <f>4*Titres[[#This Row],[Dividende trimestriel]]</f>
        <v>1.76</v>
      </c>
      <c r="V50" s="41">
        <f>Titres[[#This Row],[Dividende annuel]]*Titres[[#This Row],[Nb d''actions]]</f>
        <v>220</v>
      </c>
      <c r="W50" s="25">
        <f ca="1">Titres[[#This Row],[Dividende annuel]]/Titres[[#This Row],[Prix actuel]]</f>
        <v>3.3664881407804131E-2</v>
      </c>
      <c r="X50" s="49">
        <f>Titres[[#This Row],[Dividende annuel]]/Titres[[#This Row],[Coût moyen]]</f>
        <v>8.5188770571151984E-2</v>
      </c>
      <c r="Y50" s="12">
        <v>9</v>
      </c>
      <c r="Z50" s="40">
        <f ca="1">(((Titres[[#This Row],[Valeur au marché
($ local)]]-Titres[[#This Row],[Coût total]])+Titres[[#This Row],[Total - dividendes reçus]])/Titres[[#This Row],[Coût total]])</f>
        <v>1.8630280735721203</v>
      </c>
      <c r="AA50" s="38">
        <f>SUM(Titres[[#This Row],[Janvier 2019]:[Août 2024]])</f>
        <v>858.77</v>
      </c>
      <c r="AB50" s="38"/>
      <c r="AC50" s="38"/>
      <c r="AD50" s="38">
        <v>31.25</v>
      </c>
      <c r="AE50" s="38"/>
      <c r="AF50" s="38"/>
      <c r="AG50" s="38">
        <v>31.25</v>
      </c>
      <c r="AH50" s="38"/>
      <c r="AI50" s="38"/>
      <c r="AJ50" s="38">
        <v>31.25</v>
      </c>
      <c r="AK50" s="38"/>
      <c r="AL50" s="38"/>
      <c r="AM50" s="38">
        <v>31.25</v>
      </c>
      <c r="AN50" s="38"/>
      <c r="AO50" s="38"/>
      <c r="AP50" s="38">
        <v>35</v>
      </c>
      <c r="AQ50" s="38"/>
      <c r="AR50" s="38"/>
      <c r="AS50" s="38">
        <v>35</v>
      </c>
      <c r="AT50" s="38"/>
      <c r="AU50" s="38"/>
      <c r="AV50" s="38">
        <v>35</v>
      </c>
      <c r="AW50" s="38"/>
      <c r="AX50" s="38"/>
      <c r="AY50" s="38">
        <v>35</v>
      </c>
      <c r="AZ50" s="51"/>
      <c r="BA50" s="51"/>
      <c r="BB50" s="51">
        <v>35</v>
      </c>
      <c r="BE50" s="51">
        <v>35</v>
      </c>
      <c r="BH50" s="51">
        <v>35</v>
      </c>
      <c r="BK50" s="51">
        <v>41.25</v>
      </c>
      <c r="BN50" s="51">
        <v>41.25</v>
      </c>
      <c r="BQ50" s="51">
        <v>41.25</v>
      </c>
      <c r="BT50" s="51">
        <v>41.25</v>
      </c>
      <c r="BW50" s="51">
        <v>41.25</v>
      </c>
      <c r="BZ50" s="51">
        <v>45.63</v>
      </c>
      <c r="CA50" s="51"/>
      <c r="CB50" s="51"/>
      <c r="CC50" s="51">
        <v>45.63</v>
      </c>
      <c r="CD50" s="51"/>
      <c r="CE50" s="51"/>
      <c r="CF50" s="51">
        <v>45.63</v>
      </c>
      <c r="CG50" s="51"/>
      <c r="CH50" s="51"/>
      <c r="CI50" s="51">
        <v>45.63</v>
      </c>
      <c r="CJ50" s="51"/>
      <c r="CK50" s="51"/>
      <c r="CL50" s="51">
        <v>50</v>
      </c>
      <c r="CM50" s="51"/>
      <c r="CN50" s="51"/>
      <c r="CO50" s="51">
        <v>50</v>
      </c>
      <c r="CP50" s="51"/>
      <c r="CQ50" s="51"/>
      <c r="CR50" s="51">
        <v>50</v>
      </c>
      <c r="CS50" s="51"/>
      <c r="CT50" s="51"/>
      <c r="CU50" s="51">
        <v>50</v>
      </c>
      <c r="CV50" s="51"/>
      <c r="CW50" s="51"/>
      <c r="CX50" s="51">
        <v>55</v>
      </c>
      <c r="CY50" s="51"/>
      <c r="CZ50" s="51"/>
      <c r="DA50" s="51">
        <v>55</v>
      </c>
      <c r="DB50" s="51"/>
      <c r="DC50" s="51"/>
      <c r="DD50" s="51">
        <v>55</v>
      </c>
      <c r="DE50" s="51"/>
      <c r="DF50" s="51"/>
      <c r="DG50" s="51">
        <v>55</v>
      </c>
      <c r="DH50" s="51"/>
      <c r="DI50" s="51"/>
    </row>
    <row r="51" spans="2:113" x14ac:dyDescent="0.25">
      <c r="B51" s="12" t="str">
        <f t="shared" si="6"/>
        <v>20K6HZ6</v>
      </c>
      <c r="C51" s="12" t="s">
        <v>160</v>
      </c>
      <c r="D51" t="e" vm="553">
        <v>#VALUE!</v>
      </c>
      <c r="E51" s="12" t="str" cm="1">
        <f t="array" aca="1" ref="E51" ca="1">_FV(Titres[[#This Row],[Action]],"Code mnémonique",TRUE)</f>
        <v>NTR</v>
      </c>
      <c r="F51" t="str" cm="1">
        <f t="array" aca="1" ref="F51" ca="1">_FV(D51,"Change")</f>
        <v>Toronto Stock Exchange</v>
      </c>
      <c r="G51" t="str" cm="1">
        <f t="array" aca="1" ref="G51" ca="1">IFERROR(_FV(Titres[[#This Row],[Action]],"Industrie"),"")</f>
        <v>Chemicals</v>
      </c>
      <c r="H51" t="s">
        <v>205</v>
      </c>
      <c r="I51" s="12" t="str" cm="1">
        <f t="array" aca="1" ref="I51" ca="1">_FV(D51,"Devise")</f>
        <v>CAD</v>
      </c>
      <c r="J51" s="28">
        <v>53</v>
      </c>
      <c r="K51" s="41">
        <v>56.79</v>
      </c>
      <c r="L51" s="41">
        <f t="shared" si="7"/>
        <v>3009.87</v>
      </c>
      <c r="M51" s="41" cm="1">
        <f t="array" aca="1" ref="M51" ca="1">_FV(D51,"Prix")</f>
        <v>99.29</v>
      </c>
      <c r="N51" s="49">
        <f t="shared" ca="1" si="8"/>
        <v>5262.37</v>
      </c>
      <c r="O51" s="49">
        <f ca="1">IF(Titres[[#This Row],[Devise]]="CAD",Titres[[#This Row],[Valeur au marché
($ local)]],Titres[[#This Row],[Valeur au marché
($ local)]]*Ressources!$I$3)</f>
        <v>5262.37</v>
      </c>
      <c r="P51" s="49" cm="1">
        <f t="array" aca="1" ref="P51" ca="1">(Titres[[#This Row],[Prix actuel]]-_FV(Titres[[#This Row],[Action]],"Clôture précédente",TRUE))*Titres[[#This Row],[Nb d''actions]]</f>
        <v>113.42000000000003</v>
      </c>
      <c r="Q51" s="22">
        <f ca="1">Titres[[#This Row],[Variation du jour ($)]]/(Titres[[#This Row],[Valeur au marché
($ local)]]-Titres[[#This Row],[Variation du jour ($)]])</f>
        <v>2.2027792074112203E-2</v>
      </c>
      <c r="R51" s="41">
        <f ca="1">Titres[[#This Row],[Valeur au marché
($ local)]]-Titres[[#This Row],[Coût total]]</f>
        <v>2252.5</v>
      </c>
      <c r="S51" s="22">
        <f ca="1">Titres[[#This Row],[Gain non réalisé ($)]]/Titres[[#This Row],[Coût total]]</f>
        <v>0.74837119211128722</v>
      </c>
      <c r="T51" s="50">
        <v>0.75700000000000001</v>
      </c>
      <c r="U51" s="41">
        <f>4*Titres[[#This Row],[Dividende trimestriel]]</f>
        <v>3.028</v>
      </c>
      <c r="V51" s="41">
        <f>Titres[[#This Row],[Dividende annuel]]*Titres[[#This Row],[Nb d''actions]]</f>
        <v>160.48400000000001</v>
      </c>
      <c r="W51" s="25">
        <f ca="1">Titres[[#This Row],[Dividende annuel]]/Titres[[#This Row],[Prix actuel]]</f>
        <v>3.0496525329841876E-2</v>
      </c>
      <c r="X51" s="49">
        <f>Titres[[#This Row],[Dividende annuel]]/Titres[[#This Row],[Coût moyen]]</f>
        <v>5.3319246346187711E-2</v>
      </c>
      <c r="Y51" s="12">
        <v>2</v>
      </c>
      <c r="Z51" s="40">
        <f ca="1">(((Titres[[#This Row],[Valeur au marché
($ local)]]-Titres[[#This Row],[Coût total]])+Titres[[#This Row],[Total - dividendes reçus]])/Titres[[#This Row],[Coût total]])</f>
        <v>1.0033589490576005</v>
      </c>
      <c r="AA51" s="38">
        <f>SUM(Titres[[#This Row],[Janvier 2019]:[Août 2024]])</f>
        <v>767.48</v>
      </c>
      <c r="AB51" s="38">
        <v>31.09</v>
      </c>
      <c r="AC51" s="38"/>
      <c r="AD51" s="38"/>
      <c r="AE51" s="38">
        <v>30.45</v>
      </c>
      <c r="AF51" s="38"/>
      <c r="AG51" s="38"/>
      <c r="AH51" s="38">
        <v>29.83</v>
      </c>
      <c r="AI51" s="38"/>
      <c r="AJ51" s="38"/>
      <c r="AK51" s="38">
        <v>31.58</v>
      </c>
      <c r="AL51" s="38"/>
      <c r="AM51" s="38"/>
      <c r="AN51" s="38">
        <v>30.98</v>
      </c>
      <c r="AO51" s="38"/>
      <c r="AP51" s="38"/>
      <c r="AQ51" s="38">
        <v>33.840000000000003</v>
      </c>
      <c r="AR51" s="38"/>
      <c r="AS51" s="38"/>
      <c r="AT51" s="38">
        <v>32.5</v>
      </c>
      <c r="AU51" s="38"/>
      <c r="AV51" s="38"/>
      <c r="AW51" s="38">
        <v>31.81</v>
      </c>
      <c r="AX51" s="38"/>
      <c r="AY51" s="38"/>
      <c r="AZ51" s="51">
        <v>30.37</v>
      </c>
      <c r="BA51" s="51"/>
      <c r="BC51" s="51">
        <v>30.66</v>
      </c>
      <c r="BF51" s="51">
        <v>30.22</v>
      </c>
      <c r="BI51" s="51">
        <v>31.06</v>
      </c>
      <c r="BL51" s="51">
        <v>30.91</v>
      </c>
      <c r="BO51" s="51">
        <v>31.79</v>
      </c>
      <c r="BR51" s="51">
        <v>32.78</v>
      </c>
      <c r="BU51" s="51">
        <v>34.869999999999997</v>
      </c>
      <c r="BX51" s="51">
        <v>34.46</v>
      </c>
      <c r="CA51" s="51">
        <v>38.01</v>
      </c>
      <c r="CB51" s="51"/>
      <c r="CC51" s="51"/>
      <c r="CD51" s="51">
        <v>37.19</v>
      </c>
      <c r="CE51" s="51"/>
      <c r="CF51" s="51"/>
      <c r="CG51" s="51">
        <v>37.979999999999997</v>
      </c>
      <c r="CH51" s="51"/>
      <c r="CI51" s="51"/>
      <c r="CJ51" s="51">
        <v>37.15</v>
      </c>
      <c r="CK51" s="51"/>
      <c r="CL51" s="51"/>
      <c r="CM51" s="51">
        <v>38.78</v>
      </c>
      <c r="CN51" s="51"/>
      <c r="CO51" s="51"/>
      <c r="CP51" s="51">
        <v>39.17</v>
      </c>
      <c r="CQ51" s="51"/>
      <c r="CR51" s="51"/>
      <c r="CS51" s="51">
        <v>38.630000000000003</v>
      </c>
      <c r="CT51" s="51"/>
      <c r="CU51" s="51"/>
      <c r="CV51" s="51">
        <v>41.18</v>
      </c>
      <c r="CW51" s="51"/>
      <c r="CX51" s="51"/>
      <c r="CY51" s="51">
        <v>41.53</v>
      </c>
      <c r="CZ51" s="51"/>
      <c r="DA51" s="51"/>
      <c r="DB51" s="51">
        <v>39.409999999999997</v>
      </c>
      <c r="DC51" s="51"/>
      <c r="DD51" s="51"/>
      <c r="DE51" s="51">
        <v>40.21</v>
      </c>
      <c r="DF51" s="51"/>
      <c r="DG51" s="51"/>
      <c r="DH51" s="51">
        <v>39.590000000000003</v>
      </c>
      <c r="DI51" s="51"/>
    </row>
    <row r="52" spans="2:113" x14ac:dyDescent="0.25">
      <c r="B52" s="12" t="str">
        <f t="shared" si="6"/>
        <v>20K6HF2</v>
      </c>
      <c r="C52" s="12" t="s">
        <v>159</v>
      </c>
      <c r="D52" t="e" vm="554">
        <v>#VALUE!</v>
      </c>
      <c r="E52" s="12" t="str" cm="1">
        <f t="array" aca="1" ref="E52" ca="1">_FV(Titres[[#This Row],[Action]],"Code mnémonique",TRUE)</f>
        <v>O</v>
      </c>
      <c r="F52" t="str" cm="1">
        <f t="array" aca="1" ref="F52" ca="1">_FV(D52,"Change")</f>
        <v>New York Stock Exchange</v>
      </c>
      <c r="G52" t="str" cm="1">
        <f t="array" aca="1" ref="G52" ca="1">IFERROR(_FV(Titres[[#This Row],[Action]],"Industrie"),"")</f>
        <v>Residential &amp; Commercial REIT</v>
      </c>
      <c r="H52" t="s">
        <v>117</v>
      </c>
      <c r="I52" s="12" t="str" cm="1">
        <f t="array" aca="1" ref="I52" ca="1">_FV(D52,"Devise")</f>
        <v>USD</v>
      </c>
      <c r="J52" s="28">
        <v>100</v>
      </c>
      <c r="K52" s="41">
        <v>65.599999999999994</v>
      </c>
      <c r="L52" s="41">
        <f t="shared" si="7"/>
        <v>6559.9999999999991</v>
      </c>
      <c r="M52" s="41" cm="1">
        <f t="array" aca="1" ref="M52" ca="1">_FV(D52,"Prix")</f>
        <v>64.040000000000006</v>
      </c>
      <c r="N52" s="49">
        <f t="shared" ca="1" si="8"/>
        <v>6404.0000000000009</v>
      </c>
      <c r="O52" s="49">
        <f ca="1">IF(Titres[[#This Row],[Devise]]="CAD",Titres[[#This Row],[Valeur au marché
($ local)]],Titres[[#This Row],[Valeur au marché
($ local)]]*Ressources!$I$3)</f>
        <v>8747.8640000000014</v>
      </c>
      <c r="P52" s="49" cm="1">
        <f t="array" aca="1" ref="P52" ca="1">(Titres[[#This Row],[Prix actuel]]-_FV(Titres[[#This Row],[Action]],"Clôture précédente",TRUE))*Titres[[#This Row],[Nb d''actions]]</f>
        <v>-87.999999999999545</v>
      </c>
      <c r="Q52" s="22">
        <f ca="1">Titres[[#This Row],[Variation du jour ($)]]/(Titres[[#This Row],[Valeur au marché
($ local)]]-Titres[[#This Row],[Variation du jour ($)]])</f>
        <v>-1.3555144793592043E-2</v>
      </c>
      <c r="R52" s="76">
        <f ca="1">Titres[[#This Row],[Valeur au marché
($ local)]]-Titres[[#This Row],[Coût total]]</f>
        <v>-155.99999999999818</v>
      </c>
      <c r="S52" s="22">
        <f ca="1">Titres[[#This Row],[Gain non réalisé ($)]]/Titres[[#This Row],[Coût total]]</f>
        <v>-2.3780487804877775E-2</v>
      </c>
      <c r="T52" s="50">
        <v>0.81</v>
      </c>
      <c r="U52" s="41">
        <f>4*Titres[[#This Row],[Dividende trimestriel]]</f>
        <v>3.24</v>
      </c>
      <c r="V52" s="41">
        <f>Titres[[#This Row],[Dividende annuel]]*Titres[[#This Row],[Nb d''actions]]</f>
        <v>324</v>
      </c>
      <c r="W52" s="25">
        <f ca="1">Titres[[#This Row],[Dividende annuel]]/Titres[[#This Row],[Prix actuel]]</f>
        <v>5.0593379138038727E-2</v>
      </c>
      <c r="X52" s="49">
        <f>Titres[[#This Row],[Dividende annuel]]/Titres[[#This Row],[Coût moyen]]</f>
        <v>4.9390243902439034E-2</v>
      </c>
      <c r="Y52" s="12">
        <v>26</v>
      </c>
      <c r="Z52" s="40">
        <f ca="1">(((Titres[[#This Row],[Valeur au marché
($ local)]]-Titres[[#This Row],[Coût total]])+Titres[[#This Row],[Total - dividendes reçus]])/Titres[[#This Row],[Coût total]])</f>
        <v>3.6739329268292965E-2</v>
      </c>
      <c r="AA52" s="38">
        <f>SUM(Titres[[#This Row],[Janvier 2019]:[Août 2024]])</f>
        <v>397.01</v>
      </c>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51"/>
      <c r="BA52" s="51"/>
      <c r="BZ52" s="51">
        <v>21.63</v>
      </c>
      <c r="CA52" s="51">
        <v>21.67</v>
      </c>
      <c r="CB52" s="51">
        <v>21.67</v>
      </c>
      <c r="CC52" s="51">
        <v>21.67</v>
      </c>
      <c r="CD52" s="51">
        <v>21.72</v>
      </c>
      <c r="CE52" s="51">
        <v>21.72</v>
      </c>
      <c r="CF52" s="51">
        <v>21.72</v>
      </c>
      <c r="CG52" s="51">
        <v>25.6</v>
      </c>
      <c r="CH52" s="51">
        <v>21.76</v>
      </c>
      <c r="CI52" s="51">
        <v>21.76</v>
      </c>
      <c r="CJ52" s="51">
        <v>21.8</v>
      </c>
      <c r="CK52" s="51">
        <v>21.8</v>
      </c>
      <c r="CL52" s="51">
        <v>21.8</v>
      </c>
      <c r="CM52" s="51">
        <v>21.84</v>
      </c>
      <c r="CN52" s="51">
        <v>21.84</v>
      </c>
      <c r="CO52" s="51">
        <v>22.31</v>
      </c>
      <c r="CP52" s="51">
        <v>22.35</v>
      </c>
      <c r="CQ52" s="51">
        <v>22.35</v>
      </c>
      <c r="CR52" s="51">
        <v>22.35</v>
      </c>
      <c r="CS52" s="51">
        <v>22.4</v>
      </c>
      <c r="CT52" s="51">
        <v>22.4</v>
      </c>
      <c r="CU52" s="51">
        <v>22.4</v>
      </c>
      <c r="CV52" s="51">
        <v>22.44</v>
      </c>
      <c r="CW52" s="51">
        <v>22.44</v>
      </c>
      <c r="CX52" s="51">
        <v>22.78</v>
      </c>
      <c r="CY52" s="51">
        <v>22.82</v>
      </c>
      <c r="CZ52" s="51">
        <v>22.82</v>
      </c>
      <c r="DA52" s="51">
        <v>22.82</v>
      </c>
      <c r="DB52" s="51">
        <v>22.86</v>
      </c>
      <c r="DC52" s="51">
        <v>22.86</v>
      </c>
      <c r="DD52" s="51">
        <v>22.86</v>
      </c>
      <c r="DE52" s="51">
        <v>22.91</v>
      </c>
      <c r="DF52" s="51">
        <v>22.9</v>
      </c>
      <c r="DG52" s="51">
        <v>22.91</v>
      </c>
      <c r="DH52" s="51">
        <v>22.95</v>
      </c>
      <c r="DI52" s="51">
        <v>22.95</v>
      </c>
    </row>
    <row r="53" spans="2:113" x14ac:dyDescent="0.25">
      <c r="B53" s="12" t="str">
        <f t="shared" si="6"/>
        <v>20K6HZ6</v>
      </c>
      <c r="C53" s="12" t="s">
        <v>160</v>
      </c>
      <c r="D53" t="e" vm="555">
        <v>#VALUE!</v>
      </c>
      <c r="E53" s="12" t="str" cm="1">
        <f t="array" aca="1" ref="E53" ca="1">_FV(Titres[[#This Row],[Action]],"Code mnémonique",TRUE)</f>
        <v>PKI</v>
      </c>
      <c r="F53" t="str" cm="1">
        <f t="array" aca="1" ref="F53" ca="1">_FV(D53,"Change")</f>
        <v>Toronto Stock Exchange</v>
      </c>
      <c r="G53" t="str" cm="1">
        <f t="array" aca="1" ref="G53" ca="1">IFERROR(_FV(Titres[[#This Row],[Action]],"Industrie"),"")</f>
        <v>Oil &amp; Gas</v>
      </c>
      <c r="H53" t="s">
        <v>205</v>
      </c>
      <c r="I53" s="12" t="str" cm="1">
        <f t="array" aca="1" ref="I53" ca="1">_FV(D53,"Devise")</f>
        <v>CAD</v>
      </c>
      <c r="J53" s="28">
        <v>0</v>
      </c>
      <c r="K53" s="41">
        <v>31.17</v>
      </c>
      <c r="L53" s="41">
        <f t="shared" si="7"/>
        <v>0</v>
      </c>
      <c r="M53" s="41" cm="1">
        <f t="array" aca="1" ref="M53" ca="1">_FV(D53,"Prix")</f>
        <v>39.840000000000003</v>
      </c>
      <c r="N53" s="49">
        <f t="shared" ca="1" si="8"/>
        <v>0</v>
      </c>
      <c r="O53" s="49">
        <f ca="1">IF(Titres[[#This Row],[Devise]]="CAD",Titres[[#This Row],[Valeur au marché
($ local)]],Titres[[#This Row],[Valeur au marché
($ local)]]*Ressources!$I$3)</f>
        <v>0</v>
      </c>
      <c r="P53" s="49" cm="1">
        <f t="array" aca="1" ref="P53" ca="1">(Titres[[#This Row],[Prix actuel]]-_FV(Titres[[#This Row],[Action]],"Clôture précédente",TRUE))*Titres[[#This Row],[Nb d''actions]]</f>
        <v>0</v>
      </c>
      <c r="Q53" s="22" t="e">
        <f ca="1">Titres[[#This Row],[Variation du jour ($)]]/(Titres[[#This Row],[Valeur au marché
($ local)]]-Titres[[#This Row],[Variation du jour ($)]])</f>
        <v>#DIV/0!</v>
      </c>
      <c r="R53" s="76">
        <f ca="1">Titres[[#This Row],[Valeur au marché
($ local)]]-Titres[[#This Row],[Coût total]]</f>
        <v>0</v>
      </c>
      <c r="S53" s="22" t="e">
        <f ca="1">Titres[[#This Row],[Gain non réalisé ($)]]/Titres[[#This Row],[Coût total]]</f>
        <v>#DIV/0!</v>
      </c>
      <c r="T53" s="50">
        <v>0.35</v>
      </c>
      <c r="U53" s="41">
        <f>4*Titres[[#This Row],[Dividende trimestriel]]</f>
        <v>1.4</v>
      </c>
      <c r="V53" s="41">
        <f>Titres[[#This Row],[Dividende annuel]]*Titres[[#This Row],[Nb d''actions]]</f>
        <v>0</v>
      </c>
      <c r="W53" s="25">
        <f ca="1">Titres[[#This Row],[Dividende annuel]]/Titres[[#This Row],[Prix actuel]]</f>
        <v>3.5140562248995977E-2</v>
      </c>
      <c r="X53" s="49">
        <f>Titres[[#This Row],[Dividende annuel]]/Titres[[#This Row],[Coût moyen]]</f>
        <v>4.4914982354828353E-2</v>
      </c>
      <c r="Y53" s="12">
        <v>0</v>
      </c>
      <c r="Z53" s="40" t="e">
        <f ca="1">(((Titres[[#This Row],[Valeur au marché
($ local)]]-Titres[[#This Row],[Coût total]])+Titres[[#This Row],[Total - dividendes reçus]])/Titres[[#This Row],[Coût total]])</f>
        <v>#DIV/0!</v>
      </c>
      <c r="AA53" s="38">
        <f>SUM(Titres[[#This Row],[Janvier 2019]:[Août 2024]])</f>
        <v>241.54</v>
      </c>
      <c r="AB53" s="38">
        <v>0.98</v>
      </c>
      <c r="AC53" s="38">
        <v>0.98</v>
      </c>
      <c r="AD53" s="38">
        <v>0.98</v>
      </c>
      <c r="AE53" s="38">
        <v>1</v>
      </c>
      <c r="AF53" s="38">
        <v>1</v>
      </c>
      <c r="AG53" s="38">
        <v>1</v>
      </c>
      <c r="AH53" s="38">
        <v>1</v>
      </c>
      <c r="AI53" s="38">
        <v>1</v>
      </c>
      <c r="AJ53" s="38">
        <v>1</v>
      </c>
      <c r="AK53" s="38">
        <v>1</v>
      </c>
      <c r="AL53" s="38">
        <v>1</v>
      </c>
      <c r="AM53" s="38">
        <v>1</v>
      </c>
      <c r="AN53" s="38">
        <v>1</v>
      </c>
      <c r="AO53" s="38">
        <v>1</v>
      </c>
      <c r="AP53" s="38">
        <v>1</v>
      </c>
      <c r="AQ53" s="38"/>
      <c r="AR53" s="38"/>
      <c r="AS53" s="38"/>
      <c r="AT53" s="38"/>
      <c r="AU53" s="38"/>
      <c r="AV53" s="38"/>
      <c r="AW53" s="38"/>
      <c r="AX53" s="38"/>
      <c r="AY53" s="38"/>
      <c r="AZ53" s="51"/>
      <c r="BA53" s="51"/>
      <c r="CA53" s="51">
        <v>37.4</v>
      </c>
      <c r="CB53" s="51"/>
      <c r="CC53" s="51"/>
      <c r="CD53" s="51">
        <v>37.4</v>
      </c>
      <c r="CE53" s="51"/>
      <c r="CF53" s="51"/>
      <c r="CG53" s="51">
        <v>37.4</v>
      </c>
      <c r="CH53" s="51"/>
      <c r="CI53" s="51"/>
      <c r="CJ53" s="51">
        <v>37.4</v>
      </c>
      <c r="CK53" s="51"/>
      <c r="CL53" s="51"/>
      <c r="CM53" s="51">
        <v>38.5</v>
      </c>
      <c r="CN53" s="51"/>
      <c r="CO53" s="51"/>
      <c r="CP53" s="51">
        <v>38.5</v>
      </c>
      <c r="CQ53" s="51"/>
      <c r="CR53" s="51"/>
      <c r="CS53" s="51">
        <v>38.5</v>
      </c>
      <c r="CT53" s="51"/>
      <c r="CU53" s="51"/>
      <c r="CV53" s="51">
        <v>38.5</v>
      </c>
      <c r="CW53" s="51"/>
      <c r="CX53" s="51"/>
      <c r="CY53" s="51">
        <v>39.6</v>
      </c>
      <c r="CZ53" s="51"/>
      <c r="DA53" s="51"/>
      <c r="DB53" s="51">
        <v>39.6</v>
      </c>
      <c r="DC53" s="51"/>
      <c r="DD53" s="51"/>
      <c r="DE53" s="51">
        <v>39.6</v>
      </c>
      <c r="DF53" s="51"/>
      <c r="DG53" s="51"/>
      <c r="DH53" s="51"/>
      <c r="DI53" s="51"/>
    </row>
    <row r="54" spans="2:113" x14ac:dyDescent="0.25">
      <c r="B54" s="12" t="str">
        <f t="shared" si="6"/>
        <v>20K6HU7</v>
      </c>
      <c r="C54" s="12" t="s">
        <v>162</v>
      </c>
      <c r="D54" t="e" vm="556">
        <v>#VALUE!</v>
      </c>
      <c r="E54" s="12" t="str" cm="1">
        <f t="array" aca="1" ref="E54" ca="1">_FV(Titres[[#This Row],[Action]],"Code mnémonique",TRUE)</f>
        <v>SOLV</v>
      </c>
      <c r="F54" t="str" cm="1">
        <f t="array" aca="1" ref="F54" ca="1">_FV(D54,"Change")</f>
        <v>New York Stock Exchange</v>
      </c>
      <c r="G54" t="str" cm="1">
        <f t="array" aca="1" ref="G54" ca="1">IFERROR(_FV(Titres[[#This Row],[Action]],"Industrie"),"")</f>
        <v>Healthcare Equipment &amp; Supplies</v>
      </c>
      <c r="H54" t="s">
        <v>206</v>
      </c>
      <c r="I54" s="12" t="str" cm="1">
        <f t="array" aca="1" ref="I54" ca="1">_FV(D54,"Devise")</f>
        <v>USD</v>
      </c>
      <c r="J54" s="28">
        <v>7</v>
      </c>
      <c r="K54" s="41">
        <v>69.150000000000006</v>
      </c>
      <c r="L54" s="41">
        <f t="shared" si="7"/>
        <v>484.05000000000007</v>
      </c>
      <c r="M54" s="41" cm="1">
        <f t="array" aca="1" ref="M54" ca="1">_FV(D54,"Prix")</f>
        <v>69.010000000000005</v>
      </c>
      <c r="N54" s="49">
        <f t="shared" ca="1" si="8"/>
        <v>483.07000000000005</v>
      </c>
      <c r="O54" s="49">
        <f ca="1">IF(Titres[[#This Row],[Devise]]="CAD",Titres[[#This Row],[Valeur au marché
($ local)]],Titres[[#This Row],[Valeur au marché
($ local)]]*Ressources!$I$3)</f>
        <v>659.87362000000007</v>
      </c>
      <c r="P54" s="49" cm="1">
        <f t="array" aca="1" ref="P54" ca="1">(Titres[[#This Row],[Prix actuel]]-_FV(Titres[[#This Row],[Action]],"Clôture précédente",TRUE))*Titres[[#This Row],[Nb d''actions]]</f>
        <v>-7.210000000000008</v>
      </c>
      <c r="Q54" s="22">
        <f ca="1">Titres[[#This Row],[Variation du jour ($)]]/(Titres[[#This Row],[Valeur au marché
($ local)]]-Titres[[#This Row],[Variation du jour ($)]])</f>
        <v>-1.470588235294119E-2</v>
      </c>
      <c r="R54" s="41">
        <f ca="1">Titres[[#This Row],[Valeur au marché
($ local)]]-Titres[[#This Row],[Coût total]]</f>
        <v>-0.98000000000001819</v>
      </c>
      <c r="S54" s="22">
        <f ca="1">Titres[[#This Row],[Gain non réalisé ($)]]/Titres[[#This Row],[Coût total]]</f>
        <v>-2.0245842371656195E-3</v>
      </c>
      <c r="T54" s="50">
        <v>0</v>
      </c>
      <c r="U54" s="41">
        <f>4*Titres[[#This Row],[Dividende trimestriel]]</f>
        <v>0</v>
      </c>
      <c r="V54" s="41">
        <f>Titres[[#This Row],[Dividende annuel]]*Titres[[#This Row],[Nb d''actions]]</f>
        <v>0</v>
      </c>
      <c r="W54" s="25">
        <f ca="1">Titres[[#This Row],[Dividende annuel]]/Titres[[#This Row],[Prix actuel]]</f>
        <v>0</v>
      </c>
      <c r="X54" s="49">
        <f>Titres[[#This Row],[Dividende annuel]]/Titres[[#This Row],[Coût moyen]]</f>
        <v>0</v>
      </c>
      <c r="Z54" s="40">
        <f ca="1">(((Titres[[#This Row],[Valeur au marché
($ local)]]-Titres[[#This Row],[Coût total]])+Titres[[#This Row],[Total - dividendes reçus]])/Titres[[#This Row],[Coût total]])</f>
        <v>0.11009193265158553</v>
      </c>
      <c r="AA54" s="38">
        <f>SUM(Titres[[#This Row],[Janvier 2019]:[Août 2024]])</f>
        <v>54.269999999999996</v>
      </c>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51"/>
      <c r="BA54" s="51"/>
      <c r="CA54" s="51"/>
      <c r="CB54" s="51"/>
      <c r="CC54" s="51"/>
      <c r="CD54" s="51"/>
      <c r="CE54" s="51">
        <f>25.55-3.83</f>
        <v>21.72</v>
      </c>
      <c r="CF54" s="51"/>
      <c r="CG54" s="51"/>
      <c r="CH54" s="51"/>
      <c r="CI54" s="51"/>
      <c r="CJ54" s="51"/>
      <c r="CK54" s="51"/>
      <c r="CL54" s="51"/>
      <c r="CM54" s="51">
        <v>32.549999999999997</v>
      </c>
      <c r="CN54" s="51"/>
      <c r="CO54" s="51"/>
      <c r="CP54" s="51"/>
      <c r="CQ54" s="51"/>
      <c r="CR54" s="51"/>
      <c r="CS54" s="51"/>
      <c r="CT54" s="51"/>
      <c r="CU54" s="51"/>
      <c r="CV54" s="51"/>
      <c r="CW54" s="51"/>
      <c r="CX54" s="51"/>
      <c r="CY54" s="51"/>
      <c r="CZ54" s="51"/>
      <c r="DA54" s="51"/>
      <c r="DB54" s="51"/>
      <c r="DC54" s="51"/>
      <c r="DD54" s="51"/>
      <c r="DE54" s="51"/>
      <c r="DF54" s="51"/>
      <c r="DG54" s="51"/>
      <c r="DH54" s="51"/>
      <c r="DI54" s="51"/>
    </row>
    <row r="55" spans="2:113" x14ac:dyDescent="0.25">
      <c r="B55" s="12" t="str">
        <f t="shared" si="6"/>
        <v>20K6HZ6</v>
      </c>
      <c r="C55" s="12" t="s">
        <v>160</v>
      </c>
      <c r="D55" t="e" vm="557">
        <v>#VALUE!</v>
      </c>
      <c r="E55" s="12" t="str" cm="1">
        <f t="array" aca="1" ref="E55" ca="1">_FV(Titres[[#This Row],[Action]],"Code mnémonique",TRUE)</f>
        <v>POW</v>
      </c>
      <c r="F55" t="str" cm="1">
        <f t="array" aca="1" ref="F55" ca="1">_FV(D55,"Change")</f>
        <v>Toronto Stock Exchange</v>
      </c>
      <c r="G55" t="str" cm="1">
        <f t="array" aca="1" ref="G55" ca="1">IFERROR(_FV(Titres[[#This Row],[Action]],"Industrie"),"")</f>
        <v>Insurance</v>
      </c>
      <c r="H55" t="s">
        <v>205</v>
      </c>
      <c r="I55" s="12" t="str" cm="1">
        <f t="array" aca="1" ref="I55" ca="1">_FV(D55,"Devise")</f>
        <v>CAD</v>
      </c>
      <c r="J55" s="28">
        <v>255</v>
      </c>
      <c r="K55" s="41">
        <v>26.53</v>
      </c>
      <c r="L55" s="41">
        <f t="shared" si="7"/>
        <v>6765.1500000000005</v>
      </c>
      <c r="M55" s="41" cm="1">
        <f t="array" aca="1" ref="M55" ca="1">_FV(D55,"Prix")</f>
        <v>72.09</v>
      </c>
      <c r="N55" s="49">
        <f t="shared" ca="1" si="8"/>
        <v>18382.95</v>
      </c>
      <c r="O55" s="49">
        <f ca="1">IF(Titres[[#This Row],[Devise]]="CAD",Titres[[#This Row],[Valeur au marché
($ local)]],Titres[[#This Row],[Valeur au marché
($ local)]]*Ressources!$I$3)</f>
        <v>18382.95</v>
      </c>
      <c r="P55" s="49" cm="1">
        <f t="array" aca="1" ref="P55" ca="1">(Titres[[#This Row],[Prix actuel]]-_FV(Titres[[#This Row],[Action]],"Clôture précédente",TRUE))*Titres[[#This Row],[Nb d''actions]]</f>
        <v>-40.79999999999913</v>
      </c>
      <c r="Q55" s="22">
        <f ca="1">Titres[[#This Row],[Variation du jour ($)]]/(Titres[[#This Row],[Valeur au marché
($ local)]]-Titres[[#This Row],[Variation du jour ($)]])</f>
        <v>-2.2145328719722713E-3</v>
      </c>
      <c r="R55" s="41">
        <f ca="1">Titres[[#This Row],[Valeur au marché
($ local)]]-Titres[[#This Row],[Coût total]]</f>
        <v>11617.8</v>
      </c>
      <c r="S55" s="22">
        <f ca="1">Titres[[#This Row],[Gain non réalisé ($)]]/Titres[[#This Row],[Coût total]]</f>
        <v>1.7173011684885033</v>
      </c>
      <c r="T55" s="50">
        <v>0.61299999999999999</v>
      </c>
      <c r="U55" s="41">
        <f>4*Titres[[#This Row],[Dividende trimestriel]]</f>
        <v>2.452</v>
      </c>
      <c r="V55" s="41">
        <f>Titres[[#This Row],[Dividende annuel]]*Titres[[#This Row],[Nb d''actions]]</f>
        <v>625.26</v>
      </c>
      <c r="W55" s="25">
        <f ca="1">Titres[[#This Row],[Dividende annuel]]/Titres[[#This Row],[Prix actuel]]</f>
        <v>3.4013039256484946E-2</v>
      </c>
      <c r="X55" s="49">
        <f>Titres[[#This Row],[Dividende annuel]]/Titres[[#This Row],[Coût moyen]]</f>
        <v>9.2423671315491895E-2</v>
      </c>
      <c r="Y55" s="12">
        <v>1</v>
      </c>
      <c r="Z55" s="40">
        <f ca="1">(((Titres[[#This Row],[Valeur au marché
($ local)]]-Titres[[#This Row],[Coût total]])+Titres[[#This Row],[Total - dividendes reçus]])/Titres[[#This Row],[Coût total]])</f>
        <v>2.0736421217563539</v>
      </c>
      <c r="AA55" s="38">
        <f>SUM(Titres[[#This Row],[Janvier 2019]:[Août 2024]])</f>
        <v>2410.7000000000007</v>
      </c>
      <c r="AB55" s="38"/>
      <c r="AC55" s="38">
        <v>43.3</v>
      </c>
      <c r="AD55" s="38"/>
      <c r="AE55" s="38"/>
      <c r="AF55" s="38">
        <v>45.55</v>
      </c>
      <c r="AG55" s="38"/>
      <c r="AH55" s="38"/>
      <c r="AI55" s="38">
        <v>45.55</v>
      </c>
      <c r="AJ55" s="38"/>
      <c r="AK55" s="38"/>
      <c r="AL55" s="38">
        <v>45.55</v>
      </c>
      <c r="AM55" s="38"/>
      <c r="AN55" s="38">
        <v>45.55</v>
      </c>
      <c r="AO55" s="38"/>
      <c r="AP55" s="38"/>
      <c r="AQ55" s="38"/>
      <c r="AR55" s="38">
        <v>46.99</v>
      </c>
      <c r="AS55" s="38"/>
      <c r="AT55" s="38">
        <v>114.11</v>
      </c>
      <c r="AU55" s="38"/>
      <c r="AV55" s="38"/>
      <c r="AW55" s="38">
        <v>114.11</v>
      </c>
      <c r="AX55" s="38"/>
      <c r="AY55" s="38"/>
      <c r="AZ55" s="51"/>
      <c r="BA55" s="51">
        <v>114.11</v>
      </c>
      <c r="BC55" s="51">
        <v>114.11</v>
      </c>
      <c r="BF55" s="51">
        <v>114.11</v>
      </c>
      <c r="BJ55" s="51">
        <v>114.11</v>
      </c>
      <c r="BM55" s="51">
        <v>126.23</v>
      </c>
      <c r="BO55" s="51">
        <v>126.23</v>
      </c>
      <c r="BR55" s="51">
        <v>126.23</v>
      </c>
      <c r="BV55" s="51">
        <v>126.23</v>
      </c>
      <c r="BY55" s="51">
        <v>126.23</v>
      </c>
      <c r="CA55" s="51"/>
      <c r="CB55" s="51">
        <v>133.88</v>
      </c>
      <c r="CC55" s="51"/>
      <c r="CD55" s="51"/>
      <c r="CE55" s="51">
        <v>133.88</v>
      </c>
      <c r="CF55" s="51"/>
      <c r="CG55" s="51"/>
      <c r="CH55" s="51">
        <v>133.88</v>
      </c>
      <c r="CI55" s="51"/>
      <c r="CJ55" s="51"/>
      <c r="CK55" s="51">
        <v>133.88</v>
      </c>
      <c r="CL55" s="51"/>
      <c r="CM55" s="51"/>
      <c r="CN55" s="51">
        <v>143.44</v>
      </c>
      <c r="CO55" s="51"/>
      <c r="CP55" s="51"/>
      <c r="CQ55" s="51">
        <v>143.44</v>
      </c>
      <c r="CR55" s="51"/>
      <c r="CS55" s="51"/>
      <c r="CT55" s="51">
        <v>143.44</v>
      </c>
      <c r="CU55" s="51"/>
      <c r="CV55" s="51"/>
      <c r="CW55" s="51"/>
      <c r="CX55" s="51"/>
      <c r="CY55" s="51"/>
      <c r="CZ55" s="51">
        <v>156.19</v>
      </c>
      <c r="DA55" s="51"/>
      <c r="DB55" s="51"/>
      <c r="DC55" s="51">
        <v>156.19</v>
      </c>
      <c r="DD55" s="51"/>
      <c r="DE55" s="51">
        <v>156.19</v>
      </c>
      <c r="DF55" s="51"/>
      <c r="DG55" s="51"/>
      <c r="DH55" s="51">
        <v>156.19</v>
      </c>
      <c r="DI55" s="51"/>
    </row>
    <row r="56" spans="2:113" x14ac:dyDescent="0.25">
      <c r="B56" s="12" t="str">
        <f t="shared" si="6"/>
        <v>20K6HZ6</v>
      </c>
      <c r="C56" s="12" t="s">
        <v>160</v>
      </c>
      <c r="D56" t="e" vm="558">
        <v>#VALUE!</v>
      </c>
      <c r="E56" s="12" t="str" cm="1">
        <f t="array" aca="1" ref="E56" ca="1">_FV(Titres[[#This Row],[Action]],"Code mnémonique",TRUE)</f>
        <v>PMZ.UN</v>
      </c>
      <c r="F56" t="str" cm="1">
        <f t="array" aca="1" ref="F56" ca="1">_FV(D56,"Change")</f>
        <v>Toronto Stock Exchange</v>
      </c>
      <c r="G56" t="str" cm="1">
        <f t="array" ref="G56">IFERROR(_FV(Titres[[#This Row],[Action]],"Industrie"),"")</f>
        <v/>
      </c>
      <c r="H56" t="s">
        <v>117</v>
      </c>
      <c r="I56" s="12" t="str" cm="1">
        <f t="array" aca="1" ref="I56" ca="1">_FV(D56,"Devise")</f>
        <v>CAD</v>
      </c>
      <c r="J56" s="28">
        <v>40</v>
      </c>
      <c r="K56" s="41">
        <v>13.28</v>
      </c>
      <c r="L56" s="41">
        <f t="shared" si="7"/>
        <v>531.19999999999993</v>
      </c>
      <c r="M56" s="41" cm="1">
        <f t="array" aca="1" ref="M56" ca="1">_FV(D56,"Prix")</f>
        <v>18.809999999999999</v>
      </c>
      <c r="N56" s="49">
        <f t="shared" ca="1" si="8"/>
        <v>752.4</v>
      </c>
      <c r="O56" s="49">
        <f ca="1">IF(Titres[[#This Row],[Devise]]="CAD",Titres[[#This Row],[Valeur au marché
($ local)]],Titres[[#This Row],[Valeur au marché
($ local)]]*Ressources!$I$3)</f>
        <v>752.4</v>
      </c>
      <c r="P56" s="49" cm="1">
        <f t="array" aca="1" ref="P56" ca="1">(Titres[[#This Row],[Prix actuel]]-_FV(Titres[[#This Row],[Action]],"Clôture précédente",TRUE))*Titres[[#This Row],[Nb d''actions]]</f>
        <v>-4.4000000000001194</v>
      </c>
      <c r="Q56" s="22">
        <f ca="1">Titres[[#This Row],[Variation du jour ($)]]/(Titres[[#This Row],[Valeur au marché
($ local)]]-Titres[[#This Row],[Variation du jour ($)]])</f>
        <v>-5.8139534883722499E-3</v>
      </c>
      <c r="R56" s="41">
        <f ca="1">Titres[[#This Row],[Valeur au marché
($ local)]]-Titres[[#This Row],[Coût total]]</f>
        <v>221.20000000000005</v>
      </c>
      <c r="S56" s="22">
        <f ca="1">Titres[[#This Row],[Gain non réalisé ($)]]/Titres[[#This Row],[Coût total]]</f>
        <v>0.41641566265060254</v>
      </c>
      <c r="T56" s="50">
        <v>7.2999999999999995E-2</v>
      </c>
      <c r="U56" s="41">
        <f>4*Titres[[#This Row],[Dividende trimestriel]]</f>
        <v>0.29199999999999998</v>
      </c>
      <c r="V56" s="41">
        <f>Titres[[#This Row],[Dividende annuel]]*Titres[[#This Row],[Nb d''actions]]</f>
        <v>11.68</v>
      </c>
      <c r="W56" s="25">
        <f ca="1">Titres[[#This Row],[Dividende annuel]]/Titres[[#This Row],[Prix actuel]]</f>
        <v>1.5523657628920787E-2</v>
      </c>
      <c r="X56" s="49">
        <f>Titres[[#This Row],[Dividende annuel]]/Titres[[#This Row],[Coût moyen]]</f>
        <v>2.1987951807228914E-2</v>
      </c>
      <c r="Y56" s="12">
        <v>0</v>
      </c>
      <c r="Z56" s="40">
        <f ca="1">(((Titres[[#This Row],[Valeur au marché
($ local)]]-Titres[[#This Row],[Coût total]])+Titres[[#This Row],[Total - dividendes reçus]])/Titres[[#This Row],[Coût total]])</f>
        <v>0.5755459337349399</v>
      </c>
      <c r="AA56" s="38">
        <f>SUM(Titres[[#This Row],[Janvier 2019]:[Août 2024]])</f>
        <v>84.529999999999944</v>
      </c>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51"/>
      <c r="BA56" s="51"/>
      <c r="BM56" s="51">
        <v>2.67</v>
      </c>
      <c r="BN56" s="51">
        <v>2.67</v>
      </c>
      <c r="BO56" s="51">
        <v>2.67</v>
      </c>
      <c r="BP56" s="51">
        <v>2.67</v>
      </c>
      <c r="BQ56" s="51">
        <v>2.67</v>
      </c>
      <c r="BR56" s="51">
        <v>2.67</v>
      </c>
      <c r="BS56" s="51">
        <v>2.67</v>
      </c>
      <c r="BT56" s="51">
        <v>2.67</v>
      </c>
      <c r="BU56" s="51">
        <v>2.67</v>
      </c>
      <c r="BV56" s="51">
        <v>2.67</v>
      </c>
      <c r="BW56" s="51">
        <v>2.67</v>
      </c>
      <c r="BX56" s="51">
        <v>2.73</v>
      </c>
      <c r="BY56" s="51">
        <v>2.73</v>
      </c>
      <c r="BZ56" s="51">
        <v>2.73</v>
      </c>
      <c r="CA56" s="51">
        <v>2.73</v>
      </c>
      <c r="CB56" s="51">
        <v>2.73</v>
      </c>
      <c r="CC56" s="51">
        <v>2.73</v>
      </c>
      <c r="CD56" s="51">
        <v>2.73</v>
      </c>
      <c r="CE56" s="51">
        <v>2.73</v>
      </c>
      <c r="CF56" s="51">
        <v>2.73</v>
      </c>
      <c r="CG56" s="51">
        <v>2.73</v>
      </c>
      <c r="CH56" s="51">
        <v>2.73</v>
      </c>
      <c r="CI56" s="51">
        <v>2.73</v>
      </c>
      <c r="CJ56" s="51">
        <v>2.8</v>
      </c>
      <c r="CK56" s="51">
        <v>2.8</v>
      </c>
      <c r="CL56" s="51">
        <v>2.8</v>
      </c>
      <c r="CM56" s="51">
        <v>2.8</v>
      </c>
      <c r="CN56" s="51">
        <v>2.8</v>
      </c>
      <c r="CO56" s="51">
        <v>2.8</v>
      </c>
      <c r="CP56" s="51">
        <v>2.8</v>
      </c>
      <c r="CQ56" s="51">
        <v>2.8</v>
      </c>
      <c r="CR56" s="51">
        <v>2.8</v>
      </c>
      <c r="CS56" s="51">
        <v>2.8</v>
      </c>
      <c r="CT56" s="51">
        <v>2.8</v>
      </c>
      <c r="CU56" s="51">
        <v>2.8</v>
      </c>
      <c r="CV56" s="51">
        <v>2.87</v>
      </c>
      <c r="CW56" s="51">
        <v>2.87</v>
      </c>
      <c r="CX56" s="51">
        <v>2.87</v>
      </c>
      <c r="CY56" s="51">
        <v>2.87</v>
      </c>
      <c r="CZ56" s="51">
        <v>2.87</v>
      </c>
      <c r="DA56" s="51">
        <v>2.87</v>
      </c>
      <c r="DB56" s="51">
        <v>2.87</v>
      </c>
      <c r="DC56" s="51">
        <v>2.87</v>
      </c>
      <c r="DD56" s="51">
        <v>2.87</v>
      </c>
      <c r="DE56" s="51">
        <v>2.87</v>
      </c>
      <c r="DF56" s="51">
        <v>2.87</v>
      </c>
      <c r="DG56" s="51">
        <v>2.87</v>
      </c>
      <c r="DH56" s="51">
        <v>2.93</v>
      </c>
      <c r="DI56" s="51">
        <v>2.93</v>
      </c>
    </row>
    <row r="57" spans="2:113" x14ac:dyDescent="0.25">
      <c r="B57" s="12" t="str">
        <f t="shared" si="6"/>
        <v>20K6HZ6</v>
      </c>
      <c r="C57" s="12" t="s">
        <v>160</v>
      </c>
      <c r="D57" t="e" vm="559">
        <v>#VALUE!</v>
      </c>
      <c r="E57" s="12" t="str" cm="1">
        <f t="array" aca="1" ref="E57" ca="1">_FV(Titres[[#This Row],[Action]],"Code mnémonique",TRUE)</f>
        <v>RCI.B</v>
      </c>
      <c r="F57" t="str" cm="1">
        <f t="array" aca="1" ref="F57" ca="1">_FV(D57,"Change")</f>
        <v>Toronto Stock Exchange</v>
      </c>
      <c r="G57" t="str" cm="1">
        <f t="array" aca="1" ref="G57" ca="1">IFERROR(_FV(Titres[[#This Row],[Action]],"Industrie"),"")</f>
        <v>Telecommunications Services</v>
      </c>
      <c r="H57" t="s">
        <v>205</v>
      </c>
      <c r="I57" s="12" t="str" cm="1">
        <f t="array" aca="1" ref="I57" ca="1">_FV(D57,"Devise")</f>
        <v>CAD</v>
      </c>
      <c r="J57" s="28">
        <v>100</v>
      </c>
      <c r="K57" s="41">
        <v>48.95</v>
      </c>
      <c r="L57" s="41">
        <f t="shared" si="7"/>
        <v>4895</v>
      </c>
      <c r="M57" s="41" cm="1">
        <f t="array" aca="1" ref="M57" ca="1">_FV(D57,"Prix")</f>
        <v>45.1</v>
      </c>
      <c r="N57" s="49">
        <f t="shared" ca="1" si="8"/>
        <v>4510</v>
      </c>
      <c r="O57" s="49">
        <f ca="1">IF(Titres[[#This Row],[Devise]]="CAD",Titres[[#This Row],[Valeur au marché
($ local)]],Titres[[#This Row],[Valeur au marché
($ local)]]*Ressources!$I$3)</f>
        <v>4510</v>
      </c>
      <c r="P57" s="49" cm="1">
        <f t="array" aca="1" ref="P57" ca="1">(Titres[[#This Row],[Prix actuel]]-_FV(Titres[[#This Row],[Action]],"Clôture précédente",TRUE))*Titres[[#This Row],[Nb d''actions]]</f>
        <v>-42.000000000000171</v>
      </c>
      <c r="Q57" s="22">
        <f ca="1">Titres[[#This Row],[Variation du jour ($)]]/(Titres[[#This Row],[Valeur au marché
($ local)]]-Titres[[#This Row],[Variation du jour ($)]])</f>
        <v>-9.2267135325132185E-3</v>
      </c>
      <c r="R57" s="41">
        <f ca="1">Titres[[#This Row],[Valeur au marché
($ local)]]-Titres[[#This Row],[Coût total]]</f>
        <v>-385</v>
      </c>
      <c r="S57" s="22">
        <f ca="1">Titres[[#This Row],[Gain non réalisé ($)]]/Titres[[#This Row],[Coût total]]</f>
        <v>-7.8651685393258425E-2</v>
      </c>
      <c r="T57" s="50">
        <v>0.5</v>
      </c>
      <c r="U57" s="41">
        <f>4*Titres[[#This Row],[Dividende trimestriel]]</f>
        <v>2</v>
      </c>
      <c r="V57" s="41">
        <f>Titres[[#This Row],[Dividende annuel]]*Titres[[#This Row],[Nb d''actions]]</f>
        <v>200</v>
      </c>
      <c r="W57" s="25">
        <f ca="1">Titres[[#This Row],[Dividende annuel]]/Titres[[#This Row],[Prix actuel]]</f>
        <v>4.4345898004434586E-2</v>
      </c>
      <c r="X57" s="49">
        <f>Titres[[#This Row],[Dividende annuel]]/Titres[[#This Row],[Coût moyen]]</f>
        <v>4.0858018386108273E-2</v>
      </c>
      <c r="Y57" s="12">
        <v>0</v>
      </c>
      <c r="Z57" s="40">
        <f ca="1">(((Titres[[#This Row],[Valeur au marché
($ local)]]-Titres[[#This Row],[Coût total]])+Titres[[#This Row],[Total - dividendes reçus]])/Titres[[#This Row],[Coût total]])</f>
        <v>4.3301327885597554E-2</v>
      </c>
      <c r="AA57" s="38">
        <f>SUM(Titres[[#This Row],[Janvier 2019]:[Août 2024]])</f>
        <v>596.96</v>
      </c>
      <c r="AB57" s="38">
        <v>24.96</v>
      </c>
      <c r="AC57" s="38"/>
      <c r="AD57" s="38"/>
      <c r="AE57" s="38">
        <v>26</v>
      </c>
      <c r="AF57" s="38"/>
      <c r="AG57" s="38"/>
      <c r="AH57" s="38">
        <v>26</v>
      </c>
      <c r="AI57" s="38"/>
      <c r="AJ57" s="38"/>
      <c r="AK57" s="38">
        <v>26</v>
      </c>
      <c r="AL57" s="38"/>
      <c r="AM57" s="38"/>
      <c r="AN57" s="38">
        <v>26</v>
      </c>
      <c r="AO57" s="38"/>
      <c r="AP57" s="38"/>
      <c r="AQ57" s="38">
        <v>26</v>
      </c>
      <c r="AR57" s="38"/>
      <c r="AS57" s="38"/>
      <c r="AT57" s="38">
        <v>26</v>
      </c>
      <c r="AU57" s="38"/>
      <c r="AV57" s="38"/>
      <c r="AW57" s="38">
        <v>26</v>
      </c>
      <c r="AX57" s="38"/>
      <c r="AY57" s="38"/>
      <c r="AZ57" s="51">
        <v>26</v>
      </c>
      <c r="BA57" s="51"/>
      <c r="BC57" s="51">
        <v>26</v>
      </c>
      <c r="BF57" s="51">
        <v>26</v>
      </c>
      <c r="BI57" s="51">
        <v>26</v>
      </c>
      <c r="BL57" s="51">
        <v>26</v>
      </c>
      <c r="BO57" s="51">
        <v>26</v>
      </c>
      <c r="BR57" s="51">
        <v>26</v>
      </c>
      <c r="BU57" s="51">
        <v>26</v>
      </c>
      <c r="BX57" s="51">
        <v>26</v>
      </c>
      <c r="CA57" s="51">
        <v>26</v>
      </c>
      <c r="CB57" s="51"/>
      <c r="CC57" s="51"/>
      <c r="CD57" s="51">
        <v>26</v>
      </c>
      <c r="CE57" s="51"/>
      <c r="CF57" s="51"/>
      <c r="CG57" s="51">
        <v>26</v>
      </c>
      <c r="CH57" s="51"/>
      <c r="CI57" s="51"/>
      <c r="CJ57" s="51">
        <v>26</v>
      </c>
      <c r="CK57" s="51"/>
      <c r="CL57" s="51"/>
      <c r="CM57" s="51">
        <v>26</v>
      </c>
      <c r="CN57" s="51"/>
      <c r="CO57" s="51"/>
      <c r="CP57" s="51">
        <v>26</v>
      </c>
      <c r="CQ57" s="51"/>
      <c r="CR57" s="51"/>
      <c r="CS57" s="51">
        <v>26</v>
      </c>
      <c r="CT57" s="51"/>
      <c r="CU57" s="51"/>
      <c r="CV57" s="51">
        <v>26</v>
      </c>
      <c r="CW57" s="51"/>
      <c r="CX57" s="51"/>
      <c r="CY57" s="51">
        <v>26</v>
      </c>
      <c r="CZ57" s="51"/>
      <c r="DA57" s="51"/>
      <c r="DB57" s="51">
        <v>26</v>
      </c>
      <c r="DC57" s="51"/>
      <c r="DD57" s="51"/>
      <c r="DE57" s="51">
        <v>26</v>
      </c>
      <c r="DF57" s="51"/>
      <c r="DG57" s="51"/>
      <c r="DH57" s="51">
        <v>50</v>
      </c>
      <c r="DI57" s="51"/>
    </row>
    <row r="58" spans="2:113" x14ac:dyDescent="0.25">
      <c r="B58" s="12" t="str">
        <f t="shared" si="6"/>
        <v>20K6HZ6</v>
      </c>
      <c r="C58" s="12" t="s">
        <v>160</v>
      </c>
      <c r="D58" t="e" vm="560">
        <v>#VALUE!</v>
      </c>
      <c r="E58" s="12" t="str" cm="1">
        <f t="array" aca="1" ref="E58" ca="1">_FV(Titres[[#This Row],[Action]],"Code mnémonique",TRUE)</f>
        <v>SOBO</v>
      </c>
      <c r="F58" t="str" cm="1">
        <f t="array" aca="1" ref="F58" ca="1">_FV(D58,"Change")</f>
        <v>Toronto Stock Exchange</v>
      </c>
      <c r="G58" t="str" cm="1">
        <f t="array" aca="1" ref="G58" ca="1">IFERROR(_FV(Titres[[#This Row],[Action]],"Industrie"),"")</f>
        <v>Oil &amp; Gas Related Equipment and Services</v>
      </c>
      <c r="I58" s="12" t="str" cm="1">
        <f t="array" aca="1" ref="I58" ca="1">_FV(D58,"Devise")</f>
        <v>CAD</v>
      </c>
      <c r="J58" s="28">
        <v>9</v>
      </c>
      <c r="K58" s="41">
        <v>28.01</v>
      </c>
      <c r="L58" s="41">
        <f t="shared" si="7"/>
        <v>252.09</v>
      </c>
      <c r="M58" s="41" cm="1">
        <f t="array" aca="1" ref="M58" ca="1">_FV(D58,"Prix")</f>
        <v>42.83</v>
      </c>
      <c r="N58" s="49">
        <f t="shared" ca="1" si="8"/>
        <v>385.46999999999997</v>
      </c>
      <c r="O58" s="49">
        <f ca="1">IF(Titres[[#This Row],[Devise]]="CAD",Titres[[#This Row],[Valeur au marché
($ local)]],Titres[[#This Row],[Valeur au marché
($ local)]]*Ressources!$I$3)</f>
        <v>385.46999999999997</v>
      </c>
      <c r="P58" s="49" cm="1">
        <f t="array" aca="1" ref="P58" ca="1">(Titres[[#This Row],[Prix actuel]]-_FV(Titres[[#This Row],[Action]],"Clôture précédente",TRUE))*Titres[[#This Row],[Nb d''actions]]</f>
        <v>-1.3499999999999872</v>
      </c>
      <c r="Q58" s="22">
        <f ca="1">Titres[[#This Row],[Variation du jour ($)]]/(Titres[[#This Row],[Valeur au marché
($ local)]]-Titres[[#This Row],[Variation du jour ($)]])</f>
        <v>-3.4899953466728385E-3</v>
      </c>
      <c r="R58" s="41">
        <f ca="1">Titres[[#This Row],[Valeur au marché
($ local)]]-Titres[[#This Row],[Coût total]]</f>
        <v>133.37999999999997</v>
      </c>
      <c r="S58" s="22">
        <f ca="1">Titres[[#This Row],[Gain non réalisé ($)]]/Titres[[#This Row],[Coût total]]</f>
        <v>0.52909675116029975</v>
      </c>
      <c r="T58" s="50">
        <v>0.69399999999999995</v>
      </c>
      <c r="U58" s="41">
        <f>4*Titres[[#This Row],[Dividende trimestriel]]</f>
        <v>2.7759999999999998</v>
      </c>
      <c r="V58" s="41">
        <f>Titres[[#This Row],[Dividende annuel]]*Titres[[#This Row],[Nb d''actions]]</f>
        <v>24.983999999999998</v>
      </c>
      <c r="W58" s="25">
        <f ca="1">Titres[[#This Row],[Dividende annuel]]/Titres[[#This Row],[Prix actuel]]</f>
        <v>6.4814382442213395E-2</v>
      </c>
      <c r="X58" s="49">
        <f>Titres[[#This Row],[Dividende annuel]]/Titres[[#This Row],[Coût moyen]]</f>
        <v>9.9107461620849685E-2</v>
      </c>
      <c r="Z58" s="40">
        <f ca="1">(((Titres[[#This Row],[Valeur au marché
($ local)]]-Titres[[#This Row],[Coût total]])+Titres[[#This Row],[Total - dividendes reçus]])/Titres[[#This Row],[Coût total]])</f>
        <v>0.61525645602760903</v>
      </c>
      <c r="AA58" s="38">
        <f>SUM(Titres[[#This Row],[Janvier 2019]:[Août 2024]])</f>
        <v>21.72</v>
      </c>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51"/>
      <c r="BA58" s="51"/>
      <c r="CA58" s="51"/>
      <c r="CB58" s="51"/>
      <c r="CC58" s="51"/>
      <c r="CD58" s="51"/>
      <c r="CE58" s="51">
        <f>25.55-3.83</f>
        <v>21.72</v>
      </c>
      <c r="CF58" s="51"/>
      <c r="CG58" s="51"/>
      <c r="CH58" s="51"/>
      <c r="CI58" s="51"/>
      <c r="CJ58" s="51"/>
      <c r="CK58" s="51"/>
      <c r="CL58" s="51"/>
      <c r="CM58" s="51"/>
      <c r="CN58" s="51"/>
      <c r="CO58" s="51"/>
      <c r="CP58" s="51"/>
      <c r="CQ58" s="51"/>
      <c r="CR58" s="51"/>
      <c r="CS58" s="51"/>
      <c r="CT58" s="51"/>
      <c r="CU58" s="51"/>
      <c r="CV58" s="51"/>
      <c r="CW58" s="51"/>
      <c r="CX58" s="51"/>
      <c r="CY58" s="51">
        <v>6.47</v>
      </c>
      <c r="CZ58" s="51"/>
      <c r="DA58" s="51"/>
      <c r="DB58" s="51">
        <v>6.14</v>
      </c>
      <c r="DC58" s="51"/>
      <c r="DD58" s="51"/>
      <c r="DE58" s="51">
        <v>6.26</v>
      </c>
      <c r="DF58" s="51"/>
      <c r="DG58" s="51"/>
      <c r="DH58" s="51">
        <v>6.17</v>
      </c>
      <c r="DI58" s="51"/>
    </row>
    <row r="59" spans="2:113" x14ac:dyDescent="0.25">
      <c r="B59" s="12" t="str">
        <f t="shared" si="6"/>
        <v>20K6HZ6</v>
      </c>
      <c r="C59" s="12" t="s">
        <v>160</v>
      </c>
      <c r="D59" t="e" vm="561">
        <v>#VALUE!</v>
      </c>
      <c r="E59" s="12" t="str" cm="1">
        <f t="array" aca="1" ref="E59" ca="1">_FV(Titres[[#This Row],[Action]],"Code mnémonique",TRUE)</f>
        <v>SLF</v>
      </c>
      <c r="F59" t="str" cm="1">
        <f t="array" aca="1" ref="F59" ca="1">_FV(D59,"Change")</f>
        <v>Toronto Stock Exchange</v>
      </c>
      <c r="G59" t="str" cm="1">
        <f t="array" aca="1" ref="G59" ca="1">IFERROR(_FV(Titres[[#This Row],[Action]],"Industrie"),"")</f>
        <v>Insurance</v>
      </c>
      <c r="H59" t="s">
        <v>205</v>
      </c>
      <c r="I59" s="12" t="str" cm="1">
        <f t="array" aca="1" ref="I59" ca="1">_FV(D59,"Devise")</f>
        <v>CAD</v>
      </c>
      <c r="J59" s="28">
        <v>54</v>
      </c>
      <c r="K59" s="41">
        <v>47.01</v>
      </c>
      <c r="L59" s="41">
        <f t="shared" si="7"/>
        <v>2538.54</v>
      </c>
      <c r="M59" s="41" cm="1">
        <f t="array" aca="1" ref="M59" ca="1">_FV(D59,"Prix")</f>
        <v>96.19</v>
      </c>
      <c r="N59" s="49">
        <f t="shared" ca="1" si="8"/>
        <v>5194.26</v>
      </c>
      <c r="O59" s="49">
        <f ca="1">IF(Titres[[#This Row],[Devise]]="CAD",Titres[[#This Row],[Valeur au marché
($ local)]],Titres[[#This Row],[Valeur au marché
($ local)]]*Ressources!$I$3)</f>
        <v>5194.26</v>
      </c>
      <c r="P59" s="49" cm="1">
        <f t="array" aca="1" ref="P59" ca="1">(Titres[[#This Row],[Prix actuel]]-_FV(Titres[[#This Row],[Action]],"Clôture précédente",TRUE))*Titres[[#This Row],[Nb d''actions]]</f>
        <v>5.9399999999999693</v>
      </c>
      <c r="Q59" s="22">
        <f ca="1">Titres[[#This Row],[Variation du jour ($)]]/(Titres[[#This Row],[Valeur au marché
($ local)]]-Titres[[#This Row],[Variation du jour ($)]])</f>
        <v>1.1448792672772629E-3</v>
      </c>
      <c r="R59" s="41">
        <f ca="1">Titres[[#This Row],[Valeur au marché
($ local)]]-Titres[[#This Row],[Coût total]]</f>
        <v>2655.7200000000003</v>
      </c>
      <c r="S59" s="22">
        <f ca="1">Titres[[#This Row],[Gain non réalisé ($)]]/Titres[[#This Row],[Coût total]]</f>
        <v>1.046160391406084</v>
      </c>
      <c r="T59" s="50">
        <v>0.92</v>
      </c>
      <c r="U59" s="41">
        <f>4*Titres[[#This Row],[Dividende trimestriel]]</f>
        <v>3.68</v>
      </c>
      <c r="V59" s="41">
        <f>Titres[[#This Row],[Dividende annuel]]*Titres[[#This Row],[Nb d''actions]]</f>
        <v>198.72</v>
      </c>
      <c r="W59" s="25">
        <f ca="1">Titres[[#This Row],[Dividende annuel]]/Titres[[#This Row],[Prix actuel]]</f>
        <v>3.8257615136708598E-2</v>
      </c>
      <c r="X59" s="49">
        <f>Titres[[#This Row],[Dividende annuel]]/Titres[[#This Row],[Coût moyen]]</f>
        <v>7.8281216762390984E-2</v>
      </c>
      <c r="Y59" s="12">
        <v>8</v>
      </c>
      <c r="Z59" s="40">
        <f ca="1">(((Titres[[#This Row],[Valeur au marché
($ local)]]-Titres[[#This Row],[Coût total]])+Titres[[#This Row],[Total - dividendes reçus]])/Titres[[#This Row],[Coût total]])</f>
        <v>1.3278025951925123</v>
      </c>
      <c r="AA59" s="38">
        <f>SUM(Titres[[#This Row],[Janvier 2019]:[Août 2024]])</f>
        <v>714.95999999999992</v>
      </c>
      <c r="AB59" s="38"/>
      <c r="AC59" s="38"/>
      <c r="AD59" s="38">
        <v>27</v>
      </c>
      <c r="AE59" s="38"/>
      <c r="AF59" s="38"/>
      <c r="AG59" s="38">
        <v>28.35</v>
      </c>
      <c r="AH59" s="38"/>
      <c r="AI59" s="38"/>
      <c r="AJ59" s="38">
        <v>28.35</v>
      </c>
      <c r="AK59" s="38"/>
      <c r="AL59" s="38"/>
      <c r="AM59" s="38">
        <v>29.7</v>
      </c>
      <c r="AN59" s="38"/>
      <c r="AO59" s="38"/>
      <c r="AP59" s="38">
        <v>29.7</v>
      </c>
      <c r="AQ59" s="38"/>
      <c r="AR59" s="38"/>
      <c r="AS59" s="38">
        <v>29.7</v>
      </c>
      <c r="AT59" s="38"/>
      <c r="AU59" s="38"/>
      <c r="AV59" s="38">
        <v>29.7</v>
      </c>
      <c r="AW59" s="38"/>
      <c r="AX59" s="38"/>
      <c r="AY59" s="38">
        <v>29.7</v>
      </c>
      <c r="AZ59" s="51"/>
      <c r="BA59" s="51"/>
      <c r="BB59" s="51">
        <v>29.7</v>
      </c>
      <c r="BE59" s="51">
        <v>29.7</v>
      </c>
      <c r="BH59" s="51">
        <v>29.7</v>
      </c>
      <c r="BK59" s="51">
        <v>35.64</v>
      </c>
      <c r="BN59" s="51">
        <v>35.64</v>
      </c>
      <c r="BQ59" s="51">
        <v>37.26</v>
      </c>
      <c r="BT59" s="51">
        <v>37.26</v>
      </c>
      <c r="BW59" s="51">
        <v>38.880000000000003</v>
      </c>
      <c r="CA59" s="51"/>
      <c r="CB59" s="51"/>
      <c r="CC59" s="51">
        <v>40.5</v>
      </c>
      <c r="CD59" s="51"/>
      <c r="CE59" s="51"/>
      <c r="CF59" s="51">
        <v>40.5</v>
      </c>
      <c r="CG59" s="51"/>
      <c r="CH59" s="51"/>
      <c r="CI59" s="51">
        <v>42.12</v>
      </c>
      <c r="CJ59" s="51"/>
      <c r="CK59" s="51"/>
      <c r="CL59" s="51">
        <v>42.12</v>
      </c>
      <c r="CM59" s="51"/>
      <c r="CN59" s="51"/>
      <c r="CO59" s="51"/>
      <c r="CP59" s="51">
        <v>43.74</v>
      </c>
      <c r="CQ59" s="51"/>
      <c r="CR59" s="51">
        <v>43.74</v>
      </c>
      <c r="CS59" s="51"/>
      <c r="CT59" s="51"/>
      <c r="CU59" s="51">
        <v>45.36</v>
      </c>
      <c r="CV59" s="51"/>
      <c r="CW59" s="51"/>
      <c r="CX59" s="51">
        <v>45.36</v>
      </c>
      <c r="CY59" s="51"/>
      <c r="CZ59" s="51"/>
      <c r="DA59" s="51">
        <v>47.52</v>
      </c>
      <c r="DB59" s="51"/>
      <c r="DC59" s="51"/>
      <c r="DD59" s="51">
        <v>47.52</v>
      </c>
      <c r="DE59" s="51"/>
      <c r="DF59" s="51"/>
      <c r="DG59" s="51">
        <v>49.68</v>
      </c>
      <c r="DH59" s="51"/>
      <c r="DI59" s="51"/>
    </row>
    <row r="60" spans="2:113" x14ac:dyDescent="0.25">
      <c r="B60" s="12" t="str">
        <f t="shared" si="6"/>
        <v>20K6HU7</v>
      </c>
      <c r="C60" s="12" t="s">
        <v>162</v>
      </c>
      <c r="D60" t="e" vm="562">
        <v>#VALUE!</v>
      </c>
      <c r="E60" s="12" t="str" cm="1">
        <f t="array" aca="1" ref="E60" ca="1">_FV(Titres[[#This Row],[Action]],"Code mnémonique",TRUE)</f>
        <v>KO</v>
      </c>
      <c r="F60" t="str" cm="1">
        <f t="array" aca="1" ref="F60" ca="1">_FV(D60,"Change")</f>
        <v>New York Stock Exchange</v>
      </c>
      <c r="G60" t="str" cm="1">
        <f t="array" aca="1" ref="G60" ca="1">IFERROR(_FV(Titres[[#This Row],[Action]],"Industrie"),"")</f>
        <v>Beverages</v>
      </c>
      <c r="H60" t="s">
        <v>206</v>
      </c>
      <c r="I60" s="12" t="str" cm="1">
        <f t="array" aca="1" ref="I60" ca="1">_FV(D60,"Devise")</f>
        <v>USD</v>
      </c>
      <c r="J60" s="28">
        <v>35</v>
      </c>
      <c r="K60" s="41">
        <v>42.27</v>
      </c>
      <c r="L60" s="41">
        <f t="shared" si="7"/>
        <v>1479.45</v>
      </c>
      <c r="M60" s="41" cm="1">
        <f t="array" aca="1" ref="M60" ca="1">_FV(D60,"Prix")</f>
        <v>74.709999999999994</v>
      </c>
      <c r="N60" s="49">
        <f t="shared" ca="1" si="8"/>
        <v>2614.85</v>
      </c>
      <c r="O60" s="49">
        <f ca="1">IF(Titres[[#This Row],[Devise]]="CAD",Titres[[#This Row],[Valeur au marché
($ local)]],Titres[[#This Row],[Valeur au marché
($ local)]]*Ressources!$I$3)</f>
        <v>3571.8851</v>
      </c>
      <c r="P60" s="49" cm="1">
        <f t="array" aca="1" ref="P60" ca="1">(Titres[[#This Row],[Prix actuel]]-_FV(Titres[[#This Row],[Action]],"Clôture précédente",TRUE))*Titres[[#This Row],[Nb d''actions]]</f>
        <v>-26.950000000000358</v>
      </c>
      <c r="Q60" s="22">
        <f ca="1">Titres[[#This Row],[Variation du jour ($)]]/(Titres[[#This Row],[Valeur au marché
($ local)]]-Titres[[#This Row],[Variation du jour ($)]])</f>
        <v>-1.0201377848436806E-2</v>
      </c>
      <c r="R60" s="41">
        <f ca="1">Titres[[#This Row],[Valeur au marché
($ local)]]-Titres[[#This Row],[Coût total]]</f>
        <v>1135.3999999999999</v>
      </c>
      <c r="S60" s="22">
        <f ca="1">Titres[[#This Row],[Gain non réalisé ($)]]/Titres[[#This Row],[Coût total]]</f>
        <v>0.76744736219541032</v>
      </c>
      <c r="T60" s="50">
        <v>0.51</v>
      </c>
      <c r="U60" s="41">
        <f>4*Titres[[#This Row],[Dividende trimestriel]]</f>
        <v>2.04</v>
      </c>
      <c r="V60" s="41">
        <f>Titres[[#This Row],[Dividende annuel]]*Titres[[#This Row],[Nb d''actions]]</f>
        <v>71.400000000000006</v>
      </c>
      <c r="W60" s="25">
        <f ca="1">Titres[[#This Row],[Dividende annuel]]/Titres[[#This Row],[Prix actuel]]</f>
        <v>2.7305581582117523E-2</v>
      </c>
      <c r="X60" s="49">
        <f>Titres[[#This Row],[Dividende annuel]]/Titres[[#This Row],[Coût moyen]]</f>
        <v>4.8261178140525191E-2</v>
      </c>
      <c r="Y60" s="12">
        <v>60</v>
      </c>
      <c r="Z60" s="40">
        <f ca="1">(((Titres[[#This Row],[Valeur au marché
($ local)]]-Titres[[#This Row],[Coût total]])+Titres[[#This Row],[Total - dividendes reçus]])/Titres[[#This Row],[Coût total]])</f>
        <v>0.99196322957855954</v>
      </c>
      <c r="AA60" s="38">
        <f>SUM(Titres[[#This Row],[Janvier 2019]:[Août 2024]])</f>
        <v>332.16</v>
      </c>
      <c r="AB60" s="38"/>
      <c r="AC60" s="38"/>
      <c r="AD60" s="38"/>
      <c r="AE60" s="38">
        <v>14</v>
      </c>
      <c r="AF60" s="38"/>
      <c r="AG60" s="38"/>
      <c r="AH60" s="38">
        <v>14</v>
      </c>
      <c r="AI60" s="38"/>
      <c r="AJ60" s="38"/>
      <c r="AK60" s="38">
        <v>14</v>
      </c>
      <c r="AL60" s="38"/>
      <c r="AM60" s="38">
        <v>14</v>
      </c>
      <c r="AN60" s="38"/>
      <c r="AO60" s="38"/>
      <c r="AP60" s="38"/>
      <c r="AQ60" s="38">
        <v>14.35</v>
      </c>
      <c r="AR60" s="38"/>
      <c r="AS60" s="38"/>
      <c r="AT60" s="38">
        <v>14.35</v>
      </c>
      <c r="AU60" s="38"/>
      <c r="AV60" s="38"/>
      <c r="AW60" s="38">
        <v>14.35</v>
      </c>
      <c r="AX60" s="38"/>
      <c r="AY60" s="38">
        <v>14.35</v>
      </c>
      <c r="AZ60" s="51"/>
      <c r="BA60" s="51"/>
      <c r="BC60" s="51">
        <v>14.7</v>
      </c>
      <c r="BF60" s="51">
        <v>14.7</v>
      </c>
      <c r="BI60" s="51">
        <v>14.7</v>
      </c>
      <c r="BK60" s="51">
        <v>14.7</v>
      </c>
      <c r="BO60" s="51">
        <v>15.4</v>
      </c>
      <c r="BR60" s="51">
        <v>15.4</v>
      </c>
      <c r="BU60" s="51">
        <v>15.4</v>
      </c>
      <c r="BW60" s="51">
        <v>15.4</v>
      </c>
      <c r="CA60" s="51">
        <v>16.100000000000001</v>
      </c>
      <c r="CB60" s="51"/>
      <c r="CC60" s="51"/>
      <c r="CD60" s="51">
        <v>16.100000000000001</v>
      </c>
      <c r="CE60" s="51"/>
      <c r="CF60" s="51"/>
      <c r="CG60" s="51">
        <v>16.100000000000001</v>
      </c>
      <c r="CH60" s="51"/>
      <c r="CI60" s="51">
        <v>16.100000000000001</v>
      </c>
      <c r="CJ60" s="51"/>
      <c r="CK60" s="51"/>
      <c r="CL60" s="51"/>
      <c r="CM60" s="51">
        <v>16.98</v>
      </c>
      <c r="CN60" s="51"/>
      <c r="CO60" s="51"/>
      <c r="CP60" s="51">
        <v>16.98</v>
      </c>
      <c r="CQ60" s="51"/>
      <c r="CR60" s="51"/>
      <c r="CS60" s="51">
        <v>16.98</v>
      </c>
      <c r="CT60" s="51"/>
      <c r="CU60" s="51">
        <v>16.98</v>
      </c>
      <c r="CV60" s="51"/>
      <c r="CW60" s="51"/>
      <c r="CX60" s="51"/>
      <c r="CY60" s="51">
        <v>17.850000000000001</v>
      </c>
      <c r="CZ60" s="51"/>
      <c r="DA60" s="51"/>
      <c r="DB60" s="51">
        <v>17.850000000000001</v>
      </c>
      <c r="DC60" s="51"/>
      <c r="DD60" s="51"/>
      <c r="DE60" s="51">
        <v>17.850000000000001</v>
      </c>
      <c r="DF60" s="51"/>
      <c r="DG60" s="51">
        <v>17.850000000000001</v>
      </c>
      <c r="DH60" s="51"/>
      <c r="DI60" s="51"/>
    </row>
    <row r="61" spans="2:113" x14ac:dyDescent="0.25">
      <c r="B61" s="12" t="str">
        <f t="shared" si="6"/>
        <v>20K6HU7</v>
      </c>
      <c r="C61" s="12" t="s">
        <v>162</v>
      </c>
      <c r="D61" t="e" vm="563">
        <v>#VALUE!</v>
      </c>
      <c r="E61" s="12" t="str" cm="1">
        <f t="array" aca="1" ref="E61" ca="1">_FV(Titres[[#This Row],[Action]],"Code mnémonique",TRUE)</f>
        <v>KHC</v>
      </c>
      <c r="F61" t="str" cm="1">
        <f t="array" aca="1" ref="F61" ca="1">_FV(D61,"Change")</f>
        <v>Nasdaq Stock Market</v>
      </c>
      <c r="G61" t="str" cm="1">
        <f t="array" aca="1" ref="G61" ca="1">IFERROR(_FV(Titres[[#This Row],[Action]],"Industrie"),"")</f>
        <v>Food &amp; Tobacco</v>
      </c>
      <c r="H61" t="s">
        <v>206</v>
      </c>
      <c r="I61" s="12" t="str" cm="1">
        <f t="array" aca="1" ref="I61" ca="1">_FV(D61,"Devise")</f>
        <v>USD</v>
      </c>
      <c r="J61" s="28">
        <v>90</v>
      </c>
      <c r="K61" s="41">
        <v>32.909999999999997</v>
      </c>
      <c r="L61" s="41">
        <f t="shared" si="7"/>
        <v>2961.8999999999996</v>
      </c>
      <c r="M61" s="41" cm="1">
        <f t="array" aca="1" ref="M61" ca="1">_FV(D61,"Prix")</f>
        <v>21.98</v>
      </c>
      <c r="N61" s="49">
        <f t="shared" ca="1" si="8"/>
        <v>1978.2</v>
      </c>
      <c r="O61" s="49">
        <f ca="1">IF(Titres[[#This Row],[Devise]]="CAD",Titres[[#This Row],[Valeur au marché
($ local)]],Titres[[#This Row],[Valeur au marché
($ local)]]*Ressources!$I$3)</f>
        <v>2702.2212000000004</v>
      </c>
      <c r="P61" s="49" cm="1">
        <f t="array" aca="1" ref="P61" ca="1">(Titres[[#This Row],[Prix actuel]]-_FV(Titres[[#This Row],[Action]],"Clôture précédente",TRUE))*Titres[[#This Row],[Nb d''actions]]</f>
        <v>-20.700000000000038</v>
      </c>
      <c r="Q61" s="22">
        <f ca="1">Titres[[#This Row],[Variation du jour ($)]]/(Titres[[#This Row],[Valeur au marché
($ local)]]-Titres[[#This Row],[Variation du jour ($)]])</f>
        <v>-1.0355695632597948E-2</v>
      </c>
      <c r="R61" s="41">
        <f ca="1">Titres[[#This Row],[Valeur au marché
($ local)]]-Titres[[#This Row],[Coût total]]</f>
        <v>-983.69999999999959</v>
      </c>
      <c r="S61" s="22">
        <f ca="1">Titres[[#This Row],[Gain non réalisé ($)]]/Titres[[#This Row],[Coût total]]</f>
        <v>-0.33211789729565472</v>
      </c>
      <c r="T61" s="50">
        <v>0.4</v>
      </c>
      <c r="U61" s="41">
        <f>4*Titres[[#This Row],[Dividende trimestriel]]</f>
        <v>1.6</v>
      </c>
      <c r="V61" s="41">
        <f>Titres[[#This Row],[Dividende annuel]]*Titres[[#This Row],[Nb d''actions]]</f>
        <v>144</v>
      </c>
      <c r="W61" s="25">
        <f ca="1">Titres[[#This Row],[Dividende annuel]]/Titres[[#This Row],[Prix actuel]]</f>
        <v>7.2793448589626941E-2</v>
      </c>
      <c r="X61" s="49">
        <f>Titres[[#This Row],[Dividende annuel]]/Titres[[#This Row],[Coût moyen]]</f>
        <v>4.8617441507140695E-2</v>
      </c>
      <c r="Y61" s="12">
        <v>0</v>
      </c>
      <c r="Z61" s="40">
        <f ca="1">(((Titres[[#This Row],[Valeur au marché
($ local)]]-Titres[[#This Row],[Coût total]])+Titres[[#This Row],[Total - dividendes reçus]])/Titres[[#This Row],[Coût total]])</f>
        <v>-8.9030689759951251E-2</v>
      </c>
      <c r="AA61" s="38">
        <f>SUM(Titres[[#This Row],[Janvier 2019]:[Août 2024]])</f>
        <v>720</v>
      </c>
      <c r="AB61" s="38"/>
      <c r="AC61" s="38"/>
      <c r="AD61" s="38"/>
      <c r="AE61" s="38"/>
      <c r="AF61" s="38"/>
      <c r="AG61" s="38">
        <v>36</v>
      </c>
      <c r="AH61" s="38"/>
      <c r="AI61" s="38"/>
      <c r="AJ61" s="38">
        <v>36</v>
      </c>
      <c r="AK61" s="38"/>
      <c r="AL61" s="38"/>
      <c r="AM61" s="38">
        <v>36</v>
      </c>
      <c r="AN61" s="38"/>
      <c r="AO61" s="38"/>
      <c r="AP61" s="38">
        <v>36</v>
      </c>
      <c r="AQ61" s="38"/>
      <c r="AR61" s="38"/>
      <c r="AS61" s="38">
        <v>36</v>
      </c>
      <c r="AT61" s="38"/>
      <c r="AU61" s="38"/>
      <c r="AV61" s="38">
        <v>36</v>
      </c>
      <c r="AW61" s="38"/>
      <c r="AX61" s="38"/>
      <c r="AY61" s="38">
        <v>36</v>
      </c>
      <c r="AZ61" s="51"/>
      <c r="BA61" s="51"/>
      <c r="BB61" s="51">
        <v>36</v>
      </c>
      <c r="BE61" s="51">
        <v>36</v>
      </c>
      <c r="BH61" s="51">
        <v>36</v>
      </c>
      <c r="BK61" s="51">
        <v>36</v>
      </c>
      <c r="BN61" s="51">
        <v>36</v>
      </c>
      <c r="BQ61" s="51">
        <v>36</v>
      </c>
      <c r="BT61" s="51">
        <v>36</v>
      </c>
      <c r="BW61" s="51">
        <v>36</v>
      </c>
      <c r="CA61" s="51"/>
      <c r="CB61" s="51"/>
      <c r="CC61" s="51">
        <v>36</v>
      </c>
      <c r="CD61" s="51"/>
      <c r="CE61" s="51"/>
      <c r="CF61" s="51">
        <v>36</v>
      </c>
      <c r="CG61" s="51"/>
      <c r="CH61" s="51"/>
      <c r="CI61" s="51">
        <v>36</v>
      </c>
      <c r="CJ61" s="51"/>
      <c r="CK61" s="51"/>
      <c r="CL61" s="51">
        <v>36</v>
      </c>
      <c r="CM61" s="51"/>
      <c r="CN61" s="51"/>
      <c r="CO61" s="51"/>
      <c r="CP61" s="51">
        <v>36</v>
      </c>
      <c r="CQ61" s="51"/>
      <c r="CR61" s="51">
        <v>36</v>
      </c>
      <c r="CS61" s="51"/>
      <c r="CT61" s="51"/>
      <c r="CU61" s="51">
        <v>36</v>
      </c>
      <c r="CV61" s="51"/>
      <c r="CW61" s="51"/>
      <c r="CX61" s="51">
        <v>36</v>
      </c>
      <c r="CY61" s="51"/>
      <c r="CZ61" s="51"/>
      <c r="DA61" s="51">
        <v>36</v>
      </c>
      <c r="DB61" s="51"/>
      <c r="DC61" s="51"/>
      <c r="DD61" s="51">
        <v>36</v>
      </c>
      <c r="DE61" s="51"/>
      <c r="DF61" s="51"/>
      <c r="DG61" s="51">
        <v>36</v>
      </c>
      <c r="DH61" s="51"/>
      <c r="DI61" s="51"/>
    </row>
    <row r="62" spans="2:113" x14ac:dyDescent="0.25">
      <c r="B62" s="12" t="str">
        <f t="shared" si="6"/>
        <v>20K6HZ6</v>
      </c>
      <c r="C62" s="12" t="s">
        <v>160</v>
      </c>
      <c r="D62" t="e" vm="1">
        <v>#VALUE!</v>
      </c>
      <c r="E62" s="12" t="str" cm="1">
        <f t="array" aca="1" ref="E62" ca="1">_FV(Titres[[#This Row],[Action]],"Code mnémonique",TRUE)</f>
        <v>SU</v>
      </c>
      <c r="F62" t="str" cm="1">
        <f t="array" aca="1" ref="F62" ca="1">_FV(D62,"Change")</f>
        <v>Toronto Stock Exchange</v>
      </c>
      <c r="G62" t="str" cm="1">
        <f t="array" aca="1" ref="G62" ca="1">IFERROR(_FV(Titres[[#This Row],[Action]],"Industrie"),"")</f>
        <v>Oil &amp; Gas</v>
      </c>
      <c r="H62" t="s">
        <v>205</v>
      </c>
      <c r="I62" s="12" t="str" cm="1">
        <f t="array" aca="1" ref="I62" ca="1">_FV(D62,"Devise")</f>
        <v>CAD</v>
      </c>
      <c r="J62" s="28">
        <v>237</v>
      </c>
      <c r="K62" s="41">
        <v>22.78</v>
      </c>
      <c r="L62" s="41">
        <f t="shared" si="7"/>
        <v>5398.8600000000006</v>
      </c>
      <c r="M62" s="41" cm="1">
        <f t="array" aca="1" ref="M62" ca="1">_FV(D62,"Prix")</f>
        <v>85.73</v>
      </c>
      <c r="N62" s="49">
        <f t="shared" ca="1" si="8"/>
        <v>20318.010000000002</v>
      </c>
      <c r="O62" s="49">
        <f ca="1">IF(Titres[[#This Row],[Devise]]="CAD",Titres[[#This Row],[Valeur au marché
($ local)]],Titres[[#This Row],[Valeur au marché
($ local)]]*Ressources!$I$3)</f>
        <v>20318.010000000002</v>
      </c>
      <c r="P62" s="49" cm="1">
        <f t="array" aca="1" ref="P62" ca="1">(Titres[[#This Row],[Prix actuel]]-_FV(Titres[[#This Row],[Action]],"Clôture précédente",TRUE))*Titres[[#This Row],[Nb d''actions]]</f>
        <v>383.94000000000108</v>
      </c>
      <c r="Q62" s="22">
        <f ca="1">Titres[[#This Row],[Variation du jour ($)]]/(Titres[[#This Row],[Valeur au marché
($ local)]]-Titres[[#This Row],[Variation du jour ($)]])</f>
        <v>1.926049221257882E-2</v>
      </c>
      <c r="R62" s="41">
        <f ca="1">Titres[[#This Row],[Valeur au marché
($ local)]]-Titres[[#This Row],[Coût total]]</f>
        <v>14919.150000000001</v>
      </c>
      <c r="S62" s="22">
        <f ca="1">Titres[[#This Row],[Gain non réalisé ($)]]/Titres[[#This Row],[Coût total]]</f>
        <v>2.7633889376646179</v>
      </c>
      <c r="T62" s="50">
        <v>0.6</v>
      </c>
      <c r="U62" s="41">
        <f>4*Titres[[#This Row],[Dividende trimestriel]]</f>
        <v>2.4</v>
      </c>
      <c r="V62" s="41">
        <f>Titres[[#This Row],[Dividende annuel]]*Titres[[#This Row],[Nb d''actions]]</f>
        <v>568.79999999999995</v>
      </c>
      <c r="W62" s="25">
        <f ca="1">Titres[[#This Row],[Dividende annuel]]/Titres[[#This Row],[Prix actuel]]</f>
        <v>2.7994867607605271E-2</v>
      </c>
      <c r="X62" s="49">
        <f>Titres[[#This Row],[Dividende annuel]]/Titres[[#This Row],[Coût moyen]]</f>
        <v>0.10535557506584722</v>
      </c>
      <c r="Y62" s="12">
        <v>1</v>
      </c>
      <c r="Z62" s="40">
        <f ca="1">(((Titres[[#This Row],[Valeur au marché
($ local)]]-Titres[[#This Row],[Coût total]])+Titres[[#This Row],[Total - dividendes reçus]])/Titres[[#This Row],[Coût total]])</f>
        <v>3.0941606190936608</v>
      </c>
      <c r="AA62" s="38">
        <f>SUM(Titres[[#This Row],[Janvier 2019]:[Août 2024]])</f>
        <v>1785.7900000000002</v>
      </c>
      <c r="AB62" s="38"/>
      <c r="AC62" s="38"/>
      <c r="AD62" s="38">
        <v>36.54</v>
      </c>
      <c r="AE62" s="38"/>
      <c r="AF62" s="38"/>
      <c r="AG62" s="38">
        <v>36.54</v>
      </c>
      <c r="AH62" s="38"/>
      <c r="AI62" s="38"/>
      <c r="AJ62" s="38">
        <v>36.54</v>
      </c>
      <c r="AK62" s="38"/>
      <c r="AL62" s="38"/>
      <c r="AM62" s="38">
        <v>36.54</v>
      </c>
      <c r="AN62" s="38"/>
      <c r="AO62" s="38"/>
      <c r="AP62" s="38">
        <v>40.46</v>
      </c>
      <c r="AQ62" s="38"/>
      <c r="AR62" s="38"/>
      <c r="AS62" s="38">
        <v>49.77</v>
      </c>
      <c r="AT62" s="38"/>
      <c r="AU62" s="38"/>
      <c r="AV62" s="38">
        <v>49.77</v>
      </c>
      <c r="AW62" s="38"/>
      <c r="AX62" s="38"/>
      <c r="AY62" s="38">
        <v>49.77</v>
      </c>
      <c r="AZ62" s="51"/>
      <c r="BA62" s="51"/>
      <c r="BB62" s="51">
        <v>49.77</v>
      </c>
      <c r="BE62" s="51">
        <v>49.77</v>
      </c>
      <c r="BH62" s="51">
        <v>47.99</v>
      </c>
      <c r="BK62" s="51">
        <v>99.54</v>
      </c>
      <c r="BN62" s="51">
        <v>99.54</v>
      </c>
      <c r="BQ62" s="51">
        <v>111.39</v>
      </c>
      <c r="BT62" s="51">
        <v>111.39</v>
      </c>
      <c r="BW62" s="51">
        <v>123.24</v>
      </c>
      <c r="BZ62" s="51">
        <v>123.24</v>
      </c>
      <c r="CA62" s="51"/>
      <c r="CB62" s="51"/>
      <c r="CC62" s="51">
        <v>123.24</v>
      </c>
      <c r="CD62" s="51"/>
      <c r="CE62" s="51"/>
      <c r="CF62" s="51">
        <v>123.24</v>
      </c>
      <c r="CG62" s="51"/>
      <c r="CH62" s="51"/>
      <c r="CI62" s="51">
        <v>129.16999999999999</v>
      </c>
      <c r="CJ62" s="51"/>
      <c r="CK62" s="51"/>
      <c r="CL62" s="51">
        <v>129.16999999999999</v>
      </c>
      <c r="CM62" s="51"/>
      <c r="CN62" s="51"/>
      <c r="CO62" s="51">
        <v>129.16999999999999</v>
      </c>
      <c r="CP62" s="51"/>
      <c r="CQ62" s="51"/>
      <c r="CR62" s="51">
        <v>129.16999999999999</v>
      </c>
      <c r="CS62" s="51"/>
      <c r="CT62" s="51"/>
      <c r="CU62" s="51">
        <v>135.09</v>
      </c>
      <c r="CV62" s="51"/>
      <c r="CW62" s="51"/>
      <c r="CX62" s="51">
        <v>135.09</v>
      </c>
      <c r="CY62" s="51"/>
      <c r="CZ62" s="51"/>
      <c r="DA62" s="51">
        <v>135.09</v>
      </c>
      <c r="DB62" s="51"/>
      <c r="DC62" s="51"/>
      <c r="DD62" s="51">
        <v>135.09</v>
      </c>
      <c r="DE62" s="51"/>
      <c r="DF62" s="51"/>
      <c r="DG62" s="51">
        <v>142.19999999999999</v>
      </c>
      <c r="DH62" s="51"/>
      <c r="DI62" s="51"/>
    </row>
    <row r="63" spans="2:113" x14ac:dyDescent="0.25">
      <c r="B63" s="12" t="str">
        <f t="shared" si="6"/>
        <v>20K6HU7</v>
      </c>
      <c r="C63" s="12" t="s">
        <v>162</v>
      </c>
      <c r="D63" t="e" vm="564">
        <v>#VALUE!</v>
      </c>
      <c r="E63" s="12" t="str" cm="1">
        <f t="array" aca="1" ref="E63" ca="1">_FV(Titres[[#This Row],[Action]],"Code mnémonique",TRUE)</f>
        <v>PG</v>
      </c>
      <c r="F63" t="str" cm="1">
        <f t="array" aca="1" ref="F63" ca="1">_FV(D63,"Change")</f>
        <v>New York Stock Exchange</v>
      </c>
      <c r="G63" t="str" cm="1">
        <f t="array" aca="1" ref="G63" ca="1">IFERROR(_FV(Titres[[#This Row],[Action]],"Industrie"),"")</f>
        <v>Personal &amp; Household Products &amp; Services</v>
      </c>
      <c r="H63" t="s">
        <v>206</v>
      </c>
      <c r="I63" s="12" t="str" cm="1">
        <f t="array" aca="1" ref="I63" ca="1">_FV(D63,"Devise")</f>
        <v>USD</v>
      </c>
      <c r="J63" s="28">
        <v>22</v>
      </c>
      <c r="K63" s="41">
        <v>49.97</v>
      </c>
      <c r="L63" s="41">
        <f t="shared" si="7"/>
        <v>1099.3399999999999</v>
      </c>
      <c r="M63" s="41" cm="1">
        <f t="array" aca="1" ref="M63" ca="1">_FV(D63,"Prix")</f>
        <v>142.34</v>
      </c>
      <c r="N63" s="49">
        <f t="shared" ca="1" si="8"/>
        <v>3131.48</v>
      </c>
      <c r="O63" s="49">
        <f ca="1">IF(Titres[[#This Row],[Devise]]="CAD",Titres[[#This Row],[Valeur au marché
($ local)]],Titres[[#This Row],[Valeur au marché
($ local)]]*Ressources!$I$3)</f>
        <v>4277.6016800000007</v>
      </c>
      <c r="P63" s="49" cm="1">
        <f t="array" aca="1" ref="P63" ca="1">(Titres[[#This Row],[Prix actuel]]-_FV(Titres[[#This Row],[Action]],"Clôture précédente",TRUE))*Titres[[#This Row],[Nb d''actions]]</f>
        <v>-47.300000000000125</v>
      </c>
      <c r="Q63" s="22">
        <f ca="1">Titres[[#This Row],[Variation du jour ($)]]/(Titres[[#This Row],[Valeur au marché
($ local)]]-Titres[[#This Row],[Variation du jour ($)]])</f>
        <v>-1.4879922485985228E-2</v>
      </c>
      <c r="R63" s="41">
        <f ca="1">Titres[[#This Row],[Valeur au marché
($ local)]]-Titres[[#This Row],[Coût total]]</f>
        <v>2032.14</v>
      </c>
      <c r="S63" s="22">
        <f ca="1">Titres[[#This Row],[Gain non réalisé ($)]]/Titres[[#This Row],[Coût total]]</f>
        <v>1.8485091054632783</v>
      </c>
      <c r="T63" s="50">
        <v>1.0569999999999999</v>
      </c>
      <c r="U63" s="41">
        <f>4*Titres[[#This Row],[Dividende trimestriel]]</f>
        <v>4.2279999999999998</v>
      </c>
      <c r="V63" s="41">
        <f>Titres[[#This Row],[Dividende annuel]]*Titres[[#This Row],[Nb d''actions]]</f>
        <v>93.015999999999991</v>
      </c>
      <c r="W63" s="25">
        <f ca="1">Titres[[#This Row],[Dividende annuel]]/Titres[[#This Row],[Prix actuel]]</f>
        <v>2.9703526766896162E-2</v>
      </c>
      <c r="X63" s="49">
        <f>Titres[[#This Row],[Dividende annuel]]/Titres[[#This Row],[Coût moyen]]</f>
        <v>8.4610766459875919E-2</v>
      </c>
      <c r="Y63" s="12">
        <v>66</v>
      </c>
      <c r="Z63" s="40">
        <f ca="1">(((Titres[[#This Row],[Valeur au marché
($ local)]]-Titres[[#This Row],[Coût total]])+Titres[[#This Row],[Total - dividendes reçus]])/Titres[[#This Row],[Coût total]])</f>
        <v>2.2447923299434209</v>
      </c>
      <c r="AA63" s="38">
        <f>SUM(Titres[[#This Row],[Janvier 2019]:[Août 2024]])</f>
        <v>435.64999999999986</v>
      </c>
      <c r="AB63" s="38"/>
      <c r="AC63" s="38">
        <v>16.41</v>
      </c>
      <c r="AD63" s="38"/>
      <c r="AE63" s="38"/>
      <c r="AF63" s="38">
        <v>16.41</v>
      </c>
      <c r="AG63" s="38"/>
      <c r="AH63" s="38"/>
      <c r="AI63" s="38">
        <v>16.41</v>
      </c>
      <c r="AJ63" s="38"/>
      <c r="AK63" s="38"/>
      <c r="AL63" s="38">
        <v>16.41</v>
      </c>
      <c r="AM63" s="38"/>
      <c r="AN63" s="38"/>
      <c r="AO63" s="38">
        <v>16.41</v>
      </c>
      <c r="AP63" s="38"/>
      <c r="AQ63" s="38"/>
      <c r="AR63" s="38">
        <v>17.399999999999999</v>
      </c>
      <c r="AS63" s="38"/>
      <c r="AT63" s="38"/>
      <c r="AU63" s="38">
        <v>17.399999999999999</v>
      </c>
      <c r="AV63" s="38"/>
      <c r="AW63" s="38"/>
      <c r="AX63" s="38">
        <v>17.399999999999999</v>
      </c>
      <c r="AY63" s="38"/>
      <c r="AZ63" s="51"/>
      <c r="BA63" s="51">
        <v>17.399999999999999</v>
      </c>
      <c r="BD63" s="51">
        <v>19.14</v>
      </c>
      <c r="BG63" s="51">
        <v>19.14</v>
      </c>
      <c r="BJ63" s="51">
        <v>19.14</v>
      </c>
      <c r="BM63" s="51">
        <v>19.14</v>
      </c>
      <c r="BP63" s="51">
        <v>20.09</v>
      </c>
      <c r="BS63" s="51">
        <v>20.09</v>
      </c>
      <c r="BV63" s="51">
        <v>20.09</v>
      </c>
      <c r="BY63" s="51">
        <v>20.09</v>
      </c>
      <c r="CA63" s="51"/>
      <c r="CB63" s="51">
        <v>20.7</v>
      </c>
      <c r="CC63" s="51"/>
      <c r="CD63" s="51"/>
      <c r="CE63" s="51">
        <v>20.7</v>
      </c>
      <c r="CF63" s="51"/>
      <c r="CG63" s="51"/>
      <c r="CH63" s="51">
        <v>20.7</v>
      </c>
      <c r="CI63" s="51"/>
      <c r="CJ63" s="51"/>
      <c r="CK63" s="51">
        <v>20.7</v>
      </c>
      <c r="CL63" s="51"/>
      <c r="CM63" s="51"/>
      <c r="CN63" s="51">
        <v>22.14</v>
      </c>
      <c r="CO63" s="51"/>
      <c r="CP63" s="51"/>
      <c r="CQ63" s="51">
        <v>22.14</v>
      </c>
      <c r="CR63" s="51"/>
      <c r="CS63" s="51"/>
      <c r="CT63" s="51">
        <v>22.14</v>
      </c>
      <c r="CU63" s="51"/>
      <c r="CV63" s="51"/>
      <c r="CW63" s="51">
        <v>22.14</v>
      </c>
      <c r="CX63" s="51"/>
      <c r="CY63" s="51"/>
      <c r="CZ63" s="51">
        <v>23.25</v>
      </c>
      <c r="DA63" s="51"/>
      <c r="DB63" s="51"/>
      <c r="DC63" s="51">
        <v>23.25</v>
      </c>
      <c r="DD63" s="51"/>
      <c r="DE63" s="51"/>
      <c r="DF63" s="51">
        <v>23.25</v>
      </c>
      <c r="DG63" s="51"/>
      <c r="DH63" s="51"/>
      <c r="DI63" s="51">
        <v>23.25</v>
      </c>
    </row>
    <row r="64" spans="2:113" x14ac:dyDescent="0.25">
      <c r="B64" s="12" t="str">
        <f t="shared" si="6"/>
        <v>20K6HU7</v>
      </c>
      <c r="C64" s="12" t="s">
        <v>162</v>
      </c>
      <c r="D64" t="e" vm="565">
        <v>#VALUE!</v>
      </c>
      <c r="E64" s="12" t="str" cm="1">
        <f t="array" aca="1" ref="E64" ca="1">_FV(Titres[[#This Row],[Action]],"Code mnémonique",TRUE)</f>
        <v>TTE</v>
      </c>
      <c r="F64" t="str" cm="1">
        <f t="array" aca="1" ref="F64" ca="1">_FV(D64,"Change")</f>
        <v>New York Stock Exchange</v>
      </c>
      <c r="G64" t="str" cm="1">
        <f t="array" aca="1" ref="G64" ca="1">IFERROR(_FV(Titres[[#This Row],[Action]],"Industrie"),"")</f>
        <v>Oil &amp; Gas</v>
      </c>
      <c r="H64" t="s">
        <v>207</v>
      </c>
      <c r="I64" s="12" t="str" cm="1">
        <f t="array" aca="1" ref="I64" ca="1">_FV(D64,"Devise")</f>
        <v>USD</v>
      </c>
      <c r="J64" s="28">
        <v>135</v>
      </c>
      <c r="K64" s="41">
        <v>48.24</v>
      </c>
      <c r="L64" s="41">
        <f t="shared" si="7"/>
        <v>6512.4000000000005</v>
      </c>
      <c r="M64" s="41" cm="1">
        <f t="array" aca="1" ref="M64" ca="1">_FV(D64,"Prix")</f>
        <v>88.37</v>
      </c>
      <c r="N64" s="49">
        <f t="shared" ca="1" si="8"/>
        <v>11929.95</v>
      </c>
      <c r="O64" s="49">
        <f ca="1">IF(Titres[[#This Row],[Devise]]="CAD",Titres[[#This Row],[Valeur au marché
($ local)]],Titres[[#This Row],[Valeur au marché
($ local)]]*Ressources!$I$3)</f>
        <v>16296.311700000002</v>
      </c>
      <c r="P64" s="49" cm="1">
        <f t="array" aca="1" ref="P64" ca="1">(Titres[[#This Row],[Prix actuel]]-_FV(Titres[[#This Row],[Action]],"Clôture précédente",TRUE))*Titres[[#This Row],[Nb d''actions]]</f>
        <v>143.10000000000031</v>
      </c>
      <c r="Q64" s="22">
        <f ca="1">Titres[[#This Row],[Variation du jour ($)]]/(Titres[[#This Row],[Valeur au marché
($ local)]]-Titres[[#This Row],[Variation du jour ($)]])</f>
        <v>1.21406482648036E-2</v>
      </c>
      <c r="R64" s="41">
        <f ca="1">Titres[[#This Row],[Valeur au marché
($ local)]]-Titres[[#This Row],[Coût total]]</f>
        <v>5417.55</v>
      </c>
      <c r="S64" s="22">
        <f ca="1">Titres[[#This Row],[Gain non réalisé ($)]]/Titres[[#This Row],[Coût total]]</f>
        <v>0.83188225538971805</v>
      </c>
      <c r="T64" s="50">
        <v>0.85</v>
      </c>
      <c r="U64" s="41">
        <f>4*Titres[[#This Row],[Dividende trimestriel]]</f>
        <v>3.4</v>
      </c>
      <c r="V64" s="41">
        <f>Titres[[#This Row],[Dividende annuel]]*Titres[[#This Row],[Nb d''actions]]</f>
        <v>459</v>
      </c>
      <c r="W64" s="25">
        <f ca="1">Titres[[#This Row],[Dividende annuel]]/Titres[[#This Row],[Prix actuel]]</f>
        <v>3.8474595450944886E-2</v>
      </c>
      <c r="X64" s="49">
        <f>Titres[[#This Row],[Dividende annuel]]/Titres[[#This Row],[Coût moyen]]</f>
        <v>7.0480928689883912E-2</v>
      </c>
      <c r="Y64" s="12">
        <v>0</v>
      </c>
      <c r="Z64" s="40">
        <f ca="1">(((Titres[[#This Row],[Valeur au marché
($ local)]]-Titres[[#This Row],[Coût total]])+Titres[[#This Row],[Total - dividendes reçus]])/Titres[[#This Row],[Coût total]])</f>
        <v>1.0234107241569927</v>
      </c>
      <c r="AA64" s="38">
        <f>SUM(Titres[[#This Row],[Janvier 2019]:[Août 2024]])</f>
        <v>1247.3100000000002</v>
      </c>
      <c r="AB64" s="38">
        <v>15.45</v>
      </c>
      <c r="AC64" s="38"/>
      <c r="AD64" s="38"/>
      <c r="AE64" s="38">
        <v>14.76</v>
      </c>
      <c r="AF64" s="38"/>
      <c r="AG64" s="38"/>
      <c r="AH64" s="38">
        <v>14.86</v>
      </c>
      <c r="AI64" s="38"/>
      <c r="AJ64" s="38"/>
      <c r="AK64" s="38">
        <v>14.81</v>
      </c>
      <c r="AL64" s="38"/>
      <c r="AM64" s="38"/>
      <c r="AN64" s="38">
        <v>15.52</v>
      </c>
      <c r="AO64" s="38"/>
      <c r="AP64" s="38"/>
      <c r="AQ64" s="38">
        <v>15.83</v>
      </c>
      <c r="AR64" s="38"/>
      <c r="AS64" s="38"/>
      <c r="AT64" s="38">
        <v>16.440000000000001</v>
      </c>
      <c r="AU64" s="38"/>
      <c r="AV64" s="38"/>
      <c r="AW64" s="38">
        <v>16.350000000000001</v>
      </c>
      <c r="AX64" s="38"/>
      <c r="AY64" s="38"/>
      <c r="AZ64" s="51">
        <v>17.36</v>
      </c>
      <c r="BA64" s="51"/>
      <c r="BC64" s="51">
        <v>16.739999999999998</v>
      </c>
      <c r="BF64" s="51">
        <v>76.069999999999993</v>
      </c>
      <c r="BI64" s="51">
        <v>74.31</v>
      </c>
      <c r="BL64" s="51">
        <v>75.13</v>
      </c>
      <c r="BO64" s="51">
        <v>72.37</v>
      </c>
      <c r="BR64" s="51">
        <v>68.349999999999994</v>
      </c>
      <c r="BU64" s="51">
        <v>66.88</v>
      </c>
      <c r="BW64" s="51">
        <v>105.98</v>
      </c>
      <c r="BX64" s="51">
        <v>73.7</v>
      </c>
      <c r="CA64" s="51">
        <v>74.33</v>
      </c>
      <c r="CB64" s="51"/>
      <c r="CC64" s="51"/>
      <c r="CD64" s="51">
        <v>80.09</v>
      </c>
      <c r="CE64" s="51"/>
      <c r="CF64" s="51"/>
      <c r="CG64" s="51">
        <v>77.58</v>
      </c>
      <c r="CH64" s="51"/>
      <c r="CI64" s="51"/>
      <c r="CJ64" s="51">
        <v>80.709999999999994</v>
      </c>
      <c r="CK64" s="51"/>
      <c r="CL64" s="51"/>
      <c r="CM64" s="51">
        <v>79.239999999999995</v>
      </c>
      <c r="CN64" s="51"/>
      <c r="CO64" s="51"/>
      <c r="CP64" s="51">
        <v>84.45</v>
      </c>
      <c r="CQ64" s="51"/>
      <c r="CR64" s="51"/>
      <c r="CS64" s="51">
        <v>87.25</v>
      </c>
      <c r="CT64" s="51"/>
      <c r="CU64" s="51"/>
      <c r="CV64" s="51">
        <v>80.900000000000006</v>
      </c>
      <c r="CW64" s="51"/>
      <c r="CX64" s="51"/>
      <c r="CY64" s="51">
        <v>85.13</v>
      </c>
      <c r="CZ64" s="51"/>
      <c r="DA64" s="51"/>
      <c r="DB64" s="51">
        <v>99.82</v>
      </c>
      <c r="DC64" s="51"/>
      <c r="DD64" s="51"/>
      <c r="DE64" s="51">
        <v>99.24</v>
      </c>
      <c r="DF64" s="51"/>
      <c r="DG64" s="51"/>
      <c r="DH64" s="51">
        <v>100.01</v>
      </c>
      <c r="DI64" s="51"/>
    </row>
    <row r="65" spans="2:113" x14ac:dyDescent="0.25">
      <c r="B65" s="12" t="str">
        <f t="shared" si="6"/>
        <v>20K6HF2</v>
      </c>
      <c r="C65" s="12" t="s">
        <v>159</v>
      </c>
      <c r="D65" t="e" vm="566">
        <v>#VALUE!</v>
      </c>
      <c r="E65" s="12" t="str" cm="1">
        <f t="array" aca="1" ref="E65" ca="1">_FV(Titres[[#This Row],[Action]],"Code mnémonique",TRUE)</f>
        <v>VFC</v>
      </c>
      <c r="F65" t="str" cm="1">
        <f t="array" aca="1" ref="F65" ca="1">_FV(D65,"Change")</f>
        <v>New York Stock Exchange</v>
      </c>
      <c r="G65" t="str" cm="1">
        <f t="array" aca="1" ref="G65" ca="1">IFERROR(_FV(Titres[[#This Row],[Action]],"Industrie"),"")</f>
        <v>Textiles &amp; Apparel</v>
      </c>
      <c r="H65" t="s">
        <v>206</v>
      </c>
      <c r="I65" s="12" t="str" cm="1">
        <f t="array" aca="1" ref="I65" ca="1">_FV(D65,"Devise")</f>
        <v>USD</v>
      </c>
      <c r="J65" s="28">
        <v>0</v>
      </c>
      <c r="K65" s="41">
        <v>30.89</v>
      </c>
      <c r="L65" s="41">
        <f t="shared" si="7"/>
        <v>0</v>
      </c>
      <c r="M65" s="41" cm="1">
        <f t="array" aca="1" ref="M65" ca="1">_FV(D65,"Prix")</f>
        <v>21.47</v>
      </c>
      <c r="N65" s="49">
        <f t="shared" ca="1" si="8"/>
        <v>0</v>
      </c>
      <c r="O65" s="49">
        <f ca="1">IF(Titres[[#This Row],[Devise]]="CAD",Titres[[#This Row],[Valeur au marché
($ local)]],Titres[[#This Row],[Valeur au marché
($ local)]]*Ressources!$I$3)</f>
        <v>0</v>
      </c>
      <c r="P65" s="49" cm="1">
        <f t="array" aca="1" ref="P65" ca="1">(Titres[[#This Row],[Prix actuel]]-_FV(Titres[[#This Row],[Action]],"Clôture précédente",TRUE))*Titres[[#This Row],[Nb d''actions]]</f>
        <v>0</v>
      </c>
      <c r="Q65" s="22" t="e">
        <f ca="1">Titres[[#This Row],[Variation du jour ($)]]/(Titres[[#This Row],[Valeur au marché
($ local)]]-Titres[[#This Row],[Variation du jour ($)]])</f>
        <v>#DIV/0!</v>
      </c>
      <c r="R65" s="41">
        <f ca="1">Titres[[#This Row],[Valeur au marché
($ local)]]-Titres[[#This Row],[Coût total]]</f>
        <v>0</v>
      </c>
      <c r="S65" s="22" t="e">
        <f ca="1">Titres[[#This Row],[Gain non réalisé ($)]]/Titres[[#This Row],[Coût total]]</f>
        <v>#DIV/0!</v>
      </c>
      <c r="T65" s="50">
        <v>0.09</v>
      </c>
      <c r="U65" s="41">
        <f>4*Titres[[#This Row],[Dividende trimestriel]]</f>
        <v>0.36</v>
      </c>
      <c r="V65" s="41">
        <f>Titres[[#This Row],[Dividende annuel]]*Titres[[#This Row],[Nb d''actions]]</f>
        <v>0</v>
      </c>
      <c r="W65" s="25">
        <f ca="1">Titres[[#This Row],[Dividende annuel]]/Titres[[#This Row],[Prix actuel]]</f>
        <v>1.6767582673497903E-2</v>
      </c>
      <c r="X65" s="49">
        <f>Titres[[#This Row],[Dividende annuel]]/Titres[[#This Row],[Coût moyen]]</f>
        <v>1.1654257041113628E-2</v>
      </c>
      <c r="Y65" s="12">
        <v>49</v>
      </c>
      <c r="Z65" s="40" t="e">
        <f ca="1">(((Titres[[#This Row],[Valeur au marché
($ local)]]-Titres[[#This Row],[Coût total]])+Titres[[#This Row],[Total - dividendes reçus]])/Titres[[#This Row],[Coût total]])</f>
        <v>#DIV/0!</v>
      </c>
      <c r="AA65" s="38">
        <f>SUM(Titres[[#This Row],[Janvier 2019]:[Août 2024]])</f>
        <v>158.05000000000001</v>
      </c>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51"/>
      <c r="BA65" s="51"/>
      <c r="BZ65" s="51">
        <v>43.35</v>
      </c>
      <c r="CA65" s="51"/>
      <c r="CB65" s="51"/>
      <c r="CC65" s="51">
        <v>43.35</v>
      </c>
      <c r="CD65" s="51"/>
      <c r="CE65" s="51"/>
      <c r="CF65" s="51">
        <v>43.35</v>
      </c>
      <c r="CG65" s="51"/>
      <c r="CH65" s="51"/>
      <c r="CI65" s="51">
        <v>15</v>
      </c>
      <c r="CJ65" s="51"/>
      <c r="CK65" s="51"/>
      <c r="CL65" s="51">
        <v>13</v>
      </c>
      <c r="CM65" s="51"/>
      <c r="CN65" s="51"/>
      <c r="CO65" s="51"/>
      <c r="CP65" s="51"/>
      <c r="CQ65" s="51"/>
      <c r="CR65" s="51"/>
      <c r="CS65" s="51"/>
      <c r="CT65" s="51"/>
      <c r="CU65" s="51"/>
      <c r="CV65" s="51"/>
      <c r="CW65" s="51"/>
      <c r="CX65" s="51"/>
      <c r="CY65" s="51"/>
      <c r="CZ65" s="51"/>
      <c r="DA65" s="51"/>
      <c r="DB65" s="51"/>
      <c r="DC65" s="51"/>
      <c r="DD65" s="51"/>
      <c r="DE65" s="51"/>
      <c r="DF65" s="51"/>
      <c r="DG65" s="51"/>
      <c r="DH65" s="51"/>
      <c r="DI65" s="51"/>
    </row>
    <row r="66" spans="2:113" x14ac:dyDescent="0.25">
      <c r="B66" s="12" t="str">
        <f t="shared" si="6"/>
        <v>20K6HE4</v>
      </c>
      <c r="C66" s="12" t="s">
        <v>158</v>
      </c>
      <c r="D66" t="e" vm="2">
        <v>#VALUE!</v>
      </c>
      <c r="E66" s="12" t="str" cm="1">
        <f t="array" aca="1" ref="E66" ca="1">_FV(Titres[[#This Row],[Action]],"Code mnémonique",TRUE)</f>
        <v>VCE</v>
      </c>
      <c r="F66" t="str" cm="1">
        <f t="array" aca="1" ref="F66" ca="1">_FV(D66,"Change")</f>
        <v>Toronto Stock Exchange</v>
      </c>
      <c r="G66" t="str" cm="1">
        <f t="array" ref="G66">IFERROR(_FV(Titres[[#This Row],[Action]],"Industrie"),"")</f>
        <v/>
      </c>
      <c r="H66" t="s">
        <v>205</v>
      </c>
      <c r="I66" s="12" t="str" cm="1">
        <f t="array" aca="1" ref="I66" ca="1">_FV(D66,"Devise")</f>
        <v>CAD</v>
      </c>
      <c r="J66" s="28">
        <v>1900</v>
      </c>
      <c r="K66" s="41">
        <v>46.31</v>
      </c>
      <c r="L66" s="41">
        <f t="shared" si="7"/>
        <v>87989</v>
      </c>
      <c r="M66" s="41" cm="1">
        <f t="array" aca="1" ref="M66" ca="1">_FV(D66,"Prix")</f>
        <v>72.430000000000007</v>
      </c>
      <c r="N66" s="49">
        <f t="shared" ca="1" si="8"/>
        <v>137617</v>
      </c>
      <c r="O66" s="49">
        <f ca="1">IF(Titres[[#This Row],[Devise]]="CAD",Titres[[#This Row],[Valeur au marché
($ local)]],Titres[[#This Row],[Valeur au marché
($ local)]]*Ressources!$I$3)</f>
        <v>137617</v>
      </c>
      <c r="P66" s="49" cm="1">
        <f t="array" aca="1" ref="P66" ca="1">(Titres[[#This Row],[Prix actuel]]-_FV(Titres[[#This Row],[Action]],"Clôture précédente",TRUE))*Titres[[#This Row],[Nb d''actions]]</f>
        <v>-1956.9999999999752</v>
      </c>
      <c r="Q66" s="22">
        <f ca="1">Titres[[#This Row],[Variation du jour ($)]]/(Titres[[#This Row],[Valeur au marché
($ local)]]-Titres[[#This Row],[Variation du jour ($)]])</f>
        <v>-1.402123604682803E-2</v>
      </c>
      <c r="R66" s="41">
        <f ca="1">Titres[[#This Row],[Valeur au marché
($ local)]]-Titres[[#This Row],[Coût total]]</f>
        <v>49628</v>
      </c>
      <c r="S66" s="22">
        <f ca="1">Titres[[#This Row],[Gain non réalisé ($)]]/Titres[[#This Row],[Coût total]]</f>
        <v>0.56402504858561864</v>
      </c>
      <c r="T66" s="50">
        <v>0.41299999999999998</v>
      </c>
      <c r="U66" s="41">
        <f>4*Titres[[#This Row],[Dividende trimestriel]]</f>
        <v>1.6519999999999999</v>
      </c>
      <c r="V66" s="41">
        <f>Titres[[#This Row],[Dividende annuel]]*Titres[[#This Row],[Nb d''actions]]</f>
        <v>3138.7999999999997</v>
      </c>
      <c r="W66" s="25">
        <f ca="1">Titres[[#This Row],[Dividende annuel]]/Titres[[#This Row],[Prix actuel]]</f>
        <v>2.2808228634543695E-2</v>
      </c>
      <c r="X66" s="49">
        <f>Titres[[#This Row],[Dividende annuel]]/Titres[[#This Row],[Coût moyen]]</f>
        <v>3.5672640898294104E-2</v>
      </c>
      <c r="Y66" s="12">
        <v>2</v>
      </c>
      <c r="Z66" s="40">
        <f ca="1">(((Titres[[#This Row],[Valeur au marché
($ local)]]-Titres[[#This Row],[Coût total]])+Titres[[#This Row],[Total - dividendes reçus]])/Titres[[#This Row],[Coût total]])</f>
        <v>0.63224539431065241</v>
      </c>
      <c r="AA66" s="38">
        <f>SUM(Titres[[#This Row],[Janvier 2019]:[Août 2024]])</f>
        <v>6002.64</v>
      </c>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51"/>
      <c r="BA66" s="51"/>
      <c r="BC66" s="51">
        <v>107.54</v>
      </c>
      <c r="BF66" s="51">
        <v>115.81</v>
      </c>
      <c r="BI66" s="51">
        <v>183.01</v>
      </c>
      <c r="BL66" s="51">
        <v>222.87</v>
      </c>
      <c r="BO66" s="51">
        <v>306.02</v>
      </c>
      <c r="BR66" s="51">
        <v>416.12</v>
      </c>
      <c r="BU66" s="51">
        <v>519.53</v>
      </c>
      <c r="BX66" s="51">
        <v>503.82</v>
      </c>
      <c r="CA66" s="51">
        <v>554.70000000000005</v>
      </c>
      <c r="CB66" s="51"/>
      <c r="CC66" s="51"/>
      <c r="CD66" s="51">
        <v>567</v>
      </c>
      <c r="CE66" s="51"/>
      <c r="CF66" s="51"/>
      <c r="CG66" s="51">
        <v>560.14</v>
      </c>
      <c r="CH66" s="51"/>
      <c r="CI66" s="51"/>
      <c r="CJ66" s="51">
        <v>621.08000000000004</v>
      </c>
      <c r="CK66" s="51"/>
      <c r="CL66" s="51">
        <v>650.16</v>
      </c>
      <c r="CM66" s="51"/>
      <c r="CN66" s="51"/>
      <c r="CO66" s="51"/>
      <c r="CP66" s="51">
        <v>674.84</v>
      </c>
      <c r="CQ66" s="51"/>
      <c r="CR66" s="51">
        <v>648.09</v>
      </c>
      <c r="CS66" s="51"/>
      <c r="CT66" s="51"/>
      <c r="CU66" s="51"/>
      <c r="CV66" s="51">
        <v>709.93</v>
      </c>
      <c r="CW66" s="51"/>
      <c r="CX66" s="51">
        <v>699.87</v>
      </c>
      <c r="CY66" s="51"/>
      <c r="CZ66" s="51"/>
      <c r="DA66" s="51">
        <v>709.84</v>
      </c>
      <c r="DB66" s="51"/>
      <c r="DC66" s="51"/>
      <c r="DD66" s="51">
        <v>696.51</v>
      </c>
      <c r="DE66" s="51"/>
      <c r="DF66" s="51"/>
      <c r="DG66" s="51"/>
      <c r="DH66" s="51">
        <v>785.21</v>
      </c>
      <c r="DI66" s="51"/>
    </row>
    <row r="67" spans="2:113" x14ac:dyDescent="0.25">
      <c r="B67" s="12" t="str">
        <f t="shared" si="6"/>
        <v>20K6HE4</v>
      </c>
      <c r="C67" s="12" t="s">
        <v>158</v>
      </c>
      <c r="D67" t="e" vm="567">
        <v>#VALUE!</v>
      </c>
      <c r="E67" s="12" t="str" cm="1">
        <f t="array" aca="1" ref="E67" ca="1">_FV(Titres[[#This Row],[Action]],"Code mnémonique",TRUE)</f>
        <v>VFV</v>
      </c>
      <c r="F67" t="str" cm="1">
        <f t="array" aca="1" ref="F67" ca="1">_FV(D67,"Change")</f>
        <v>Toronto Stock Exchange</v>
      </c>
      <c r="G67" t="str" cm="1">
        <f t="array" ref="G67">IFERROR(_FV(Titres[[#This Row],[Action]],"Industrie"),"")</f>
        <v/>
      </c>
      <c r="H67" t="s">
        <v>206</v>
      </c>
      <c r="I67" s="12" t="str" cm="1">
        <f t="array" aca="1" ref="I67" ca="1">_FV(D67,"Devise")</f>
        <v>CAD</v>
      </c>
      <c r="J67" s="28">
        <v>350</v>
      </c>
      <c r="K67" s="41">
        <v>92.69</v>
      </c>
      <c r="L67" s="41">
        <f t="shared" si="7"/>
        <v>32441.5</v>
      </c>
      <c r="M67" s="41" cm="1">
        <f t="array" aca="1" ref="M67" ca="1">_FV(D67,"Prix")</f>
        <v>171.19</v>
      </c>
      <c r="N67" s="49">
        <f t="shared" ca="1" si="8"/>
        <v>59916.5</v>
      </c>
      <c r="O67" s="49">
        <f ca="1">IF(Titres[[#This Row],[Devise]]="CAD",Titres[[#This Row],[Valeur au marché
($ local)]],Titres[[#This Row],[Valeur au marché
($ local)]]*Ressources!$I$3)</f>
        <v>59916.5</v>
      </c>
      <c r="P67" s="49" cm="1">
        <f t="array" aca="1" ref="P67" ca="1">(Titres[[#This Row],[Prix actuel]]-_FV(Titres[[#This Row],[Action]],"Clôture précédente",TRUE))*Titres[[#This Row],[Nb d''actions]]</f>
        <v>-315.00000000000199</v>
      </c>
      <c r="Q67" s="22">
        <f ca="1">Titres[[#This Row],[Variation du jour ($)]]/(Titres[[#This Row],[Valeur au marché
($ local)]]-Titres[[#This Row],[Variation du jour ($)]])</f>
        <v>-5.2298216049741749E-3</v>
      </c>
      <c r="R67" s="41">
        <f ca="1">Titres[[#This Row],[Valeur au marché
($ local)]]-Titres[[#This Row],[Coût total]]</f>
        <v>27475</v>
      </c>
      <c r="S67" s="22">
        <f ca="1">Titres[[#This Row],[Gain non réalisé ($)]]/Titres[[#This Row],[Coût total]]</f>
        <v>0.84690905167763508</v>
      </c>
      <c r="T67" s="50">
        <v>0.39300000000000002</v>
      </c>
      <c r="U67" s="41">
        <f>4*Titres[[#This Row],[Dividende trimestriel]]</f>
        <v>1.5720000000000001</v>
      </c>
      <c r="V67" s="41">
        <f>Titres[[#This Row],[Dividende annuel]]*Titres[[#This Row],[Nb d''actions]]</f>
        <v>550.20000000000005</v>
      </c>
      <c r="W67" s="25">
        <f ca="1">Titres[[#This Row],[Dividende annuel]]/Titres[[#This Row],[Prix actuel]]</f>
        <v>9.1827793679537355E-3</v>
      </c>
      <c r="X67" s="49">
        <f>Titres[[#This Row],[Dividende annuel]]/Titres[[#This Row],[Coût moyen]]</f>
        <v>1.695975833423239E-2</v>
      </c>
      <c r="Y67" s="12">
        <v>2</v>
      </c>
      <c r="Z67" s="40">
        <f ca="1">(((Titres[[#This Row],[Valeur au marché
($ local)]]-Titres[[#This Row],[Coût total]])+Titres[[#This Row],[Total - dividendes reçus]])/Titres[[#This Row],[Coût total]])</f>
        <v>0.88483547308231736</v>
      </c>
      <c r="AA67" s="38">
        <f>SUM(Titres[[#This Row],[Janvier 2019]:[Août 2024]])</f>
        <v>1230.3899999999999</v>
      </c>
      <c r="AB67" s="38"/>
      <c r="AC67" s="38"/>
      <c r="AD67" s="38"/>
      <c r="AE67" s="38"/>
      <c r="AF67" s="38"/>
      <c r="AG67" s="38"/>
      <c r="AH67" s="38"/>
      <c r="AI67" s="38"/>
      <c r="AJ67" s="38"/>
      <c r="AK67" s="38"/>
      <c r="AL67" s="38"/>
      <c r="AM67" s="38"/>
      <c r="AN67" s="38"/>
      <c r="AO67" s="38"/>
      <c r="AP67" s="38"/>
      <c r="AQ67" s="38"/>
      <c r="AR67" s="38"/>
      <c r="AS67" s="38"/>
      <c r="AT67" s="38"/>
      <c r="AU67" s="38"/>
      <c r="AV67" s="38"/>
      <c r="AW67" s="38">
        <v>54.4</v>
      </c>
      <c r="AX67" s="38"/>
      <c r="AY67" s="38"/>
      <c r="AZ67" s="51">
        <v>51.26</v>
      </c>
      <c r="BA67" s="51"/>
      <c r="BC67" s="51">
        <v>53.8</v>
      </c>
      <c r="BF67" s="51">
        <v>51.86</v>
      </c>
      <c r="BI67" s="51">
        <v>53.34</v>
      </c>
      <c r="BL67" s="51">
        <v>67.069999999999993</v>
      </c>
      <c r="BO67" s="51">
        <v>47.97</v>
      </c>
      <c r="BR67" s="51">
        <v>56.22</v>
      </c>
      <c r="BU67" s="51">
        <v>63.83</v>
      </c>
      <c r="BX67" s="51">
        <v>109.71</v>
      </c>
      <c r="CA67" s="51">
        <v>98.44</v>
      </c>
      <c r="CB67" s="51"/>
      <c r="CC67" s="51"/>
      <c r="CD67" s="51">
        <v>97.04</v>
      </c>
      <c r="CE67" s="51"/>
      <c r="CF67" s="51"/>
      <c r="CG67" s="51">
        <v>94.95</v>
      </c>
      <c r="CH67" s="51"/>
      <c r="CI67" s="51"/>
      <c r="CJ67" s="51">
        <v>112.44</v>
      </c>
      <c r="CK67" s="51"/>
      <c r="CL67" s="51"/>
      <c r="CM67" s="51">
        <v>105.04</v>
      </c>
      <c r="CN67" s="51"/>
      <c r="CO67" s="51"/>
      <c r="CP67" s="51">
        <v>113.02</v>
      </c>
      <c r="CQ67" s="51"/>
      <c r="CR67" s="51"/>
      <c r="CS67" s="51">
        <v>107</v>
      </c>
      <c r="CT67" s="51"/>
      <c r="CU67" s="51"/>
      <c r="CV67" s="51">
        <v>120.07</v>
      </c>
      <c r="CW67" s="51"/>
      <c r="CX67" s="51"/>
      <c r="CY67" s="51">
        <v>119.44</v>
      </c>
      <c r="CZ67" s="51"/>
      <c r="DA67" s="51"/>
      <c r="DB67" s="51">
        <v>129.21</v>
      </c>
      <c r="DC67" s="51"/>
      <c r="DD67" s="51"/>
      <c r="DE67" s="51">
        <v>128.6</v>
      </c>
      <c r="DF67" s="51"/>
      <c r="DG67" s="51"/>
      <c r="DH67" s="51">
        <v>137.53</v>
      </c>
      <c r="DI67" s="51"/>
    </row>
    <row r="68" spans="2:113" x14ac:dyDescent="0.25">
      <c r="B68" s="12" t="str">
        <f t="shared" si="6"/>
        <v>20K6HU7</v>
      </c>
      <c r="C68" s="12" t="s">
        <v>162</v>
      </c>
      <c r="D68" t="e" vm="568">
        <v>#VALUE!</v>
      </c>
      <c r="E68" s="12" t="str" cm="1">
        <f t="array" aca="1" ref="E68" ca="1">_FV(Titres[[#This Row],[Action]],"Code mnémonique",TRUE)</f>
        <v>WMT</v>
      </c>
      <c r="F68" t="str" cm="1">
        <f t="array" aca="1" ref="F68" ca="1">_FV(D68,"Change")</f>
        <v>Nasdaq Stock Market</v>
      </c>
      <c r="G68" t="str" cm="1">
        <f t="array" aca="1" ref="G68" ca="1">IFERROR(_FV(Titres[[#This Row],[Action]],"Industrie"),"")</f>
        <v>Food &amp; Drug Retailing</v>
      </c>
      <c r="H68" t="s">
        <v>206</v>
      </c>
      <c r="I68" s="12" t="str" cm="1">
        <f t="array" aca="1" ref="I68" ca="1">_FV(D68,"Devise")</f>
        <v>USD</v>
      </c>
      <c r="J68" s="28">
        <v>72</v>
      </c>
      <c r="K68" s="41">
        <v>21.06</v>
      </c>
      <c r="L68" s="41">
        <f t="shared" si="7"/>
        <v>1516.32</v>
      </c>
      <c r="M68" s="41" cm="1">
        <f t="array" aca="1" ref="M68" ca="1">_FV(D68,"Prix")</f>
        <v>129.6</v>
      </c>
      <c r="N68" s="49">
        <f t="shared" ca="1" si="8"/>
        <v>9331.1999999999989</v>
      </c>
      <c r="O68" s="49">
        <f ca="1">IF(Titres[[#This Row],[Devise]]="CAD",Titres[[#This Row],[Valeur au marché
($ local)]],Titres[[#This Row],[Valeur au marché
($ local)]]*Ressources!$I$3)</f>
        <v>12746.4192</v>
      </c>
      <c r="P68" s="49" cm="1">
        <f t="array" aca="1" ref="P68" ca="1">(Titres[[#This Row],[Prix actuel]]-_FV(Titres[[#This Row],[Action]],"Clôture précédente",TRUE))*Titres[[#This Row],[Nb d''actions]]</f>
        <v>120.95999999999947</v>
      </c>
      <c r="Q68" s="22">
        <f ca="1">Titres[[#This Row],[Variation du jour ($)]]/(Titres[[#This Row],[Valeur au marché
($ local)]]-Titres[[#This Row],[Variation du jour ($)]])</f>
        <v>1.3133208255159417E-2</v>
      </c>
      <c r="R68" s="41">
        <f ca="1">Titres[[#This Row],[Valeur au marché
($ local)]]-Titres[[#This Row],[Coût total]]</f>
        <v>7814.8799999999992</v>
      </c>
      <c r="S68" s="22">
        <f ca="1">Titres[[#This Row],[Gain non réalisé ($)]]/Titres[[#This Row],[Coût total]]</f>
        <v>5.1538461538461533</v>
      </c>
      <c r="T68" s="50">
        <v>0.23499999999999999</v>
      </c>
      <c r="U68" s="41">
        <f>4*Titres[[#This Row],[Dividende trimestriel]]</f>
        <v>0.94</v>
      </c>
      <c r="V68" s="41">
        <f>Titres[[#This Row],[Dividende annuel]]*Titres[[#This Row],[Nb d''actions]]</f>
        <v>67.679999999999993</v>
      </c>
      <c r="W68" s="25">
        <f ca="1">Titres[[#This Row],[Dividende annuel]]/Titres[[#This Row],[Prix actuel]]</f>
        <v>7.2530864197530862E-3</v>
      </c>
      <c r="X68" s="49">
        <f>Titres[[#This Row],[Dividende annuel]]/Titres[[#This Row],[Coût moyen]]</f>
        <v>4.4634377967711303E-2</v>
      </c>
      <c r="Y68" s="12">
        <v>49</v>
      </c>
      <c r="Z68" s="40">
        <f ca="1">(((Titres[[#This Row],[Valeur au marché
($ local)]]-Titres[[#This Row],[Coût total]])+Titres[[#This Row],[Total - dividendes reçus]])/Titres[[#This Row],[Coût total]])</f>
        <v>5.3558879392212724</v>
      </c>
      <c r="AA68" s="38">
        <f>SUM(Titres[[#This Row],[Janvier 2019]:[Août 2024]])</f>
        <v>306.35999999999996</v>
      </c>
      <c r="AB68" s="38">
        <v>12.48</v>
      </c>
      <c r="AC68" s="38"/>
      <c r="AD68" s="38"/>
      <c r="AE68" s="38">
        <v>12.72</v>
      </c>
      <c r="AF68" s="38"/>
      <c r="AG68" s="38">
        <v>12.72</v>
      </c>
      <c r="AH68" s="38"/>
      <c r="AI68" s="38"/>
      <c r="AJ68" s="38">
        <v>12.72</v>
      </c>
      <c r="AK68" s="38"/>
      <c r="AL68" s="38"/>
      <c r="AM68" s="38"/>
      <c r="AN68" s="38">
        <v>12.72</v>
      </c>
      <c r="AO68" s="38"/>
      <c r="AP68" s="38"/>
      <c r="AQ68" s="38">
        <v>12.96</v>
      </c>
      <c r="AR68" s="38"/>
      <c r="AS68" s="38">
        <v>12.96</v>
      </c>
      <c r="AT68" s="38"/>
      <c r="AU68" s="38"/>
      <c r="AV68" s="38">
        <v>12.96</v>
      </c>
      <c r="AW68" s="38"/>
      <c r="AX68" s="38"/>
      <c r="AY68" s="38"/>
      <c r="AZ68" s="51">
        <v>12.96</v>
      </c>
      <c r="BA68" s="51"/>
      <c r="BC68" s="51">
        <v>13.2</v>
      </c>
      <c r="BE68" s="51">
        <v>13.2</v>
      </c>
      <c r="BH68" s="51">
        <v>13.2</v>
      </c>
      <c r="BL68" s="51">
        <v>13.2</v>
      </c>
      <c r="BO68" s="51">
        <v>13.44</v>
      </c>
      <c r="BP68" s="51">
        <v>13.44</v>
      </c>
      <c r="BT68" s="51">
        <v>13.44</v>
      </c>
      <c r="BX68" s="51">
        <v>13.44</v>
      </c>
      <c r="CA68" s="51">
        <v>13.68</v>
      </c>
      <c r="CB68" s="51">
        <v>13.68</v>
      </c>
      <c r="CC68" s="51"/>
      <c r="CD68" s="51"/>
      <c r="CE68" s="51"/>
      <c r="CF68" s="51">
        <v>13.68</v>
      </c>
      <c r="CG68" s="51"/>
      <c r="CH68" s="51"/>
      <c r="CI68" s="51"/>
      <c r="CJ68" s="51">
        <v>13.68</v>
      </c>
      <c r="CK68" s="51"/>
      <c r="CL68" s="51"/>
      <c r="CM68" s="51">
        <v>14.94</v>
      </c>
      <c r="CN68" s="51">
        <v>14.94</v>
      </c>
      <c r="CO68" s="51"/>
      <c r="CP68" s="51"/>
      <c r="CQ68" s="51"/>
      <c r="CR68" s="51">
        <v>14.94</v>
      </c>
      <c r="CS68" s="51"/>
      <c r="CT68" s="51"/>
      <c r="CU68" s="51"/>
      <c r="CV68" s="51">
        <v>14.94</v>
      </c>
      <c r="CW68" s="51"/>
      <c r="CX68" s="51"/>
      <c r="CY68" s="51">
        <v>16.920000000000002</v>
      </c>
      <c r="CZ68" s="51">
        <v>16.920000000000002</v>
      </c>
      <c r="DA68" s="51"/>
      <c r="DB68" s="51"/>
      <c r="DC68" s="51"/>
      <c r="DD68" s="51">
        <v>16.920000000000002</v>
      </c>
      <c r="DE68" s="51"/>
      <c r="DF68" s="51"/>
      <c r="DG68" s="51"/>
      <c r="DH68" s="51">
        <v>16.920000000000002</v>
      </c>
      <c r="DI68" s="51"/>
    </row>
    <row r="69" spans="2:113" x14ac:dyDescent="0.25">
      <c r="B69" s="12" t="str">
        <f t="shared" si="6"/>
        <v>20K6HU7</v>
      </c>
      <c r="C69" s="12" t="s">
        <v>162</v>
      </c>
      <c r="D69" t="e" vm="569">
        <v>#VALUE!</v>
      </c>
      <c r="E69" s="12" t="str" cm="1">
        <f t="array" aca="1" ref="E69" ca="1">_FV(Titres[[#This Row],[Action]],"Code mnémonique",TRUE)</f>
        <v>WBD</v>
      </c>
      <c r="F69" t="str" cm="1">
        <f t="array" aca="1" ref="F69" ca="1">_FV(D69,"Change")</f>
        <v>Nasdaq Stock Market</v>
      </c>
      <c r="G69" t="str" cm="1">
        <f t="array" aca="1" ref="G69" ca="1">IFERROR(_FV(Titres[[#This Row],[Action]],"Industrie"),"")</f>
        <v>Media &amp; Publishing</v>
      </c>
      <c r="H69" t="s">
        <v>206</v>
      </c>
      <c r="I69" s="12" t="str" cm="1">
        <f t="array" aca="1" ref="I69" ca="1">_FV(D69,"Devise")</f>
        <v>USD</v>
      </c>
      <c r="J69" s="28">
        <v>10</v>
      </c>
      <c r="K69" s="41">
        <v>24.08</v>
      </c>
      <c r="L69" s="41">
        <f t="shared" si="7"/>
        <v>240.79999999999998</v>
      </c>
      <c r="M69" s="41" cm="1">
        <f t="array" aca="1" ref="M69" ca="1">_FV(D69,"Prix")</f>
        <v>27.31</v>
      </c>
      <c r="N69" s="49">
        <f t="shared" ca="1" si="8"/>
        <v>273.09999999999997</v>
      </c>
      <c r="O69" s="49">
        <f ca="1">IF(Titres[[#This Row],[Devise]]="CAD",Titres[[#This Row],[Valeur au marché
($ local)]],Titres[[#This Row],[Valeur au marché
($ local)]]*Ressources!$I$3)</f>
        <v>373.05459999999999</v>
      </c>
      <c r="P69" s="49" cm="1">
        <f t="array" aca="1" ref="P69" ca="1">(Titres[[#This Row],[Prix actuel]]-_FV(Titres[[#This Row],[Action]],"Clôture précédente",TRUE))*Titres[[#This Row],[Nb d''actions]]</f>
        <v>-1.1000000000000298</v>
      </c>
      <c r="Q69" s="22">
        <f ca="1">Titres[[#This Row],[Variation du jour ($)]]/(Titres[[#This Row],[Valeur au marché
($ local)]]-Titres[[#This Row],[Variation du jour ($)]])</f>
        <v>-4.0116703136397879E-3</v>
      </c>
      <c r="R69" s="41">
        <f ca="1">Titres[[#This Row],[Valeur au marché
($ local)]]-Titres[[#This Row],[Coût total]]</f>
        <v>32.299999999999983</v>
      </c>
      <c r="S69" s="22">
        <f ca="1">Titres[[#This Row],[Gain non réalisé ($)]]/Titres[[#This Row],[Coût total]]</f>
        <v>0.13413621262458467</v>
      </c>
      <c r="T69" s="50">
        <v>0</v>
      </c>
      <c r="U69" s="41">
        <f>4*Titres[[#This Row],[Dividende trimestriel]]</f>
        <v>0</v>
      </c>
      <c r="V69" s="41">
        <f>Titres[[#This Row],[Dividende annuel]]*Titres[[#This Row],[Nb d''actions]]</f>
        <v>0</v>
      </c>
      <c r="W69" s="25">
        <f ca="1">Titres[[#This Row],[Dividende annuel]]/Titres[[#This Row],[Prix actuel]]</f>
        <v>0</v>
      </c>
      <c r="X69" s="49">
        <f>Titres[[#This Row],[Dividende annuel]]/Titres[[#This Row],[Coût moyen]]</f>
        <v>0</v>
      </c>
      <c r="Y69" s="12">
        <v>0</v>
      </c>
      <c r="Z69" s="40">
        <f ca="1">(((Titres[[#This Row],[Valeur au marché
($ local)]]-Titres[[#This Row],[Coût total]])+Titres[[#This Row],[Total - dividendes reçus]])/Titres[[#This Row],[Coût total]])</f>
        <v>0.13413621262458467</v>
      </c>
      <c r="AA69" s="38">
        <f>SUM(Titres[[#This Row],[Janvier 2019]:[Août 2024]])</f>
        <v>0</v>
      </c>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51"/>
      <c r="BA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c r="CY69" s="51"/>
      <c r="CZ69" s="51"/>
      <c r="DA69" s="51"/>
      <c r="DB69" s="51"/>
      <c r="DC69" s="51"/>
      <c r="DD69" s="51"/>
      <c r="DE69" s="51"/>
      <c r="DF69" s="51"/>
      <c r="DG69" s="51"/>
      <c r="DH69" s="51"/>
      <c r="DI69" s="51"/>
    </row>
    <row r="70" spans="2:113" x14ac:dyDescent="0.25">
      <c r="B70" s="12" t="str">
        <f t="shared" si="6"/>
        <v>20K6HZ6</v>
      </c>
      <c r="C70" s="12" t="s">
        <v>160</v>
      </c>
      <c r="D70" t="e" vm="570">
        <v>#VALUE!</v>
      </c>
      <c r="E70" s="12" t="str" cm="1">
        <f t="array" aca="1" ref="E70" ca="1">_FV(Titres[[#This Row],[Action]],"Code mnémonique",TRUE)</f>
        <v>SUNC</v>
      </c>
      <c r="F70" t="str" cm="1">
        <f t="array" aca="1" ref="F70" ca="1">_FV(D70,"Change")</f>
        <v>New York Stock Exchange</v>
      </c>
      <c r="G70" t="str" cm="1">
        <f t="array" ref="G70">IFERROR(_FV(Titres[[#This Row],[Action]],"Industrie"),"")</f>
        <v/>
      </c>
      <c r="H70" t="s">
        <v>205</v>
      </c>
      <c r="I70" s="12" t="str" cm="1">
        <f t="array" aca="1" ref="I70" ca="1">_FV(D70,"Devise")</f>
        <v>USD</v>
      </c>
      <c r="J70" s="28">
        <v>32</v>
      </c>
      <c r="K70" s="41">
        <v>72.099999999999994</v>
      </c>
      <c r="L70" s="41">
        <f t="shared" si="7"/>
        <v>2307.1999999999998</v>
      </c>
      <c r="M70" s="41" cm="1">
        <f t="array" aca="1" ref="M70" ca="1">_FV(D70,"Prix")</f>
        <v>62.2</v>
      </c>
      <c r="N70" s="49">
        <f t="shared" ca="1" si="8"/>
        <v>1990.4</v>
      </c>
      <c r="O70" s="49">
        <f ca="1">IF(Titres[[#This Row],[Devise]]="CAD",Titres[[#This Row],[Valeur au marché
($ local)]],Titres[[#This Row],[Valeur au marché
($ local)]]*Ressources!$I$3)</f>
        <v>2718.8864000000003</v>
      </c>
      <c r="P70" s="49" cm="1">
        <f t="array" aca="1" ref="P70" ca="1">(Titres[[#This Row],[Prix actuel]]-_FV(Titres[[#This Row],[Action]],"Clôture précédente",TRUE))*Titres[[#This Row],[Nb d''actions]]</f>
        <v>35.519999999999982</v>
      </c>
      <c r="Q70" s="22">
        <f ca="1">Titres[[#This Row],[Variation du jour ($)]]/(Titres[[#This Row],[Valeur au marché
($ local)]]-Titres[[#This Row],[Variation du jour ($)]])</f>
        <v>1.8169913242756578E-2</v>
      </c>
      <c r="R70" s="76">
        <f ca="1">Titres[[#This Row],[Valeur au marché
($ local)]]-Titres[[#This Row],[Coût total]]</f>
        <v>-316.79999999999973</v>
      </c>
      <c r="S70" s="22">
        <f ca="1">Titres[[#This Row],[Gain non réalisé ($)]]/Titres[[#This Row],[Coût total]]</f>
        <v>-0.13730929264909836</v>
      </c>
      <c r="T70" s="50">
        <v>0.93200000000000005</v>
      </c>
      <c r="U70" s="41">
        <f>4*Titres[[#This Row],[Dividende trimestriel]]</f>
        <v>3.7280000000000002</v>
      </c>
      <c r="V70" s="41">
        <f>Titres[[#This Row],[Dividende annuel]]*Titres[[#This Row],[Nb d''actions]]</f>
        <v>119.29600000000001</v>
      </c>
      <c r="W70" s="25">
        <f ca="1">Titres[[#This Row],[Dividende annuel]]/Titres[[#This Row],[Prix actuel]]</f>
        <v>5.9935691318327974E-2</v>
      </c>
      <c r="X70" s="49">
        <f>Titres[[#This Row],[Dividende annuel]]/Titres[[#This Row],[Coût moyen]]</f>
        <v>5.1705963938973656E-2</v>
      </c>
      <c r="Z70" s="40">
        <f ca="1">(((Titres[[#This Row],[Valeur au marché
($ local)]]-Titres[[#This Row],[Coût total]])+Titres[[#This Row],[Total - dividendes reçus]])/Titres[[#This Row],[Coût total]])</f>
        <v>-0.12789528432732306</v>
      </c>
      <c r="AA70" s="38">
        <f>SUM(Titres[[#This Row],[Janvier 2019]:[Août 2024]])</f>
        <v>21.72</v>
      </c>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51"/>
      <c r="BA70" s="51"/>
      <c r="CA70" s="51"/>
      <c r="CB70" s="51"/>
      <c r="CC70" s="51"/>
      <c r="CD70" s="51"/>
      <c r="CE70" s="51">
        <f>25.55-3.83</f>
        <v>21.72</v>
      </c>
      <c r="CF70" s="51"/>
      <c r="CG70" s="51"/>
      <c r="CH70" s="51"/>
      <c r="CI70" s="51"/>
      <c r="CJ70" s="51"/>
      <c r="CK70" s="51"/>
      <c r="CL70" s="51"/>
      <c r="CM70" s="51"/>
      <c r="CN70" s="51"/>
      <c r="CO70" s="51"/>
      <c r="CP70" s="51"/>
      <c r="CQ70" s="51"/>
      <c r="CR70" s="51"/>
      <c r="CS70" s="51"/>
      <c r="CT70" s="51"/>
      <c r="CU70" s="51"/>
      <c r="CV70" s="51"/>
      <c r="CW70" s="51"/>
      <c r="CX70" s="51"/>
      <c r="CY70" s="51"/>
      <c r="CZ70" s="51"/>
      <c r="DA70" s="51"/>
      <c r="DB70" s="51"/>
      <c r="DC70" s="51"/>
      <c r="DD70" s="51"/>
      <c r="DE70" s="51"/>
      <c r="DF70" s="51"/>
      <c r="DG70" s="51"/>
      <c r="DH70" s="51"/>
      <c r="DI70" s="51">
        <v>34.18</v>
      </c>
    </row>
    <row r="71" spans="2:113" x14ac:dyDescent="0.25">
      <c r="B71" s="12" t="str">
        <f t="shared" ref="B71:B77" si="9">IF(C71="","",_xlfn.XLOOKUP(C71,Type_Compte,Num_Compte))</f>
        <v>20K6HU7</v>
      </c>
      <c r="C71" s="12" t="s">
        <v>162</v>
      </c>
      <c r="D71" t="e" vm="571">
        <v>#VALUE!</v>
      </c>
      <c r="E71" s="12" t="str" cm="1">
        <f t="array" aca="1" ref="E71" ca="1">_FV(Titres[[#This Row],[Action]],"Code mnémonique",TRUE)</f>
        <v>DIS</v>
      </c>
      <c r="F71" t="str" cm="1">
        <f t="array" aca="1" ref="F71" ca="1">_FV(D71,"Change")</f>
        <v>New York Stock Exchange</v>
      </c>
      <c r="G71" t="str" cm="1">
        <f t="array" aca="1" ref="G71" ca="1">IFERROR(_FV(Titres[[#This Row],[Action]],"Industrie"),"")</f>
        <v>Media &amp; Publishing</v>
      </c>
      <c r="H71" t="s">
        <v>206</v>
      </c>
      <c r="I71" s="12" t="str" cm="1">
        <f t="array" aca="1" ref="I71" ca="1">_FV(D71,"Devise")</f>
        <v>USD</v>
      </c>
      <c r="J71" s="28">
        <v>51</v>
      </c>
      <c r="K71" s="41">
        <v>85.23</v>
      </c>
      <c r="L71" s="41">
        <f t="shared" ref="L71:L77" si="10">J71*K71</f>
        <v>4346.7300000000005</v>
      </c>
      <c r="M71" s="41" cm="1">
        <f t="array" aca="1" ref="M71" ca="1">_FV(D71,"Prix")</f>
        <v>104.3</v>
      </c>
      <c r="N71" s="49">
        <f t="shared" ref="N71:N77" ca="1" si="11">J71*M71</f>
        <v>5319.3</v>
      </c>
      <c r="O71" s="49">
        <f ca="1">IF(Titres[[#This Row],[Devise]]="CAD",Titres[[#This Row],[Valeur au marché
($ local)]],Titres[[#This Row],[Valeur au marché
($ local)]]*Ressources!$I$3)</f>
        <v>7266.1638000000012</v>
      </c>
      <c r="P71" s="49" cm="1">
        <f t="array" aca="1" ref="P71" ca="1">(Titres[[#This Row],[Prix actuel]]-_FV(Titres[[#This Row],[Action]],"Clôture précédente",TRUE))*Titres[[#This Row],[Nb d''actions]]</f>
        <v>-102</v>
      </c>
      <c r="Q71" s="22">
        <f ca="1">Titres[[#This Row],[Variation du jour ($)]]/(Titres[[#This Row],[Valeur au marché
($ local)]]-Titres[[#This Row],[Variation du jour ($)]])</f>
        <v>-1.881467544684854E-2</v>
      </c>
      <c r="R71" s="76">
        <f ca="1">Titres[[#This Row],[Valeur au marché
($ local)]]-Titres[[#This Row],[Coût total]]</f>
        <v>972.56999999999971</v>
      </c>
      <c r="S71" s="22">
        <f ca="1">Titres[[#This Row],[Gain non réalisé ($)]]/Titres[[#This Row],[Coût total]]</f>
        <v>0.22374750674645069</v>
      </c>
      <c r="T71" s="50">
        <v>0.75</v>
      </c>
      <c r="U71" s="41">
        <f>4*Titres[[#This Row],[Dividende trimestriel]]</f>
        <v>3</v>
      </c>
      <c r="V71" s="41">
        <f>Titres[[#This Row],[Dividende annuel]]*Titres[[#This Row],[Nb d''actions]]</f>
        <v>153</v>
      </c>
      <c r="W71" s="25">
        <f ca="1">Titres[[#This Row],[Dividende annuel]]/Titres[[#This Row],[Prix actuel]]</f>
        <v>2.8763183125599234E-2</v>
      </c>
      <c r="X71" s="49">
        <f>Titres[[#This Row],[Dividende annuel]]/Titres[[#This Row],[Coût moyen]]</f>
        <v>3.5198873636043647E-2</v>
      </c>
      <c r="Z71" s="40">
        <f ca="1">(((Titres[[#This Row],[Valeur au marché
($ local)]]-Titres[[#This Row],[Coût total]])+Titres[[#This Row],[Total - dividendes reçus]])/Titres[[#This Row],[Coût total]])</f>
        <v>0.22874436645478316</v>
      </c>
      <c r="AA71" s="38">
        <f>SUM(Titres[[#This Row],[Janvier 2019]:[Août 2024]])</f>
        <v>21.72</v>
      </c>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51"/>
      <c r="BA71" s="51"/>
      <c r="CA71" s="51"/>
      <c r="CB71" s="51"/>
      <c r="CC71" s="51"/>
      <c r="CD71" s="51"/>
      <c r="CE71" s="51">
        <f>25.55-3.83</f>
        <v>21.72</v>
      </c>
      <c r="CF71" s="51"/>
      <c r="CG71" s="51"/>
      <c r="CH71" s="51"/>
      <c r="CI71" s="51"/>
      <c r="CJ71" s="51"/>
      <c r="CK71" s="51"/>
      <c r="CL71" s="51"/>
      <c r="CM71" s="51"/>
      <c r="CN71" s="51"/>
      <c r="CO71" s="51"/>
      <c r="CP71" s="51"/>
      <c r="CQ71" s="51"/>
      <c r="CR71" s="51"/>
      <c r="CS71" s="51"/>
      <c r="CT71" s="51"/>
      <c r="CU71" s="51"/>
      <c r="CV71" s="51">
        <v>25.5</v>
      </c>
      <c r="CW71" s="51"/>
      <c r="CX71" s="51"/>
      <c r="CY71" s="51"/>
      <c r="CZ71" s="51"/>
      <c r="DA71" s="51"/>
      <c r="DB71" s="51">
        <v>25.5</v>
      </c>
      <c r="DC71" s="51"/>
      <c r="DD71" s="51"/>
      <c r="DE71" s="51"/>
      <c r="DF71" s="51"/>
      <c r="DG71" s="51"/>
      <c r="DH71" s="51">
        <v>38.25</v>
      </c>
      <c r="DI71" s="51"/>
    </row>
    <row r="72" spans="2:113" x14ac:dyDescent="0.25">
      <c r="B72" s="12" t="str">
        <f t="shared" si="9"/>
        <v>20K6HZ6</v>
      </c>
      <c r="C72" s="12" t="s">
        <v>160</v>
      </c>
      <c r="D72" t="e" vm="572">
        <v>#VALUE!</v>
      </c>
      <c r="E72" s="12" t="str" cm="1">
        <f t="array" aca="1" ref="E72" ca="1">_FV(Titres[[#This Row],[Action]],"Code mnémonique",TRUE)</f>
        <v>TRP</v>
      </c>
      <c r="F72" t="str" cm="1">
        <f t="array" aca="1" ref="F72" ca="1">_FV(D72,"Change")</f>
        <v>Toronto Stock Exchange</v>
      </c>
      <c r="G72" t="str" cm="1">
        <f t="array" aca="1" ref="G72" ca="1">IFERROR(_FV(Titres[[#This Row],[Action]],"Industrie"),"")</f>
        <v>Oil &amp; Gas Related Equipment and Services</v>
      </c>
      <c r="H72" t="s">
        <v>205</v>
      </c>
      <c r="I72" s="12" t="str" cm="1">
        <f t="array" aca="1" ref="I72" ca="1">_FV(D72,"Devise")</f>
        <v>CAD</v>
      </c>
      <c r="J72" s="28">
        <v>45</v>
      </c>
      <c r="K72" s="41">
        <v>63.65</v>
      </c>
      <c r="L72" s="41">
        <f t="shared" si="10"/>
        <v>2864.25</v>
      </c>
      <c r="M72" s="41" cm="1">
        <f t="array" aca="1" ref="M72" ca="1">_FV(D72,"Prix")</f>
        <v>82.21</v>
      </c>
      <c r="N72" s="49">
        <f t="shared" ca="1" si="11"/>
        <v>3699.45</v>
      </c>
      <c r="O72" s="49">
        <f ca="1">IF(Titres[[#This Row],[Devise]]="CAD",Titres[[#This Row],[Valeur au marché
($ local)]],Titres[[#This Row],[Valeur au marché
($ local)]]*Ressources!$I$3)</f>
        <v>3699.45</v>
      </c>
      <c r="P72" s="49" cm="1">
        <f t="array" aca="1" ref="P72" ca="1">(Titres[[#This Row],[Prix actuel]]-_FV(Titres[[#This Row],[Action]],"Clôture précédente",TRUE))*Titres[[#This Row],[Nb d''actions]]</f>
        <v>-36.900000000000333</v>
      </c>
      <c r="Q72" s="22">
        <f ca="1">Titres[[#This Row],[Variation du jour ($)]]/(Titres[[#This Row],[Valeur au marché
($ local)]]-Titres[[#This Row],[Variation du jour ($)]])</f>
        <v>-9.8759484523667021E-3</v>
      </c>
      <c r="R72" s="41">
        <f ca="1">Titres[[#This Row],[Valeur au marché
($ local)]]-Titres[[#This Row],[Coût total]]</f>
        <v>835.19999999999982</v>
      </c>
      <c r="S72" s="22">
        <f ca="1">Titres[[#This Row],[Gain non réalisé ($)]]/Titres[[#This Row],[Coût total]]</f>
        <v>0.29159465828750974</v>
      </c>
      <c r="T72" s="50">
        <v>0.85</v>
      </c>
      <c r="U72" s="41">
        <f>4*Titres[[#This Row],[Dividende trimestriel]]</f>
        <v>3.4</v>
      </c>
      <c r="V72" s="41">
        <f>Titres[[#This Row],[Dividende annuel]]*Titres[[#This Row],[Nb d''actions]]</f>
        <v>153</v>
      </c>
      <c r="W72" s="25">
        <f ca="1">Titres[[#This Row],[Dividende annuel]]/Titres[[#This Row],[Prix actuel]]</f>
        <v>4.1357499087702226E-2</v>
      </c>
      <c r="X72" s="49">
        <f>Titres[[#This Row],[Dividende annuel]]/Titres[[#This Row],[Coût moyen]]</f>
        <v>5.3417124901806758E-2</v>
      </c>
      <c r="Y72" s="12">
        <v>3</v>
      </c>
      <c r="Z72" s="40">
        <f ca="1">(((Titres[[#This Row],[Valeur au marché
($ local)]]-Titres[[#This Row],[Coût total]])+Titres[[#This Row],[Total - dividendes reçus]])/Titres[[#This Row],[Coût total]])</f>
        <v>0.60031421838177523</v>
      </c>
      <c r="AA72" s="38">
        <f>SUM(Titres[[#This Row],[Janvier 2019]:[Août 2024]])</f>
        <v>884.25</v>
      </c>
      <c r="AB72" s="38">
        <v>31.05</v>
      </c>
      <c r="AC72" s="38"/>
      <c r="AD72" s="38"/>
      <c r="AE72" s="38">
        <v>33.75</v>
      </c>
      <c r="AF72" s="38"/>
      <c r="AG72" s="38"/>
      <c r="AH72" s="38">
        <v>33.75</v>
      </c>
      <c r="AI72" s="38"/>
      <c r="AJ72" s="38"/>
      <c r="AK72" s="38">
        <v>33.75</v>
      </c>
      <c r="AL72" s="38"/>
      <c r="AM72" s="38"/>
      <c r="AN72" s="38">
        <v>33.75</v>
      </c>
      <c r="AO72" s="38"/>
      <c r="AP72" s="38"/>
      <c r="AQ72" s="38">
        <v>36.450000000000003</v>
      </c>
      <c r="AR72" s="38"/>
      <c r="AS72" s="38"/>
      <c r="AT72" s="38">
        <v>36.450000000000003</v>
      </c>
      <c r="AU72" s="38"/>
      <c r="AV72" s="38"/>
      <c r="AW72" s="38">
        <v>36.450000000000003</v>
      </c>
      <c r="AX72" s="38"/>
      <c r="AY72" s="38"/>
      <c r="AZ72" s="51">
        <v>36.450000000000003</v>
      </c>
      <c r="BA72" s="51"/>
      <c r="BC72" s="51">
        <v>39.15</v>
      </c>
      <c r="BF72" s="51">
        <v>39.15</v>
      </c>
      <c r="BI72" s="51">
        <v>39.15</v>
      </c>
      <c r="BL72" s="51">
        <v>39.15</v>
      </c>
      <c r="BO72" s="51">
        <v>40.5</v>
      </c>
      <c r="BR72" s="51">
        <v>40.5</v>
      </c>
      <c r="BU72" s="51">
        <v>40.5</v>
      </c>
      <c r="BX72" s="51">
        <v>40.5</v>
      </c>
      <c r="CA72" s="51">
        <v>41.85</v>
      </c>
      <c r="CB72" s="51"/>
      <c r="CC72" s="51"/>
      <c r="CD72" s="51">
        <v>41.85</v>
      </c>
      <c r="CE72" s="51"/>
      <c r="CF72" s="51"/>
      <c r="CG72" s="51">
        <v>41.85</v>
      </c>
      <c r="CH72" s="51"/>
      <c r="CI72" s="51"/>
      <c r="CJ72" s="51">
        <v>41.85</v>
      </c>
      <c r="CK72" s="51"/>
      <c r="CL72" s="51"/>
      <c r="CM72" s="51">
        <v>43.2</v>
      </c>
      <c r="CN72" s="51"/>
      <c r="CO72" s="51"/>
      <c r="CP72" s="51">
        <v>43.2</v>
      </c>
      <c r="CQ72" s="51"/>
      <c r="CR72" s="51"/>
      <c r="CS72" s="51">
        <v>43.2</v>
      </c>
      <c r="CT72" s="51"/>
      <c r="CU72" s="51"/>
      <c r="CV72" s="51">
        <v>37.01</v>
      </c>
      <c r="CW72" s="51"/>
      <c r="CX72" s="51"/>
      <c r="CY72" s="51">
        <v>38.25</v>
      </c>
      <c r="CZ72" s="51"/>
      <c r="DA72" s="51"/>
      <c r="DB72" s="51">
        <v>38.25</v>
      </c>
      <c r="DC72" s="51"/>
      <c r="DD72" s="51"/>
      <c r="DE72" s="51">
        <v>38.25</v>
      </c>
      <c r="DF72" s="51"/>
      <c r="DG72" s="51"/>
      <c r="DH72" s="51">
        <v>38.25</v>
      </c>
      <c r="DI72" s="51"/>
    </row>
    <row r="73" spans="2:113" x14ac:dyDescent="0.25">
      <c r="B73" s="12" t="str">
        <f t="shared" si="9"/>
        <v>20K6HE4</v>
      </c>
      <c r="C73" s="12" t="s">
        <v>158</v>
      </c>
      <c r="D73" t="e" vm="573">
        <v>#VALUE!</v>
      </c>
      <c r="E73" s="12" t="str" cm="1">
        <f t="array" aca="1" ref="E73" ca="1">_FV(Titres[[#This Row],[Action]],"Code mnémonique",TRUE)</f>
        <v>XIU</v>
      </c>
      <c r="F73" t="str" cm="1">
        <f t="array" aca="1" ref="F73" ca="1">_FV(D73,"Change")</f>
        <v>Toronto Stock Exchange</v>
      </c>
      <c r="G73" t="str" cm="1">
        <f t="array" ref="G73">IFERROR(_FV(Titres[[#This Row],[Action]],"Industrie"),"")</f>
        <v/>
      </c>
      <c r="H73" t="s">
        <v>205</v>
      </c>
      <c r="I73" s="12" t="str" cm="1">
        <f t="array" aca="1" ref="I73" ca="1">_FV(D73,"Devise")</f>
        <v>CAD</v>
      </c>
      <c r="J73" s="28">
        <v>200</v>
      </c>
      <c r="K73" s="41">
        <v>42.064999999999998</v>
      </c>
      <c r="L73" s="41">
        <f t="shared" si="10"/>
        <v>8413</v>
      </c>
      <c r="M73" s="41" cm="1">
        <f t="array" aca="1" ref="M73" ca="1">_FV(D73,"Prix")</f>
        <v>49.88</v>
      </c>
      <c r="N73" s="49">
        <f t="shared" ca="1" si="11"/>
        <v>9976</v>
      </c>
      <c r="O73" s="49">
        <f ca="1">IF(Titres[[#This Row],[Devise]]="CAD",Titres[[#This Row],[Valeur au marché
($ local)]],Titres[[#This Row],[Valeur au marché
($ local)]]*Ressources!$I$3)</f>
        <v>9976</v>
      </c>
      <c r="P73" s="49" cm="1">
        <f t="array" aca="1" ref="P73" ca="1">(Titres[[#This Row],[Prix actuel]]-_FV(Titres[[#This Row],[Action]],"Clôture précédente",TRUE))*Titres[[#This Row],[Nb d''actions]]</f>
        <v>-125.99999999999909</v>
      </c>
      <c r="Q73" s="22">
        <f ca="1">Titres[[#This Row],[Variation du jour ($)]]/(Titres[[#This Row],[Valeur au marché
($ local)]]-Titres[[#This Row],[Variation du jour ($)]])</f>
        <v>-1.2472777667788466E-2</v>
      </c>
      <c r="R73" s="76">
        <f ca="1">Titres[[#This Row],[Valeur au marché
($ local)]]-Titres[[#This Row],[Coût total]]</f>
        <v>1563</v>
      </c>
      <c r="S73" s="22">
        <f ca="1">Titres[[#This Row],[Gain non réalisé ($)]]/Titres[[#This Row],[Coût total]]</f>
        <v>0.18578390585997862</v>
      </c>
      <c r="T73" s="50">
        <v>0.3</v>
      </c>
      <c r="U73" s="41">
        <f>4*Titres[[#This Row],[Dividende trimestriel]]</f>
        <v>1.2</v>
      </c>
      <c r="V73" s="41">
        <f>Titres[[#This Row],[Dividende annuel]]*Titres[[#This Row],[Nb d''actions]]</f>
        <v>240</v>
      </c>
      <c r="W73" s="25">
        <f ca="1">Titres[[#This Row],[Dividende annuel]]/Titres[[#This Row],[Prix actuel]]</f>
        <v>2.4057738572574174E-2</v>
      </c>
      <c r="X73" s="49">
        <f>Titres[[#This Row],[Dividende annuel]]/Titres[[#This Row],[Coût moyen]]</f>
        <v>2.8527279210745275E-2</v>
      </c>
      <c r="Z73" s="40">
        <f ca="1">(((Titres[[#This Row],[Valeur au marché
($ local)]]-Titres[[#This Row],[Coût total]])+Titres[[#This Row],[Total - dividendes reçus]])/Titres[[#This Row],[Coût total]])</f>
        <v>0.18836562462855105</v>
      </c>
      <c r="AA73" s="38">
        <f>SUM(Titres[[#This Row],[Janvier 2019]:[Août 2024]])</f>
        <v>21.72</v>
      </c>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51"/>
      <c r="BA73" s="51"/>
      <c r="CA73" s="51"/>
      <c r="CB73" s="51"/>
      <c r="CC73" s="51"/>
      <c r="CD73" s="51"/>
      <c r="CE73" s="51">
        <f>25.55-3.83</f>
        <v>21.72</v>
      </c>
      <c r="CF73" s="51"/>
      <c r="CG73" s="51"/>
      <c r="CH73" s="51"/>
      <c r="CI73" s="51"/>
      <c r="CJ73" s="51"/>
      <c r="CK73" s="51"/>
      <c r="CL73" s="51"/>
      <c r="CM73" s="51"/>
      <c r="CN73" s="51"/>
      <c r="CO73" s="51"/>
      <c r="CP73" s="51"/>
      <c r="CQ73" s="51"/>
      <c r="CR73" s="51"/>
      <c r="CS73" s="51"/>
      <c r="CT73" s="51"/>
      <c r="CU73" s="51"/>
      <c r="CV73" s="51"/>
      <c r="CW73" s="51"/>
      <c r="CX73" s="51"/>
      <c r="CY73" s="51"/>
      <c r="CZ73" s="51"/>
      <c r="DA73" s="51"/>
      <c r="DB73" s="51"/>
      <c r="DC73" s="51">
        <v>55.6</v>
      </c>
      <c r="DD73" s="51"/>
      <c r="DE73" s="51"/>
      <c r="DF73" s="51">
        <v>60</v>
      </c>
      <c r="DG73" s="51"/>
      <c r="DH73" s="51"/>
      <c r="DI73" s="51">
        <v>55.4</v>
      </c>
    </row>
    <row r="74" spans="2:113" x14ac:dyDescent="0.25">
      <c r="B74" s="12" t="str">
        <f t="shared" si="9"/>
        <v>20K6HZ6</v>
      </c>
      <c r="C74" s="12" t="s">
        <v>160</v>
      </c>
      <c r="D74" t="e" vm="574">
        <v>#VALUE!</v>
      </c>
      <c r="E74" s="12" t="str" cm="1">
        <f t="array" aca="1" ref="E74" ca="1">_FV(Titres[[#This Row],[Action]],"Code mnémonique",TRUE)</f>
        <v>BNS</v>
      </c>
      <c r="F74" t="str" cm="1">
        <f t="array" aca="1" ref="F74" ca="1">_FV(D74,"Change")</f>
        <v>Toronto Stock Exchange</v>
      </c>
      <c r="G74" t="str" cm="1">
        <f t="array" aca="1" ref="G74" ca="1">IFERROR(_FV(Titres[[#This Row],[Action]],"Industrie"),"")</f>
        <v>Banking Services</v>
      </c>
      <c r="H74" t="s">
        <v>205</v>
      </c>
      <c r="I74" s="12" t="str" cm="1">
        <f t="array" aca="1" ref="I74" ca="1">_FV(D74,"Devise")</f>
        <v>CAD</v>
      </c>
      <c r="J74" s="28">
        <v>76</v>
      </c>
      <c r="K74" s="41">
        <v>67.53</v>
      </c>
      <c r="L74" s="41">
        <f t="shared" si="10"/>
        <v>5132.28</v>
      </c>
      <c r="M74" s="41" cm="1">
        <f t="array" aca="1" ref="M74" ca="1">_FV(D74,"Prix")</f>
        <v>103.78</v>
      </c>
      <c r="N74" s="49">
        <f t="shared" ca="1" si="11"/>
        <v>7887.28</v>
      </c>
      <c r="O74" s="49">
        <f ca="1">IF(Titres[[#This Row],[Devise]]="CAD",Titres[[#This Row],[Valeur au marché
($ local)]],Titres[[#This Row],[Valeur au marché
($ local)]]*Ressources!$I$3)</f>
        <v>7887.28</v>
      </c>
      <c r="P74" s="49" cm="1">
        <f t="array" aca="1" ref="P74" ca="1">(Titres[[#This Row],[Prix actuel]]-_FV(Titres[[#This Row],[Action]],"Clôture précédente",TRUE))*Titres[[#This Row],[Nb d''actions]]</f>
        <v>-84.359999999999957</v>
      </c>
      <c r="Q74" s="22">
        <f ca="1">Titres[[#This Row],[Variation du jour ($)]]/(Titres[[#This Row],[Valeur au marché
($ local)]]-Titres[[#This Row],[Variation du jour ($)]])</f>
        <v>-1.0582515015730761E-2</v>
      </c>
      <c r="R74" s="41">
        <f ca="1">Titres[[#This Row],[Valeur au marché
($ local)]]-Titres[[#This Row],[Coût total]]</f>
        <v>2755</v>
      </c>
      <c r="S74" s="22">
        <f ca="1">Titres[[#This Row],[Gain non réalisé ($)]]/Titres[[#This Row],[Coût total]]</f>
        <v>0.53679845994372877</v>
      </c>
      <c r="T74" s="50">
        <v>1.1000000000000001</v>
      </c>
      <c r="U74" s="41">
        <f>4*Titres[[#This Row],[Dividende trimestriel]]</f>
        <v>4.4000000000000004</v>
      </c>
      <c r="V74" s="41">
        <f>Titres[[#This Row],[Dividende annuel]]*Titres[[#This Row],[Nb d''actions]]</f>
        <v>334.40000000000003</v>
      </c>
      <c r="W74" s="25">
        <f ca="1">Titres[[#This Row],[Dividende annuel]]/Titres[[#This Row],[Prix actuel]]</f>
        <v>4.2397379071111969E-2</v>
      </c>
      <c r="X74" s="49">
        <f>Titres[[#This Row],[Dividende annuel]]/Titres[[#This Row],[Coût moyen]]</f>
        <v>6.5156226862135347E-2</v>
      </c>
      <c r="Y74" s="12">
        <v>1</v>
      </c>
      <c r="Z74" s="40">
        <f ca="1">(((Titres[[#This Row],[Valeur au marché
($ local)]]-Titres[[#This Row],[Coût total]])+Titres[[#This Row],[Total - dividendes reçus]])/Titres[[#This Row],[Coût total]])</f>
        <v>0.7024480347915546</v>
      </c>
      <c r="AA74" s="38">
        <f>SUM(Titres[[#This Row],[Janvier 2019]:[Août 2024]])</f>
        <v>850.15999999999985</v>
      </c>
      <c r="AB74" s="38"/>
      <c r="AC74" s="38"/>
      <c r="AD74" s="38"/>
      <c r="AE74" s="38">
        <v>31.32</v>
      </c>
      <c r="AF74" s="38"/>
      <c r="AG74" s="38"/>
      <c r="AH74" s="38">
        <v>31.32</v>
      </c>
      <c r="AI74" s="38"/>
      <c r="AJ74" s="38"/>
      <c r="AK74" s="38">
        <v>32.4</v>
      </c>
      <c r="AL74" s="38"/>
      <c r="AM74" s="38"/>
      <c r="AN74" s="38">
        <v>32.4</v>
      </c>
      <c r="AO74" s="38"/>
      <c r="AP74" s="38"/>
      <c r="AQ74" s="38">
        <v>32.4</v>
      </c>
      <c r="AR74" s="38"/>
      <c r="AS74" s="38"/>
      <c r="AT74" s="38">
        <v>32.4</v>
      </c>
      <c r="AU74" s="38"/>
      <c r="AV74" s="38"/>
      <c r="AW74" s="38">
        <v>32.4</v>
      </c>
      <c r="AX74" s="38"/>
      <c r="AY74" s="38"/>
      <c r="AZ74" s="51">
        <v>32.4</v>
      </c>
      <c r="BA74" s="51"/>
      <c r="BC74" s="51">
        <v>32.4</v>
      </c>
      <c r="BF74" s="51">
        <v>32.4</v>
      </c>
      <c r="BI74" s="51">
        <v>32.4</v>
      </c>
      <c r="BL74" s="51">
        <v>36</v>
      </c>
      <c r="BO74" s="51">
        <v>36</v>
      </c>
      <c r="BR74" s="51">
        <v>37.08</v>
      </c>
      <c r="BU74" s="51">
        <v>37.08</v>
      </c>
      <c r="BX74" s="51">
        <v>37.08</v>
      </c>
      <c r="CA74" s="51">
        <v>37.08</v>
      </c>
      <c r="CB74" s="51"/>
      <c r="CC74" s="51"/>
      <c r="CD74" s="51">
        <v>38.159999999999997</v>
      </c>
      <c r="CE74" s="51"/>
      <c r="CF74" s="51"/>
      <c r="CG74" s="51">
        <v>38.159999999999997</v>
      </c>
      <c r="CH74" s="51"/>
      <c r="CI74" s="51"/>
      <c r="CJ74" s="51">
        <v>38.159999999999997</v>
      </c>
      <c r="CK74" s="51"/>
      <c r="CL74" s="51"/>
      <c r="CM74" s="51">
        <v>80.56</v>
      </c>
      <c r="CN74" s="51"/>
      <c r="CO74" s="51"/>
      <c r="CP74" s="51">
        <v>80.56</v>
      </c>
      <c r="CQ74" s="51"/>
      <c r="CR74" s="51"/>
      <c r="CS74" s="51">
        <v>80.56</v>
      </c>
      <c r="CT74" s="51"/>
      <c r="CU74" s="51"/>
      <c r="CV74" s="51">
        <v>80.56</v>
      </c>
      <c r="CW74" s="51"/>
      <c r="CX74" s="51"/>
      <c r="CY74" s="51">
        <v>80.56</v>
      </c>
      <c r="CZ74" s="51"/>
      <c r="DA74" s="51"/>
      <c r="DB74" s="51">
        <v>83.6</v>
      </c>
      <c r="DC74" s="51"/>
      <c r="DD74" s="51"/>
      <c r="DE74" s="51">
        <v>83.6</v>
      </c>
      <c r="DF74" s="51"/>
      <c r="DG74" s="51"/>
      <c r="DH74" s="51">
        <v>83.6</v>
      </c>
      <c r="DI74" s="51"/>
    </row>
    <row r="75" spans="2:113" x14ac:dyDescent="0.25">
      <c r="B75" s="12" t="str">
        <f t="shared" si="9"/>
        <v>20K6HZ6</v>
      </c>
      <c r="C75" s="12" t="s">
        <v>160</v>
      </c>
      <c r="D75" t="e" vm="575">
        <v>#VALUE!</v>
      </c>
      <c r="E75" s="12" t="str" cm="1">
        <f t="array" aca="1" ref="E75" ca="1">_FV(Titres[[#This Row],[Action]],"Code mnémonique",TRUE)</f>
        <v>NWC</v>
      </c>
      <c r="F75" t="str" cm="1">
        <f t="array" aca="1" ref="F75" ca="1">_FV(D75,"Change")</f>
        <v>Toronto Stock Exchange</v>
      </c>
      <c r="G75" t="str" cm="1">
        <f t="array" aca="1" ref="G75" ca="1">IFERROR(_FV(Titres[[#This Row],[Action]],"Industrie"),"")</f>
        <v>Food &amp; Drug Retailing</v>
      </c>
      <c r="H75" t="s">
        <v>205</v>
      </c>
      <c r="I75" s="12" t="str" cm="1">
        <f t="array" aca="1" ref="I75" ca="1">_FV(D75,"Devise")</f>
        <v>CAD</v>
      </c>
      <c r="J75" s="28">
        <v>125</v>
      </c>
      <c r="K75" s="41">
        <v>27.7</v>
      </c>
      <c r="L75" s="41">
        <f t="shared" si="10"/>
        <v>3462.5</v>
      </c>
      <c r="M75" s="41" cm="1">
        <f t="array" aca="1" ref="M75" ca="1">_FV(D75,"Prix")</f>
        <v>51.79</v>
      </c>
      <c r="N75" s="49">
        <f t="shared" ca="1" si="11"/>
        <v>6473.75</v>
      </c>
      <c r="O75" s="49">
        <f ca="1">IF(Titres[[#This Row],[Devise]]="CAD",Titres[[#This Row],[Valeur au marché
($ local)]],Titres[[#This Row],[Valeur au marché
($ local)]]*Ressources!$I$3)</f>
        <v>6473.75</v>
      </c>
      <c r="P75" s="49" cm="1">
        <f t="array" aca="1" ref="P75" ca="1">(Titres[[#This Row],[Prix actuel]]-_FV(Titres[[#This Row],[Action]],"Clôture précédente",TRUE))*Titres[[#This Row],[Nb d''actions]]</f>
        <v>-23.749999999999716</v>
      </c>
      <c r="Q75" s="22">
        <f ca="1">Titres[[#This Row],[Variation du jour ($)]]/(Titres[[#This Row],[Valeur au marché
($ local)]]-Titres[[#This Row],[Variation du jour ($)]])</f>
        <v>-3.6552520200076517E-3</v>
      </c>
      <c r="R75" s="41">
        <f ca="1">Titres[[#This Row],[Valeur au marché
($ local)]]-Titres[[#This Row],[Coût total]]</f>
        <v>3011.25</v>
      </c>
      <c r="S75" s="22">
        <f ca="1">Titres[[#This Row],[Gain non réalisé ($)]]/Titres[[#This Row],[Coût total]]</f>
        <v>0.86967509025270762</v>
      </c>
      <c r="T75" s="50">
        <v>0.41</v>
      </c>
      <c r="U75" s="41">
        <f>4*Titres[[#This Row],[Dividende trimestriel]]</f>
        <v>1.64</v>
      </c>
      <c r="V75" s="41">
        <f>Titres[[#This Row],[Dividende annuel]]*Titres[[#This Row],[Nb d''actions]]</f>
        <v>205</v>
      </c>
      <c r="W75" s="25">
        <f ca="1">Titres[[#This Row],[Dividende annuel]]/Titres[[#This Row],[Prix actuel]]</f>
        <v>3.1666344854218959E-2</v>
      </c>
      <c r="X75" s="49">
        <f>Titres[[#This Row],[Dividende annuel]]/Titres[[#This Row],[Coût moyen]]</f>
        <v>5.9205776173285193E-2</v>
      </c>
      <c r="Y75" s="12">
        <v>4</v>
      </c>
      <c r="Z75" s="40">
        <f ca="1">(((Titres[[#This Row],[Valeur au marché
($ local)]]-Titres[[#This Row],[Coût total]])+Titres[[#This Row],[Total - dividendes reçus]])/Titres[[#This Row],[Coût total]])</f>
        <v>1.1101083032490975</v>
      </c>
      <c r="AA75" s="38">
        <f>SUM(Titres[[#This Row],[Janvier 2019]:[Août 2024]])</f>
        <v>832.5</v>
      </c>
      <c r="AB75" s="38"/>
      <c r="AC75" s="38"/>
      <c r="AD75" s="38"/>
      <c r="AE75" s="38"/>
      <c r="AF75" s="38"/>
      <c r="AG75" s="38"/>
      <c r="AH75" s="38"/>
      <c r="AI75" s="38"/>
      <c r="AJ75" s="38"/>
      <c r="AK75" s="38"/>
      <c r="AL75" s="38"/>
      <c r="AM75" s="38"/>
      <c r="AN75" s="38"/>
      <c r="AO75" s="38"/>
      <c r="AP75" s="38"/>
      <c r="AQ75" s="38">
        <v>41.25</v>
      </c>
      <c r="AR75" s="38"/>
      <c r="AS75" s="38"/>
      <c r="AT75" s="38">
        <v>41.25</v>
      </c>
      <c r="AU75" s="38"/>
      <c r="AV75" s="38"/>
      <c r="AW75" s="38">
        <v>45</v>
      </c>
      <c r="AX75" s="38"/>
      <c r="AY75" s="38"/>
      <c r="AZ75" s="51">
        <v>45</v>
      </c>
      <c r="BA75" s="51"/>
      <c r="BC75" s="51">
        <v>45</v>
      </c>
      <c r="BF75" s="51">
        <v>45</v>
      </c>
      <c r="BI75" s="51">
        <v>46.25</v>
      </c>
      <c r="BL75" s="51">
        <v>46.25</v>
      </c>
      <c r="BO75" s="51">
        <v>46.25</v>
      </c>
      <c r="BR75" s="51">
        <v>46.25</v>
      </c>
      <c r="BU75" s="51">
        <v>47.5</v>
      </c>
      <c r="BX75" s="51">
        <v>47.5</v>
      </c>
      <c r="CA75" s="51">
        <v>47.5</v>
      </c>
      <c r="CB75" s="51"/>
      <c r="CC75" s="51"/>
      <c r="CD75" s="51">
        <v>47.5</v>
      </c>
      <c r="CE75" s="51"/>
      <c r="CF75" s="51"/>
      <c r="CG75" s="51">
        <v>48.75</v>
      </c>
      <c r="CH75" s="51"/>
      <c r="CI75" s="51"/>
      <c r="CJ75" s="51">
        <v>48.75</v>
      </c>
      <c r="CK75" s="51"/>
      <c r="CL75" s="51"/>
      <c r="CM75" s="51">
        <v>48.75</v>
      </c>
      <c r="CN75" s="51"/>
      <c r="CO75" s="51"/>
      <c r="CP75" s="51">
        <v>48.75</v>
      </c>
      <c r="CQ75" s="51"/>
      <c r="CR75" s="51"/>
      <c r="CS75" s="51">
        <v>50</v>
      </c>
      <c r="CT75" s="51"/>
      <c r="CU75" s="51"/>
      <c r="CV75" s="51">
        <v>50</v>
      </c>
      <c r="CW75" s="51"/>
      <c r="CX75" s="51"/>
      <c r="CY75" s="51">
        <v>50</v>
      </c>
      <c r="CZ75" s="51"/>
      <c r="DA75" s="51"/>
      <c r="DB75" s="51">
        <v>50</v>
      </c>
      <c r="DC75" s="51"/>
      <c r="DD75" s="51"/>
      <c r="DE75" s="51">
        <v>51.25</v>
      </c>
      <c r="DF75" s="51"/>
      <c r="DG75" s="51"/>
      <c r="DH75" s="51">
        <v>51.25</v>
      </c>
      <c r="DI75" s="51"/>
    </row>
    <row r="76" spans="2:113" x14ac:dyDescent="0.25">
      <c r="B76" s="12" t="str">
        <f t="shared" si="9"/>
        <v>20K6HZ6</v>
      </c>
      <c r="C76" s="12" t="s">
        <v>160</v>
      </c>
      <c r="D76" t="e" vm="576">
        <v>#VALUE!</v>
      </c>
      <c r="E76" s="12" t="str" cm="1">
        <f t="array" aca="1" ref="E76" ca="1">_FV(Titres[[#This Row],[Action]],"Code mnémonique",TRUE)</f>
        <v>X</v>
      </c>
      <c r="F76" t="str" cm="1">
        <f t="array" aca="1" ref="F76" ca="1">_FV(D76,"Change")</f>
        <v>Toronto Stock Exchange</v>
      </c>
      <c r="G76" t="str" cm="1">
        <f t="array" aca="1" ref="G76" ca="1">IFERROR(_FV(Titres[[#This Row],[Action]],"Industrie"),"")</f>
        <v>Investment Banking &amp; Investment Services</v>
      </c>
      <c r="I76" s="12" t="str" cm="1">
        <f t="array" aca="1" ref="I76" ca="1">_FV(D76,"Devise")</f>
        <v>CAD</v>
      </c>
      <c r="J76" s="28">
        <v>100</v>
      </c>
      <c r="K76" s="41">
        <v>50.82</v>
      </c>
      <c r="L76" s="41">
        <f t="shared" si="10"/>
        <v>5082</v>
      </c>
      <c r="M76" s="41" cm="1">
        <f t="array" aca="1" ref="M76" ca="1">_FV(D76,"Prix")</f>
        <v>53.89</v>
      </c>
      <c r="N76" s="49">
        <f t="shared" ca="1" si="11"/>
        <v>5389</v>
      </c>
      <c r="O76" s="49">
        <f ca="1">IF(Titres[[#This Row],[Devise]]="CAD",Titres[[#This Row],[Valeur au marché
($ local)]],Titres[[#This Row],[Valeur au marché
($ local)]]*Ressources!$I$3)</f>
        <v>5389</v>
      </c>
      <c r="P76" s="49" cm="1">
        <f t="array" aca="1" ref="P76" ca="1">(Titres[[#This Row],[Prix actuel]]-_FV(Titres[[#This Row],[Action]],"Clôture précédente",TRUE))*Titres[[#This Row],[Nb d''actions]]</f>
        <v>-28.000000000000114</v>
      </c>
      <c r="Q76" s="22">
        <f ca="1">Titres[[#This Row],[Variation du jour ($)]]/(Titres[[#This Row],[Valeur au marché
($ local)]]-Titres[[#This Row],[Variation du jour ($)]])</f>
        <v>-5.1689126822964948E-3</v>
      </c>
      <c r="R76" s="76">
        <f ca="1">Titres[[#This Row],[Valeur au marché
($ local)]]-Titres[[#This Row],[Coût total]]</f>
        <v>307</v>
      </c>
      <c r="S76" s="22">
        <f ca="1">Titres[[#This Row],[Gain non réalisé ($)]]/Titres[[#This Row],[Coût total]]</f>
        <v>6.0409287682014957E-2</v>
      </c>
      <c r="T76" s="50">
        <v>0.22</v>
      </c>
      <c r="U76" s="41">
        <f>4*Titres[[#This Row],[Dividende trimestriel]]</f>
        <v>0.88</v>
      </c>
      <c r="V76" s="41">
        <f>Titres[[#This Row],[Dividende annuel]]*Titres[[#This Row],[Nb d''actions]]</f>
        <v>88</v>
      </c>
      <c r="W76" s="25">
        <f ca="1">Titres[[#This Row],[Dividende annuel]]/Titres[[#This Row],[Prix actuel]]</f>
        <v>1.6329560215253294E-2</v>
      </c>
      <c r="X76" s="49">
        <f>Titres[[#This Row],[Dividende annuel]]/Titres[[#This Row],[Coût moyen]]</f>
        <v>1.7316017316017316E-2</v>
      </c>
      <c r="Z76" s="40">
        <f ca="1">(((Titres[[#This Row],[Valeur au marché
($ local)]]-Titres[[#This Row],[Coût total]])+Titres[[#This Row],[Total - dividendes reçus]])/Titres[[#This Row],[Coût total]])</f>
        <v>6.468319559228651E-2</v>
      </c>
      <c r="AA76" s="38">
        <f>SUM(Titres[[#This Row],[Janvier 2019]:[Août 2024]])</f>
        <v>21.72</v>
      </c>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51"/>
      <c r="BA76" s="51"/>
      <c r="CA76" s="51"/>
      <c r="CB76" s="51"/>
      <c r="CC76" s="51"/>
      <c r="CD76" s="51"/>
      <c r="CE76" s="51">
        <f>25.55-3.83</f>
        <v>21.72</v>
      </c>
      <c r="CF76" s="51"/>
      <c r="CG76" s="51"/>
      <c r="CH76" s="51"/>
      <c r="CI76" s="51"/>
      <c r="CJ76" s="51"/>
      <c r="CK76" s="51"/>
      <c r="CL76" s="51"/>
      <c r="CM76" s="51"/>
      <c r="CN76" s="51"/>
      <c r="CO76" s="51"/>
      <c r="CP76" s="51"/>
      <c r="CQ76" s="51"/>
      <c r="CR76" s="51"/>
      <c r="CS76" s="51"/>
      <c r="CT76" s="51"/>
      <c r="CU76" s="51"/>
      <c r="CV76" s="51"/>
      <c r="CW76" s="51"/>
      <c r="CX76" s="51"/>
      <c r="CY76" s="51"/>
      <c r="CZ76" s="51"/>
      <c r="DA76" s="51">
        <v>20</v>
      </c>
      <c r="DB76" s="51"/>
      <c r="DC76" s="51">
        <v>22</v>
      </c>
      <c r="DD76" s="51"/>
      <c r="DE76" s="51"/>
      <c r="DF76" s="51">
        <v>22</v>
      </c>
      <c r="DG76" s="51"/>
      <c r="DH76" s="51"/>
      <c r="DI76" s="51"/>
    </row>
    <row r="77" spans="2:113" x14ac:dyDescent="0.25">
      <c r="B77" s="12" t="str">
        <f t="shared" si="9"/>
        <v>20K6HU7</v>
      </c>
      <c r="C77" s="12" t="s">
        <v>162</v>
      </c>
      <c r="D77" t="e" vm="577">
        <v>#VALUE!</v>
      </c>
      <c r="E77" s="12" t="str" cm="1">
        <f t="array" aca="1" ref="E77" ca="1">_FV(Titres[[#This Row],[Action]],"Code mnémonique",TRUE)</f>
        <v>IEFA</v>
      </c>
      <c r="F77" t="str" cm="1">
        <f t="array" aca="1" ref="F77" ca="1">_FV(D77,"Change")</f>
        <v>CBOE BZX Exchange</v>
      </c>
      <c r="G77" t="str" cm="1">
        <f t="array" ref="G77">IFERROR(_FV(Titres[[#This Row],[Action]],"Industrie"),"")</f>
        <v/>
      </c>
      <c r="H77" t="s">
        <v>207</v>
      </c>
      <c r="I77" s="12" t="str" cm="1">
        <f t="array" aca="1" ref="I77" ca="1">_FV(D77,"Devise")</f>
        <v>USD</v>
      </c>
      <c r="J77" s="28">
        <v>40</v>
      </c>
      <c r="K77" s="41">
        <v>93.95</v>
      </c>
      <c r="L77" s="41">
        <f t="shared" si="10"/>
        <v>3758</v>
      </c>
      <c r="M77" s="41" cm="1">
        <f t="array" aca="1" ref="M77" ca="1">_FV(D77,"Prix")</f>
        <v>94.93</v>
      </c>
      <c r="N77" s="49">
        <f t="shared" ca="1" si="11"/>
        <v>3797.2000000000003</v>
      </c>
      <c r="O77" s="49">
        <f ca="1">IF(Titres[[#This Row],[Devise]]="CAD",Titres[[#This Row],[Valeur au marché
($ local)]],Titres[[#This Row],[Valeur au marché
($ local)]]*Ressources!$I$3)</f>
        <v>5186.9752000000008</v>
      </c>
      <c r="P77" s="49" cm="1">
        <f t="array" aca="1" ref="P77" ca="1">(Titres[[#This Row],[Prix actuel]]-_FV(Titres[[#This Row],[Action]],"Clôture précédente",TRUE))*Titres[[#This Row],[Nb d''actions]]</f>
        <v>-84.399999999999977</v>
      </c>
      <c r="Q77" s="22">
        <f ca="1">Titres[[#This Row],[Variation du jour ($)]]/(Titres[[#This Row],[Valeur au marché
($ local)]]-Titres[[#This Row],[Variation du jour ($)]])</f>
        <v>-2.1743610882110461E-2</v>
      </c>
      <c r="R77" s="76">
        <f ca="1">Titres[[#This Row],[Valeur au marché
($ local)]]-Titres[[#This Row],[Coût total]]</f>
        <v>39.200000000000273</v>
      </c>
      <c r="S77" s="22">
        <f ca="1">Titres[[#This Row],[Gain non réalisé ($)]]/Titres[[#This Row],[Coût total]]</f>
        <v>1.0431080361894697E-2</v>
      </c>
      <c r="T77" s="50">
        <v>1.7110000000000001</v>
      </c>
      <c r="U77" s="41">
        <f>4*Titres[[#This Row],[Dividende trimestriel]]</f>
        <v>6.8440000000000003</v>
      </c>
      <c r="V77" s="41">
        <f>Titres[[#This Row],[Dividende annuel]]*Titres[[#This Row],[Nb d''actions]]</f>
        <v>273.76</v>
      </c>
      <c r="W77" s="25">
        <f ca="1">Titres[[#This Row],[Dividende annuel]]/Titres[[#This Row],[Prix actuel]]</f>
        <v>7.2095228062783095E-2</v>
      </c>
      <c r="X77" s="49">
        <f>Titres[[#This Row],[Dividende annuel]]/Titres[[#This Row],[Coût moyen]]</f>
        <v>7.2847259180415111E-2</v>
      </c>
      <c r="Z77" s="40">
        <f ca="1">(((Titres[[#This Row],[Valeur au marché
($ local)]]-Titres[[#This Row],[Coût total]])+Titres[[#This Row],[Total - dividendes reçus]])/Titres[[#This Row],[Coût total]])</f>
        <v>1.0431080361894697E-2</v>
      </c>
      <c r="AA77" s="38">
        <f>SUM(Titres[[#This Row],[Janvier 2019]:[Août 2024]])</f>
        <v>0</v>
      </c>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51"/>
      <c r="BA77" s="51"/>
      <c r="CA77" s="51"/>
      <c r="CB77" s="51"/>
      <c r="CC77" s="51"/>
      <c r="CD77" s="51"/>
      <c r="CE77" s="51"/>
      <c r="CF77" s="51"/>
      <c r="CG77" s="51"/>
      <c r="CH77" s="51"/>
      <c r="CI77" s="51"/>
      <c r="CJ77" s="51"/>
      <c r="CK77" s="51"/>
      <c r="CL77" s="51"/>
      <c r="CM77" s="51"/>
      <c r="CN77" s="51"/>
      <c r="CO77" s="51"/>
      <c r="CP77" s="51"/>
      <c r="CQ77" s="51"/>
      <c r="CR77" s="51"/>
      <c r="CS77" s="51"/>
      <c r="CT77" s="51"/>
      <c r="CU77" s="51"/>
      <c r="CV77" s="51"/>
      <c r="CW77" s="51"/>
      <c r="CX77" s="51"/>
      <c r="CY77" s="51"/>
      <c r="CZ77" s="51"/>
      <c r="DA77" s="51"/>
      <c r="DB77" s="51"/>
      <c r="DC77" s="51"/>
      <c r="DD77" s="51"/>
      <c r="DE77" s="51"/>
      <c r="DF77" s="51"/>
      <c r="DG77" s="51"/>
      <c r="DH77" s="51"/>
      <c r="DI77" s="51"/>
    </row>
    <row r="78" spans="2:113" x14ac:dyDescent="0.25">
      <c r="B78" s="12" t="str">
        <f>IF(C78="","",_xlfn.XLOOKUP(C78,Type_Compte,Num_Compte))</f>
        <v>20K6HE4</v>
      </c>
      <c r="C78" s="12" t="s">
        <v>158</v>
      </c>
      <c r="D78" t="e" vm="577">
        <v>#VALUE!</v>
      </c>
      <c r="E78" s="12" t="str" cm="1">
        <f t="array" aca="1" ref="E78" ca="1">_FV(Titres[[#This Row],[Action]],"Code mnémonique",TRUE)</f>
        <v>IEFA</v>
      </c>
      <c r="F78" t="str" cm="1">
        <f t="array" aca="1" ref="F78" ca="1">_FV(D78,"Change")</f>
        <v>CBOE BZX Exchange</v>
      </c>
      <c r="G78" t="str" cm="1">
        <f t="array" ref="G78">IFERROR(_FV(Titres[[#This Row],[Action]],"Industrie"),"")</f>
        <v/>
      </c>
      <c r="H78" t="s">
        <v>207</v>
      </c>
      <c r="I78" s="12" t="str" cm="1">
        <f t="array" aca="1" ref="I78" ca="1">_FV(D78,"Devise")</f>
        <v>USD</v>
      </c>
      <c r="J78" s="28">
        <v>110</v>
      </c>
      <c r="K78" s="41">
        <v>92.015000000000001</v>
      </c>
      <c r="L78" s="41">
        <f>J78*K78</f>
        <v>10121.65</v>
      </c>
      <c r="M78" s="41" cm="1">
        <f t="array" aca="1" ref="M78" ca="1">_FV(D78,"Prix")</f>
        <v>94.93</v>
      </c>
      <c r="N78" s="49">
        <f ca="1">J78*M78</f>
        <v>10442.300000000001</v>
      </c>
      <c r="O78" s="49">
        <f ca="1">IF(Titres[[#This Row],[Devise]]="CAD",Titres[[#This Row],[Valeur au marché
($ local)]],Titres[[#This Row],[Valeur au marché
($ local)]]*Ressources!$I$3)</f>
        <v>14264.181800000002</v>
      </c>
      <c r="P78" s="49" cm="1">
        <f t="array" aca="1" ref="P78" ca="1">(Titres[[#This Row],[Prix actuel]]-_FV(Titres[[#This Row],[Action]],"Clôture précédente",TRUE))*Titres[[#This Row],[Nb d''actions]]</f>
        <v>-232.09999999999994</v>
      </c>
      <c r="Q78" s="22">
        <f ca="1">Titres[[#This Row],[Variation du jour ($)]]/(Titres[[#This Row],[Valeur au marché
($ local)]]-Titres[[#This Row],[Variation du jour ($)]])</f>
        <v>-2.1743610882110461E-2</v>
      </c>
      <c r="R78" s="76">
        <f ca="1">Titres[[#This Row],[Valeur au marché
($ local)]]-Titres[[#This Row],[Coût total]]</f>
        <v>320.65000000000146</v>
      </c>
      <c r="S78" s="22">
        <f ca="1">Titres[[#This Row],[Gain non réalisé ($)]]/Titres[[#This Row],[Coût total]]</f>
        <v>3.1679617453676173E-2</v>
      </c>
      <c r="T78" s="50">
        <v>1.7110000000000001</v>
      </c>
      <c r="U78" s="41">
        <f>4*Titres[[#This Row],[Dividende trimestriel]]</f>
        <v>6.8440000000000003</v>
      </c>
      <c r="V78" s="41">
        <f>Titres[[#This Row],[Dividende annuel]]*Titres[[#This Row],[Nb d''actions]]</f>
        <v>752.84</v>
      </c>
      <c r="W78" s="25">
        <f ca="1">Titres[[#This Row],[Dividende annuel]]/Titres[[#This Row],[Prix actuel]]</f>
        <v>7.2095228062783095E-2</v>
      </c>
      <c r="X78" s="49">
        <f>Titres[[#This Row],[Dividende annuel]]/Titres[[#This Row],[Coût moyen]]</f>
        <v>7.4379177308047606E-2</v>
      </c>
      <c r="Z78" s="40">
        <f ca="1">(((Titres[[#This Row],[Valeur au marché
($ local)]]-Titres[[#This Row],[Coût total]])+Titres[[#This Row],[Total - dividendes reçus]])/Titres[[#This Row],[Coût total]])</f>
        <v>3.1679617453676173E-2</v>
      </c>
      <c r="AA78" s="38">
        <f>SUM(Titres[[#This Row],[Janvier 2019]:[Août 2024]])</f>
        <v>0</v>
      </c>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51"/>
      <c r="BA78" s="51"/>
      <c r="CA78" s="51"/>
      <c r="CB78" s="51"/>
      <c r="CC78" s="51"/>
      <c r="CD78" s="51"/>
      <c r="CE78" s="51"/>
      <c r="CF78" s="51"/>
      <c r="CG78" s="51"/>
      <c r="CH78" s="51"/>
      <c r="CI78" s="51"/>
      <c r="CJ78" s="51"/>
      <c r="CK78" s="51"/>
      <c r="CL78" s="51"/>
      <c r="CM78" s="51"/>
      <c r="CN78" s="51"/>
      <c r="CO78" s="51"/>
      <c r="CP78" s="51"/>
      <c r="CQ78" s="51"/>
      <c r="CR78" s="51"/>
      <c r="CS78" s="51"/>
      <c r="CT78" s="51"/>
      <c r="CU78" s="51"/>
      <c r="CV78" s="51"/>
      <c r="CW78" s="51"/>
      <c r="CX78" s="51"/>
      <c r="CY78" s="51"/>
      <c r="CZ78" s="51"/>
      <c r="DA78" s="51"/>
      <c r="DB78" s="51"/>
      <c r="DC78" s="51"/>
      <c r="DD78" s="51"/>
      <c r="DE78" s="51"/>
      <c r="DF78" s="51"/>
      <c r="DG78" s="51"/>
      <c r="DH78" s="51"/>
      <c r="DI78" s="51"/>
    </row>
    <row r="79" spans="2:113" x14ac:dyDescent="0.25">
      <c r="B79" s="12" t="s">
        <v>12</v>
      </c>
      <c r="E79" s="12">
        <f ca="1">SUBTOTAL(103,Titres[Symbole])</f>
        <v>73</v>
      </c>
      <c r="K79" s="41">
        <f>SUBTOTAL(101,Titres[Coût moyen])</f>
        <v>59.307613698630135</v>
      </c>
      <c r="L79" s="41">
        <f>SUBTOTAL(109,Titres[Coût total])</f>
        <v>388303.03700000007</v>
      </c>
      <c r="M79" s="41">
        <f ca="1">SUBTOTAL(101,Titres[Prix actuel])</f>
        <v>108.79137500000002</v>
      </c>
      <c r="N79" s="41">
        <f ca="1">SUBTOTAL(109,Titres[Valeur au marché
($ local)])</f>
        <v>626994.01500000013</v>
      </c>
      <c r="O79" s="41">
        <f ca="1">SUBTOTAL(109,Titres[Valeur au marché (CAD)])</f>
        <v>672201.78783000016</v>
      </c>
      <c r="P79" s="41">
        <f ca="1">SUBTOTAL(109,Titres[Variation du jour ($)])</f>
        <v>-4389.7149999999783</v>
      </c>
      <c r="Q79" s="46">
        <f ca="1">Titres[[#Totals],[Variation du jour ($)]]/(Titres[[#Totals],[Valeur au marché
($ local)]]-Titres[[#Totals],[Variation du jour ($)]])</f>
        <v>-6.952531070130644E-3</v>
      </c>
      <c r="R79" s="41">
        <f ca="1">SUBTOTAL(109,Titres[Gain non réalisé ($)])</f>
        <v>238690.97800000006</v>
      </c>
      <c r="S79" s="13">
        <f ca="1">Titres[[#Totals],[Gain non réalisé ($)]]/Titres[[#Totals],[Coût total]]</f>
        <v>0.61470283581634722</v>
      </c>
      <c r="T79" s="50">
        <f>SUBTOTAL(109,Titres[Dividende trimestriel])</f>
        <v>48.335999999999999</v>
      </c>
      <c r="U79" s="41">
        <f>SUBTOTAL(109,Titres[Dividende annuel])</f>
        <v>193.34399999999999</v>
      </c>
      <c r="V79" s="41">
        <f>SUBTOTAL(109,Titres[Revenu annuel anticipé])</f>
        <v>17184.78</v>
      </c>
      <c r="W79" s="46">
        <f ca="1">Titres[[#Totals],[Revenu annuel anticipé]]/Titres[[#Totals],[Valeur au marché
($ local)]]</f>
        <v>2.7408204207499485E-2</v>
      </c>
      <c r="X79" s="41">
        <f>SUBTOTAL(101,Titres[$ de dividendes par $ investi])</f>
        <v>4.721488012756675E-2</v>
      </c>
      <c r="Z79" s="62">
        <f ca="1">(((Titres[[#Totals],[Valeur au marché
($ local)]]-Titres[[#Totals],[Coût total]])+Titres[[#Totals],[Total - dividendes reçus]])/Titres[[#Totals],[Coût total]])</f>
        <v>0.72106597507760417</v>
      </c>
      <c r="AA79" s="38">
        <f>SUBTOTAL(109,Titres[Total - dividendes reçus])</f>
        <v>41301.130000000005</v>
      </c>
      <c r="AB79" s="38">
        <f>SUBTOTAL(109,Titres[Janvier 2019])</f>
        <v>215.74999999999997</v>
      </c>
      <c r="AC79" s="38">
        <f>SUBTOTAL(109,Titres[Février 2019])</f>
        <v>221.23</v>
      </c>
      <c r="AD79" s="38">
        <f>SUBTOTAL(109,Titres[Mars 2019])</f>
        <v>332.43000000000006</v>
      </c>
      <c r="AE79" s="38">
        <f>SUBTOTAL(109,Titres[Avril 2019])</f>
        <v>228.4</v>
      </c>
      <c r="AF79" s="38">
        <f>SUBTOTAL(109,Titres[Mai 2019])</f>
        <v>233.04999999999998</v>
      </c>
      <c r="AG79" s="38">
        <f>SUBTOTAL(109,Titres[Juin 2019])</f>
        <v>386.17000000000013</v>
      </c>
      <c r="AH79" s="38">
        <f>SUBTOTAL(109,Titres[Juillet 2019])</f>
        <v>246.32999999999998</v>
      </c>
      <c r="AI79" s="38">
        <f>SUBTOTAL(109,Titres[Août 2019])</f>
        <v>235.15</v>
      </c>
      <c r="AJ79" s="38">
        <f>SUBTOTAL(109,Titres[Septembre 2019])</f>
        <v>387.10000000000008</v>
      </c>
      <c r="AK79" s="38">
        <f>SUBTOTAL(109,Titres[Octobre 2019])</f>
        <v>250.8</v>
      </c>
      <c r="AL79" s="38">
        <f>SUBTOTAL(109,Titres[Novembre 2019])</f>
        <v>237.45000000000002</v>
      </c>
      <c r="AM79" s="38">
        <f>SUBTOTAL(109,Titres[Décembre 2019])</f>
        <v>381.17000000000007</v>
      </c>
      <c r="AN79" s="38">
        <f>SUBTOTAL(109,Titres[Janvier 2020])</f>
        <v>338.88</v>
      </c>
      <c r="AO79" s="38">
        <f>SUBTOTAL(109,Titres[Février 2020])</f>
        <v>212.84</v>
      </c>
      <c r="AP79" s="38">
        <f>SUBTOTAL(109,Titres[Mars 2020])</f>
        <v>449.80999999999995</v>
      </c>
      <c r="AQ79" s="38">
        <f>SUBTOTAL(109,Titres[Avril 2020])</f>
        <v>417.00999999999993</v>
      </c>
      <c r="AR79" s="38">
        <f>SUBTOTAL(109,Titres[Mai 2020])</f>
        <v>260.65000000000003</v>
      </c>
      <c r="AS79" s="38">
        <f>SUBTOTAL(109,Titres[Juin 2020])</f>
        <v>463.99999999999994</v>
      </c>
      <c r="AT79" s="38">
        <f>SUBTOTAL(109,Titres[Juillet 2020])</f>
        <v>524.28</v>
      </c>
      <c r="AU79" s="38">
        <f>SUBTOTAL(109,Titres[Août 2020])</f>
        <v>204.46</v>
      </c>
      <c r="AV79" s="38">
        <f>SUBTOTAL(109,Titres[Septembre 2020])</f>
        <v>463.99999999999994</v>
      </c>
      <c r="AW79" s="38">
        <f>SUBTOTAL(109,Titres[Octobre 2020])</f>
        <v>563.16</v>
      </c>
      <c r="AX79" s="38">
        <f>SUBTOTAL(109,Titres[Novembre 2020])</f>
        <v>198.64</v>
      </c>
      <c r="AY79" s="38">
        <f>SUBTOTAL(109,Titres[Décembre 2020])</f>
        <v>423.63</v>
      </c>
      <c r="AZ79" s="51">
        <f>SUBTOTAL(109,Titres[Janvier 2021])</f>
        <v>533.47</v>
      </c>
      <c r="BA79" s="51">
        <f>SUBTOTAL(109,Titres[Février 2021])</f>
        <v>382.64999999999992</v>
      </c>
      <c r="BB79" s="51">
        <f>SUBTOTAL(109,Titres[Mars 2021])</f>
        <v>501.31999999999994</v>
      </c>
      <c r="BC79" s="51">
        <f>SUBTOTAL(109,Titres[Avril 2021])</f>
        <v>755.15</v>
      </c>
      <c r="BD79" s="51">
        <f>SUBTOTAL(109,Titres[Mai 2021])</f>
        <v>246.80999999999995</v>
      </c>
      <c r="BE79" s="51">
        <f>SUBTOTAL(109,Titres[Juin 2021])</f>
        <v>516.80999999999995</v>
      </c>
      <c r="BF79" s="51">
        <f>SUBTOTAL(109,Titres[Juillet 2021])</f>
        <v>783.27</v>
      </c>
      <c r="BG79" s="51">
        <f>SUBTOTAL(109,Titres[Août 2021])</f>
        <v>284.72999999999996</v>
      </c>
      <c r="BH79" s="51">
        <f>SUBTOTAL(109,Titres[Septembre 2021])</f>
        <v>481.82999999999993</v>
      </c>
      <c r="BI79" s="51">
        <f>SUBTOTAL(109,Titres[Octobre 2021])</f>
        <v>774.43999999999994</v>
      </c>
      <c r="BJ79" s="51">
        <f>SUBTOTAL(109,Titres[Novembre 2021])</f>
        <v>400.53999999999996</v>
      </c>
      <c r="BK79" s="51">
        <f>SUBTOTAL(109,Titres[Décembre 2021])</f>
        <v>566.64999999999986</v>
      </c>
      <c r="BL79" s="51">
        <f>SUBTOTAL(109,Titres[Janvier 2022])</f>
        <v>902.46999999999991</v>
      </c>
      <c r="BM79" s="51">
        <f>SUBTOTAL(109,Titres[Février 2022])</f>
        <v>388.73999999999995</v>
      </c>
      <c r="BN79" s="51">
        <f>SUBTOTAL(109,Titres[Mars 2022])</f>
        <v>675.25</v>
      </c>
      <c r="BO79" s="51">
        <f>SUBTOTAL(109,Titres[Avril 2022])</f>
        <v>1005.1600000000001</v>
      </c>
      <c r="BP79" s="51">
        <f>SUBTOTAL(109,Titres[Mai 2022])</f>
        <v>309.40999999999997</v>
      </c>
      <c r="BQ79" s="51">
        <f>SUBTOTAL(109,Titres[Juin 2022])</f>
        <v>692.29</v>
      </c>
      <c r="BR79" s="51">
        <f>SUBTOTAL(109,Titres[Juillet 2022])</f>
        <v>1138.79</v>
      </c>
      <c r="BS79" s="51">
        <f>SUBTOTAL(109,Titres[Août 2022])</f>
        <v>305.44000000000005</v>
      </c>
      <c r="BT79" s="51">
        <f>SUBTOTAL(109,Titres[Septembre 2022])</f>
        <v>672.17</v>
      </c>
      <c r="BU79" s="51">
        <f>SUBTOTAL(109,Titres[Octobre 2022])</f>
        <v>1199.7099999999998</v>
      </c>
      <c r="BV79" s="51">
        <f>SUBTOTAL(109,Titres[Novembre 2022])</f>
        <v>390.82000000000005</v>
      </c>
      <c r="BW79" s="51">
        <f>SUBTOTAL(109,Titres[Décembre 2022])</f>
        <v>809.37</v>
      </c>
      <c r="BX79" s="51">
        <f>SUBTOTAL(109,Titres[Janvier 2023])</f>
        <v>1257.49</v>
      </c>
      <c r="BY79" s="51">
        <f>SUBTOTAL(109,Titres[Février 2023])</f>
        <v>396.95</v>
      </c>
      <c r="BZ79" s="51">
        <f>SUBTOTAL(109,Titres[Mars 2023])</f>
        <v>531.83000000000004</v>
      </c>
      <c r="CA79" s="51">
        <f>SUBTOTAL(109,Titres[Avril 2023])</f>
        <v>1354.98</v>
      </c>
      <c r="CB79" s="51">
        <f>SUBTOTAL(109,Titres[Mai 2023])</f>
        <v>486.87</v>
      </c>
      <c r="CC79" s="51">
        <f>SUBTOTAL(109,Titres[.Juin 2023])</f>
        <v>846.28</v>
      </c>
      <c r="CD79" s="51">
        <f>SUBTOTAL(109,Titres[Juillet 2023])</f>
        <v>1402.3</v>
      </c>
      <c r="CE79" s="51">
        <f>SUBTOTAL(109,Titres[Août 2023])</f>
        <v>721.78000000000031</v>
      </c>
      <c r="CF79" s="51">
        <f>SUBTOTAL(109,Titres[Septembre 2023])</f>
        <v>835.06000000000006</v>
      </c>
      <c r="CG79" s="51">
        <f>SUBTOTAL(109,Titres[Octobre 2023])</f>
        <v>1402.4900000000002</v>
      </c>
      <c r="CH79" s="51">
        <f>SUBTOTAL(109,Titres[Novembre 2023])</f>
        <v>435.43</v>
      </c>
      <c r="CI79" s="51">
        <f>SUBTOTAL(109,Titres[Décembre 2023])</f>
        <v>840.4</v>
      </c>
      <c r="CJ79" s="51">
        <f>SUBTOTAL(109,Titres[Janvier 2024])</f>
        <v>1571.71</v>
      </c>
      <c r="CK79" s="51">
        <f>SUBTOTAL(109,Titres[Février 2024])</f>
        <v>439.99</v>
      </c>
      <c r="CL79" s="51">
        <f>SUBTOTAL(109,Titres[Mars 2024])</f>
        <v>1448.1399999999999</v>
      </c>
      <c r="CM79" s="51">
        <f>SUBTOTAL(109,Titres[Avril 2024])</f>
        <v>1171.76</v>
      </c>
      <c r="CN79" s="51">
        <f>SUBTOTAL(109,Titres[Mai 2024])</f>
        <v>476.95999999999992</v>
      </c>
      <c r="CO79" s="51">
        <f>SUBTOTAL(109,Titres[Juin 2024])</f>
        <v>507.92999999999995</v>
      </c>
      <c r="CP79" s="51">
        <f>SUBTOTAL(109,Titres[Juillet 2024])</f>
        <v>2121.8100000000004</v>
      </c>
      <c r="CQ79" s="51">
        <f>SUBTOTAL(109,Titres[Août 2024])</f>
        <v>457.29</v>
      </c>
      <c r="CR79" s="51">
        <f>SUBTOTAL(109,Titres[Septembre 2024])</f>
        <v>1582.27</v>
      </c>
      <c r="CS79" s="51">
        <f>SUBTOTAL(109,Titres[Octobre 2024])</f>
        <v>956.37999999999988</v>
      </c>
      <c r="CT79" s="51">
        <f>SUBTOTAL(109,Titres[Novembre 2024])</f>
        <v>480.04999999999995</v>
      </c>
      <c r="CU79" s="51">
        <f>SUBTOTAL(109,Titres[Décembre 2024])</f>
        <v>913.29000000000008</v>
      </c>
      <c r="CV79" s="51">
        <f>SUBTOTAL(109,Titres[Janvier 2025])</f>
        <v>1951.04</v>
      </c>
      <c r="CW79" s="51">
        <f>SUBTOTAL(109,Titres[Février 2025])</f>
        <v>342.83</v>
      </c>
      <c r="CX79" s="51">
        <f>SUBTOTAL(109,Titres[Mars 2025])</f>
        <v>1633.56</v>
      </c>
      <c r="CY79" s="51">
        <f>SUBTOTAL(109,Titres[Avril 2025])</f>
        <v>1005.4000000000001</v>
      </c>
      <c r="CZ79" s="51">
        <f>SUBTOTAL(109,Titres[Mai 2025])</f>
        <v>620.53</v>
      </c>
      <c r="DA79" s="51">
        <f>SUBTOTAL(109,Titres[Juin 2025])</f>
        <v>1737.5900000000001</v>
      </c>
      <c r="DB79" s="51">
        <f>SUBTOTAL(109,Titres[Juillet 2025])</f>
        <v>1132.1999999999998</v>
      </c>
      <c r="DC79" s="51">
        <f>SUBTOTAL(109,Titres[Août 2025])</f>
        <v>690.68000000000006</v>
      </c>
      <c r="DD79" s="51">
        <f>SUBTOTAL(109,Titres[Septembre 2025])</f>
        <v>1674.4100000000003</v>
      </c>
      <c r="DE79" s="51">
        <f>SUBTOTAL(109,Titres[Octobre 2025])</f>
        <v>1177.56</v>
      </c>
      <c r="DF79" s="51">
        <f>SUBTOTAL(109,Titres[Novembre 2025])</f>
        <v>600.43999999999994</v>
      </c>
      <c r="DG79" s="51">
        <f>SUBTOTAL(109,Titres[Décembre 2025])</f>
        <v>982.98</v>
      </c>
      <c r="DH79" s="51">
        <f>SUBTOTAL(109,Titres[Janvier 2026])</f>
        <v>2237.06</v>
      </c>
      <c r="DI79" s="51">
        <f>SUBTOTAL(109,Titres[Février 2026])</f>
        <v>673.17999999999984</v>
      </c>
    </row>
  </sheetData>
  <phoneticPr fontId="5" type="noConversion"/>
  <conditionalFormatting sqref="N6:O78">
    <cfRule type="dataBar" priority="21">
      <dataBar>
        <cfvo type="min"/>
        <cfvo type="max"/>
        <color rgb="FF638EC6"/>
      </dataBar>
      <extLst>
        <ext xmlns:x14="http://schemas.microsoft.com/office/spreadsheetml/2009/9/main" uri="{B025F937-C7B1-47D3-B67F-A62EFF666E3E}">
          <x14:id>{A71072F7-9786-4ECA-9644-D88BC2B7C935}</x14:id>
        </ext>
      </extLst>
    </cfRule>
  </conditionalFormatting>
  <dataValidations count="2">
    <dataValidation type="list" allowBlank="1" showInputMessage="1" showErrorMessage="1" sqref="C6:C78" xr:uid="{B722833E-49CD-4C64-8E25-37CCD2E59739}">
      <formula1>Type_Compte</formula1>
    </dataValidation>
    <dataValidation type="list" allowBlank="1" showInputMessage="1" showErrorMessage="1" sqref="H6:H78" xr:uid="{6D3F6B5B-BB72-4A7E-A056-B4C21AB19E8E}">
      <formula1>Categorie</formula1>
    </dataValidation>
  </dataValidations>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71072F7-9786-4ECA-9644-D88BC2B7C935}">
            <x14:dataBar minLength="0" maxLength="100" gradient="0">
              <x14:cfvo type="autoMin"/>
              <x14:cfvo type="autoMax"/>
              <x14:negativeFillColor rgb="FFFF0000"/>
              <x14:axisColor rgb="FF000000"/>
            </x14:dataBar>
          </x14:cfRule>
          <xm:sqref>N6:O78</xm:sqref>
        </x14:conditionalFormatting>
        <x14:conditionalFormatting xmlns:xm="http://schemas.microsoft.com/office/excel/2006/main">
          <x14:cfRule type="iconSet" priority="25" id="{58203891-23C6-4C04-BC9F-F9E87CA24BE0}">
            <x14:iconSet iconSet="3Triangles">
              <x14:cfvo type="percent">
                <xm:f>0</xm:f>
              </x14:cfvo>
              <x14:cfvo type="num">
                <xm:f>0</xm:f>
              </x14:cfvo>
              <x14:cfvo type="num" gte="0">
                <xm:f>0</xm:f>
              </x14:cfvo>
            </x14:iconSet>
          </x14:cfRule>
          <xm:sqref>Q6:Q79</xm:sqref>
        </x14:conditionalFormatting>
        <x14:conditionalFormatting xmlns:xm="http://schemas.microsoft.com/office/excel/2006/main">
          <x14:cfRule type="iconSet" priority="24" id="{BF5156D4-0E94-49E3-A577-F0AA01465641}">
            <x14:iconSet iconSet="3Stars">
              <x14:cfvo type="percent">
                <xm:f>0</xm:f>
              </x14:cfvo>
              <x14:cfvo type="num">
                <xm:f>25</xm:f>
              </x14:cfvo>
              <x14:cfvo type="num">
                <xm:f>50</xm:f>
              </x14:cfvo>
            </x14:iconSet>
          </x14:cfRule>
          <xm:sqref>Y6:Y78</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4BA27-F424-404D-A42F-6BA3A525335B}">
  <sheetPr codeName="Feuil3">
    <tabColor theme="8" tint="-0.499984740745262"/>
  </sheetPr>
  <dimension ref="B1:S7"/>
  <sheetViews>
    <sheetView workbookViewId="0">
      <selection activeCell="J2" sqref="J2"/>
    </sheetView>
  </sheetViews>
  <sheetFormatPr baseColWidth="10" defaultColWidth="11.42578125" defaultRowHeight="15" x14ac:dyDescent="0.25"/>
  <cols>
    <col min="1" max="1" width="3.42578125" customWidth="1"/>
    <col min="2" max="2" width="11" customWidth="1"/>
    <col min="4" max="4" width="10.28515625" customWidth="1"/>
    <col min="6" max="6" width="24" customWidth="1"/>
    <col min="7" max="7" width="10.28515625" customWidth="1"/>
    <col min="8" max="8" width="15.42578125" customWidth="1"/>
  </cols>
  <sheetData>
    <row r="1" spans="2:19" ht="22.5" x14ac:dyDescent="0.3">
      <c r="B1" s="102" t="s">
        <v>44</v>
      </c>
      <c r="C1" s="102"/>
      <c r="D1" s="102"/>
      <c r="E1" s="102"/>
      <c r="F1" s="102"/>
      <c r="G1" s="102"/>
      <c r="H1" s="102"/>
      <c r="I1" s="108" t="s">
        <v>282</v>
      </c>
      <c r="J1" s="109">
        <v>19.45</v>
      </c>
      <c r="K1" s="102"/>
      <c r="L1" s="102"/>
      <c r="M1" s="102"/>
      <c r="N1" s="102"/>
      <c r="O1" s="102"/>
      <c r="P1" s="102"/>
      <c r="Q1" s="102"/>
      <c r="R1" s="102"/>
      <c r="S1" s="102"/>
    </row>
    <row r="3" spans="2:19" s="8" customFormat="1" ht="45" customHeight="1" x14ac:dyDescent="0.25">
      <c r="B3" s="8" t="s">
        <v>239</v>
      </c>
      <c r="C3" s="8" t="s">
        <v>7</v>
      </c>
      <c r="D3" s="8" t="s">
        <v>238</v>
      </c>
      <c r="E3" s="8" t="s">
        <v>120</v>
      </c>
      <c r="F3" s="8" t="s">
        <v>237</v>
      </c>
      <c r="G3" s="8" t="s">
        <v>151</v>
      </c>
      <c r="H3" s="8" t="s">
        <v>6</v>
      </c>
      <c r="I3" s="8" t="s">
        <v>58</v>
      </c>
      <c r="J3" s="8" t="s">
        <v>59</v>
      </c>
    </row>
    <row r="4" spans="2:19" x14ac:dyDescent="0.25">
      <c r="B4" s="12">
        <v>2022</v>
      </c>
      <c r="C4" s="30">
        <v>174.11500000000001</v>
      </c>
      <c r="D4" s="49">
        <v>17.23</v>
      </c>
      <c r="E4" s="41">
        <f>C4*D4</f>
        <v>3000.0014500000002</v>
      </c>
      <c r="F4" s="100">
        <v>47389</v>
      </c>
      <c r="G4" s="41">
        <f>$J$1</f>
        <v>19.45</v>
      </c>
      <c r="H4" s="41">
        <f>Tableau4[[#This Row],[Nb]]*Tableau4[[#This Row],[Prix actuel]]</f>
        <v>3386.5367500000002</v>
      </c>
      <c r="I4" s="41">
        <f>Tableau4[[#This Row],[Valeur marchande]]-Tableau4[[#This Row],[Coût total]]</f>
        <v>386.53530000000001</v>
      </c>
      <c r="J4" s="22">
        <f>Tableau4[[#This Row],[Gain ($)]]/Tableau4[[#This Row],[Coût total]]</f>
        <v>0.12884503772489841</v>
      </c>
    </row>
    <row r="5" spans="2:19" x14ac:dyDescent="0.25">
      <c r="B5" s="12">
        <v>2024</v>
      </c>
      <c r="C5" s="30">
        <v>168.53909999999999</v>
      </c>
      <c r="D5" s="49">
        <v>17.8</v>
      </c>
      <c r="E5" s="41">
        <f>C5*D5</f>
        <v>2999.9959800000001</v>
      </c>
      <c r="F5" s="100">
        <v>48116</v>
      </c>
      <c r="G5" s="41">
        <f>$J$1</f>
        <v>19.45</v>
      </c>
      <c r="H5" s="41">
        <f>Tableau4[[#This Row],[Nb]]*Tableau4[[#This Row],[Prix actuel]]</f>
        <v>3278.0854949999998</v>
      </c>
      <c r="I5" s="41">
        <f>Tableau4[[#This Row],[Valeur marchande]]-Tableau4[[#This Row],[Coût total]]</f>
        <v>278.08951499999966</v>
      </c>
      <c r="J5" s="22">
        <f>Tableau4[[#This Row],[Gain ($)]]/Tableau4[[#This Row],[Coût total]]</f>
        <v>9.2696629213483026E-2</v>
      </c>
    </row>
    <row r="6" spans="2:19" x14ac:dyDescent="0.25">
      <c r="B6" s="12">
        <v>2025</v>
      </c>
      <c r="C6" s="30">
        <v>267.80919999999998</v>
      </c>
      <c r="D6" s="49">
        <v>18.670000000000002</v>
      </c>
      <c r="E6" s="41">
        <f>C6*D6</f>
        <v>4999.9977639999997</v>
      </c>
      <c r="F6" s="100">
        <v>48490</v>
      </c>
      <c r="G6" s="41">
        <f>$J$1</f>
        <v>19.45</v>
      </c>
      <c r="H6" s="41">
        <f>Tableau4[[#This Row],[Nb]]*Tableau4[[#This Row],[Prix actuel]]</f>
        <v>5208.8889399999989</v>
      </c>
      <c r="I6" s="41">
        <f>Tableau4[[#This Row],[Valeur marchande]]-Tableau4[[#This Row],[Coût total]]</f>
        <v>208.89117599999918</v>
      </c>
      <c r="J6" s="22">
        <f>Tableau4[[#This Row],[Gain ($)]]/Tableau4[[#This Row],[Coût total]]</f>
        <v>4.1778253883234973E-2</v>
      </c>
    </row>
    <row r="7" spans="2:19" x14ac:dyDescent="0.25">
      <c r="B7" s="12" t="s">
        <v>12</v>
      </c>
      <c r="C7" s="12"/>
      <c r="D7" s="12"/>
      <c r="E7" s="41">
        <f>SUBTOTAL(109,Tableau4[Coût total])</f>
        <v>10999.995193999999</v>
      </c>
      <c r="F7" s="12"/>
      <c r="G7" s="12"/>
      <c r="H7" s="41">
        <f>SUBTOTAL(109,Tableau4[Valeur marchande])</f>
        <v>11873.511184999999</v>
      </c>
      <c r="I7" s="41">
        <f>Tableau4[[#Totals],[Valeur marchande]]-Tableau4[[#Totals],[Coût total]]</f>
        <v>873.51599100000021</v>
      </c>
      <c r="J7" s="13">
        <f>Tableau4[[#Totals],[Gain ($)]]/Tableau4[[#Totals],[Coût total]]</f>
        <v>7.9410579331567685E-2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3FDDC-088D-4F45-AD32-612211B794BD}">
  <sheetPr codeName="Feuil4">
    <tabColor theme="8" tint="-0.499984740745262"/>
  </sheetPr>
  <dimension ref="B1:S80"/>
  <sheetViews>
    <sheetView workbookViewId="0">
      <selection activeCell="D7" sqref="D7"/>
    </sheetView>
  </sheetViews>
  <sheetFormatPr baseColWidth="10" defaultColWidth="11.42578125" defaultRowHeight="15" x14ac:dyDescent="0.25"/>
  <cols>
    <col min="2" max="2" width="23" customWidth="1"/>
    <col min="3" max="3" width="6.140625" style="12" customWidth="1"/>
    <col min="4" max="4" width="41.140625" bestFit="1" customWidth="1"/>
    <col min="5" max="5" width="8.7109375" customWidth="1"/>
    <col min="6" max="6" width="23.5703125" bestFit="1" customWidth="1"/>
    <col min="7" max="7" width="33.140625" style="26" bestFit="1" customWidth="1"/>
    <col min="8" max="8" width="8.28515625" style="12" customWidth="1"/>
    <col min="9" max="9" width="12.42578125" style="12" customWidth="1"/>
    <col min="10" max="10" width="6.140625" style="12" customWidth="1"/>
    <col min="11" max="11" width="12.42578125" style="12" customWidth="1"/>
    <col min="12" max="13" width="11.42578125" style="12"/>
    <col min="15" max="15" width="9.140625" style="12" customWidth="1"/>
    <col min="16" max="16" width="13.85546875" customWidth="1"/>
    <col min="17" max="17" width="11.42578125" style="12"/>
  </cols>
  <sheetData>
    <row r="1" spans="2:19" ht="22.5" x14ac:dyDescent="0.3">
      <c r="B1" s="102" t="s">
        <v>247</v>
      </c>
      <c r="C1" s="102"/>
      <c r="D1" s="102"/>
      <c r="E1" s="102"/>
      <c r="F1" s="102"/>
      <c r="G1" s="102"/>
      <c r="H1" s="102"/>
      <c r="I1" s="102"/>
      <c r="J1" s="102"/>
      <c r="K1" s="102"/>
      <c r="L1" s="102"/>
      <c r="M1" s="102"/>
      <c r="N1" s="102"/>
      <c r="O1" s="102"/>
      <c r="P1" s="102"/>
      <c r="Q1" s="102"/>
      <c r="R1" s="102"/>
      <c r="S1" s="102"/>
    </row>
    <row r="3" spans="2:19" s="8" customFormat="1" ht="60" customHeight="1" x14ac:dyDescent="0.25">
      <c r="B3" s="8" t="s">
        <v>180</v>
      </c>
      <c r="C3" s="83" t="s">
        <v>195</v>
      </c>
      <c r="D3" s="8" t="s">
        <v>8</v>
      </c>
      <c r="E3" s="8" t="s">
        <v>1</v>
      </c>
      <c r="F3" s="8" t="s">
        <v>26</v>
      </c>
      <c r="G3" s="23" t="s">
        <v>156</v>
      </c>
      <c r="H3" s="8" t="s">
        <v>155</v>
      </c>
      <c r="I3" s="8" t="s">
        <v>151</v>
      </c>
      <c r="J3" s="83" t="s">
        <v>196</v>
      </c>
      <c r="K3" s="8" t="s">
        <v>163</v>
      </c>
      <c r="L3" s="8" t="s">
        <v>164</v>
      </c>
      <c r="M3" s="8" t="s">
        <v>165</v>
      </c>
      <c r="N3" s="8" t="s">
        <v>166</v>
      </c>
      <c r="O3" s="8" t="s">
        <v>182</v>
      </c>
      <c r="P3" s="8" t="s">
        <v>184</v>
      </c>
      <c r="Q3" s="8" t="s">
        <v>154</v>
      </c>
    </row>
    <row r="4" spans="2:19" x14ac:dyDescent="0.25">
      <c r="B4" t="s">
        <v>183</v>
      </c>
      <c r="D4" t="e" vm="578">
        <v>#VALUE!</v>
      </c>
      <c r="E4" t="str" cm="1">
        <f t="array" aca="1" ref="E4" ca="1">_FV(Tableau8[[#This Row],[Action]],"Code mnémonique",TRUE)</f>
        <v>LEG</v>
      </c>
      <c r="F4" t="str" cm="1">
        <f t="array" aca="1" ref="F4" ca="1">_FV(Tableau8[[#This Row],[Action]],"Change")</f>
        <v>New York Stock Exchange</v>
      </c>
      <c r="G4" s="26" t="str" cm="1">
        <f t="array" aca="1" ref="G4" ca="1">IFERROR(_FV(Tableau8[[#This Row],[Action]],"industrie"),"")</f>
        <v>Household Goods</v>
      </c>
      <c r="H4" s="12" t="str" cm="1">
        <f t="array" aca="1" ref="H4" ca="1">_FV(Tableau8[[#This Row],[Action]],"Devise")</f>
        <v>USD</v>
      </c>
      <c r="I4" s="41" cm="1">
        <f t="array" aca="1" ref="I4" ca="1">_FV(Tableau8[[#This Row],[Action]],"Prix")</f>
        <v>11.67</v>
      </c>
      <c r="J4" s="41"/>
      <c r="K4" s="50">
        <v>0.44</v>
      </c>
      <c r="L4" s="41">
        <f>4*Tableau8[[#This Row],[Dividende trimestriel]]</f>
        <v>1.76</v>
      </c>
      <c r="M4" s="22">
        <f ca="1">Tableau8[[#This Row],[Dividende annuel]]/Tableau8[[#This Row],[Prix actuel]]</f>
        <v>0.15081405312767782</v>
      </c>
      <c r="N4" s="12">
        <v>29</v>
      </c>
      <c r="O4" s="74" cm="1">
        <f t="array" aca="1" ref="O4" ca="1">IFERROR(_FV(Tableau8[[#This Row],[Action]],"Bêta"),"")</f>
        <v>0.85140000000000005</v>
      </c>
      <c r="P4" s="75" cm="1">
        <f t="array" aca="1" ref="P4" ca="1">_FV(Tableau8[[#This Row],[Action]],"Capitalisation boursière",TRUE)</f>
        <v>1591820676</v>
      </c>
      <c r="Q4" s="28" cm="1">
        <f t="array" aca="1" ref="Q4" ca="1">IFERROR(_FV(Tableau8[[#This Row],[Action]],"Année de constitution",TRUE),"")</f>
        <v>1901</v>
      </c>
    </row>
    <row r="5" spans="2:19" x14ac:dyDescent="0.25">
      <c r="B5" t="s">
        <v>181</v>
      </c>
      <c r="D5" t="e" vm="579">
        <v>#VALUE!</v>
      </c>
      <c r="E5" t="str" cm="1">
        <f t="array" aca="1" ref="E5" ca="1">_FV(Tableau8[[#This Row],[Action]],"Code mnémonique",TRUE)</f>
        <v>JEPI</v>
      </c>
      <c r="F5" t="str" cm="1">
        <f t="array" aca="1" ref="F5" ca="1">_FV(Tableau8[[#This Row],[Action]],"Change")</f>
        <v>NYSE Arca</v>
      </c>
      <c r="G5" s="26" t="str" cm="1">
        <f t="array" ref="G5">IFERROR(_FV(Tableau8[[#This Row],[Action]],"industrie"),"")</f>
        <v/>
      </c>
      <c r="H5" s="12" t="str" cm="1">
        <f t="array" aca="1" ref="H5" ca="1">_FV(Tableau8[[#This Row],[Action]],"Devise")</f>
        <v>USD</v>
      </c>
      <c r="I5" s="41" cm="1">
        <f t="array" aca="1" ref="I5" ca="1">_FV(Tableau8[[#This Row],[Action]],"Prix")</f>
        <v>57.53</v>
      </c>
      <c r="J5" s="41"/>
      <c r="K5" s="50">
        <v>1.7190000000000001</v>
      </c>
      <c r="L5" s="41">
        <f>4*Tableau8[[#This Row],[Dividende trimestriel]]</f>
        <v>6.8760000000000003</v>
      </c>
      <c r="M5" s="22">
        <f ca="1">Tableau8[[#This Row],[Dividende annuel]]/Tableau8[[#This Row],[Prix actuel]]</f>
        <v>0.11952025030418913</v>
      </c>
      <c r="N5" s="12">
        <v>2</v>
      </c>
      <c r="O5" s="12" cm="1">
        <f t="array" aca="1" ref="O5" ca="1">IFERROR(_FV(Tableau8[[#This Row],[Action]],"Bêta"),"")</f>
        <v>0.42270000000000002</v>
      </c>
      <c r="P5" s="75" cm="1">
        <f t="array" aca="1" ref="P5" ca="1">_FV(Tableau8[[#This Row],[Action]],"Capitalisation boursière",TRUE)</f>
        <v>43964334916.989998</v>
      </c>
      <c r="Q5" s="12" t="str" cm="1">
        <f t="array" ref="Q5">IFERROR(_FV(Tableau8[[#This Row],[Action]],"Année de constitution",TRUE),"")</f>
        <v/>
      </c>
    </row>
    <row r="6" spans="2:19" x14ac:dyDescent="0.25">
      <c r="B6" t="s">
        <v>194</v>
      </c>
      <c r="D6" t="e" vm="576">
        <v>#VALUE!</v>
      </c>
      <c r="E6" t="str" cm="1">
        <f t="array" aca="1" ref="E6" ca="1">_FV(Tableau8[[#This Row],[Action]],"Code mnémonique",TRUE)</f>
        <v>X</v>
      </c>
      <c r="F6" t="str" cm="1">
        <f t="array" aca="1" ref="F6" ca="1">_FV(Tableau8[[#This Row],[Action]],"Change")</f>
        <v>Toronto Stock Exchange</v>
      </c>
      <c r="G6" s="26" t="str" cm="1">
        <f t="array" aca="1" ref="G6" ca="1">IFERROR(_FV(Tableau8[[#This Row],[Action]],"industrie"),"")</f>
        <v>Investment Banking &amp; Investment Services</v>
      </c>
      <c r="H6" s="12" t="str" cm="1">
        <f t="array" aca="1" ref="H6" ca="1">_FV(Tableau8[[#This Row],[Action]],"Devise")</f>
        <v>CAD</v>
      </c>
      <c r="I6" s="41" cm="1">
        <f t="array" aca="1" ref="I6" ca="1">_FV(Tableau8[[#This Row],[Action]],"Prix")</f>
        <v>53.89</v>
      </c>
      <c r="J6" s="41"/>
      <c r="K6" s="50">
        <v>0.83</v>
      </c>
      <c r="L6" s="41">
        <f>4*Tableau8[[#This Row],[Dividende trimestriel]]</f>
        <v>3.32</v>
      </c>
      <c r="M6" s="22">
        <f ca="1">Tableau8[[#This Row],[Dividende annuel]]/Tableau8[[#This Row],[Prix actuel]]</f>
        <v>6.1606977175728335E-2</v>
      </c>
      <c r="N6" s="12">
        <v>7</v>
      </c>
      <c r="O6" s="74" cm="1">
        <f t="array" aca="1" ref="O6" ca="1">IFERROR(_FV(Tableau8[[#This Row],[Action]],"Bêta"),"")</f>
        <v>3.5099999999999999E-2</v>
      </c>
      <c r="P6" s="75" cm="1">
        <f t="array" aca="1" ref="P6" ca="1">_FV(Tableau8[[#This Row],[Action]],"Capitalisation boursière",TRUE)</f>
        <v>14930278390</v>
      </c>
      <c r="Q6" s="12" cm="1">
        <f t="array" aca="1" ref="Q6" ca="1">IFERROR(_FV(Tableau8[[#This Row],[Action]],"Année de constitution",TRUE),"")</f>
        <v>2017</v>
      </c>
    </row>
    <row r="7" spans="2:19" x14ac:dyDescent="0.25">
      <c r="B7" t="s">
        <v>194</v>
      </c>
      <c r="D7" t="e" vm="580">
        <v>#VALUE!</v>
      </c>
      <c r="E7" t="str" cm="1">
        <f t="array" aca="1" ref="E7" ca="1">_FV(Tableau8[[#This Row],[Action]],"Code mnémonique",TRUE)</f>
        <v>CNQ</v>
      </c>
      <c r="F7" t="str" cm="1">
        <f t="array" aca="1" ref="F7" ca="1">_FV(Tableau8[[#This Row],[Action]],"Change")</f>
        <v>Toronto Stock Exchange</v>
      </c>
      <c r="G7" s="26" t="str" cm="1">
        <f t="array" aca="1" ref="G7" ca="1">IFERROR(_FV(Tableau8[[#This Row],[Action]],"industrie"),"")</f>
        <v>Oil &amp; Gas</v>
      </c>
      <c r="H7" s="12" t="str" cm="1">
        <f t="array" aca="1" ref="H7" ca="1">_FV(Tableau8[[#This Row],[Action]],"Devise")</f>
        <v>CAD</v>
      </c>
      <c r="I7" s="41" cm="1">
        <f t="array" aca="1" ref="I7" ca="1">_FV(Tableau8[[#This Row],[Action]],"Prix")</f>
        <v>60.55</v>
      </c>
      <c r="J7" s="41"/>
      <c r="K7" s="50">
        <v>0.85</v>
      </c>
      <c r="L7" s="41">
        <f>4*Tableau8[[#This Row],[Dividende trimestriel]]</f>
        <v>3.4</v>
      </c>
      <c r="M7" s="22">
        <f ca="1">Tableau8[[#This Row],[Dividende annuel]]/Tableau8[[#This Row],[Prix actuel]]</f>
        <v>5.615194054500413E-2</v>
      </c>
      <c r="N7" s="12">
        <v>11</v>
      </c>
      <c r="O7" s="74" cm="1">
        <f t="array" aca="1" ref="O7" ca="1">IFERROR(_FV(Tableau8[[#This Row],[Action]],"Bêta"),"")</f>
        <v>0.84470000000000001</v>
      </c>
      <c r="P7" s="75" cm="1">
        <f t="array" aca="1" ref="P7" ca="1">_FV(Tableau8[[#This Row],[Action]],"Capitalisation boursière",TRUE)</f>
        <v>126301850500</v>
      </c>
      <c r="Q7" s="12" cm="1">
        <f t="array" aca="1" ref="Q7" ca="1">IFERROR(_FV(Tableau8[[#This Row],[Action]],"Année de constitution",TRUE),"")</f>
        <v>2015</v>
      </c>
    </row>
    <row r="8" spans="2:19" x14ac:dyDescent="0.25">
      <c r="B8" t="s">
        <v>183</v>
      </c>
      <c r="D8" t="e" vm="581">
        <v>#VALUE!</v>
      </c>
      <c r="E8" t="str" cm="1">
        <f t="array" aca="1" ref="E8" ca="1">_FV(Tableau8[[#This Row],[Action]],"Code mnémonique",TRUE)</f>
        <v>UVV</v>
      </c>
      <c r="F8" t="str" cm="1">
        <f t="array" aca="1" ref="F8" ca="1">_FV(Tableau8[[#This Row],[Action]],"Change")</f>
        <v>New York Stock Exchange</v>
      </c>
      <c r="G8" s="26" t="str" cm="1">
        <f t="array" aca="1" ref="G8" ca="1">IFERROR(_FV(Tableau8[[#This Row],[Action]],"industrie"),"")</f>
        <v>Food &amp; Tobacco</v>
      </c>
      <c r="H8" s="12" t="str" cm="1">
        <f t="array" aca="1" ref="H8" ca="1">_FV(Tableau8[[#This Row],[Action]],"Devise")</f>
        <v>USD</v>
      </c>
      <c r="I8" s="41" cm="1">
        <f t="array" aca="1" ref="I8" ca="1">_FV(Tableau8[[#This Row],[Action]],"Prix")</f>
        <v>51.86</v>
      </c>
      <c r="J8" s="41"/>
      <c r="K8" s="50">
        <v>0.79</v>
      </c>
      <c r="L8" s="41">
        <f>4*Tableau8[[#This Row],[Dividende trimestriel]]</f>
        <v>3.16</v>
      </c>
      <c r="M8" s="22">
        <f ca="1">Tableau8[[#This Row],[Dividende annuel]]/Tableau8[[#This Row],[Prix actuel]]</f>
        <v>6.0933281912842273E-2</v>
      </c>
      <c r="N8" s="12">
        <v>31</v>
      </c>
      <c r="O8" s="74" cm="1">
        <f t="array" aca="1" ref="O8" ca="1">IFERROR(_FV(Tableau8[[#This Row],[Action]],"Bêta"),"")</f>
        <v>0.5786</v>
      </c>
      <c r="P8" s="75" cm="1">
        <f t="array" aca="1" ref="P8" ca="1">_FV(Tableau8[[#This Row],[Action]],"Capitalisation boursière",TRUE)</f>
        <v>1292532710</v>
      </c>
      <c r="Q8" s="28" cm="1">
        <f t="array" aca="1" ref="Q8" ca="1">IFERROR(_FV(Tableau8[[#This Row],[Action]],"Année de constitution",TRUE),"")</f>
        <v>1918</v>
      </c>
    </row>
    <row r="9" spans="2:19" x14ac:dyDescent="0.25">
      <c r="B9" t="s">
        <v>194</v>
      </c>
      <c r="D9" t="e" vm="524">
        <v>#VALUE!</v>
      </c>
      <c r="E9" t="str" cm="1">
        <f t="array" aca="1" ref="E9" ca="1">_FV(Tableau8[[#This Row],[Action]],"Code mnémonique",TRUE)</f>
        <v>CU</v>
      </c>
      <c r="F9" t="str" cm="1">
        <f t="array" aca="1" ref="F9" ca="1">_FV(Tableau8[[#This Row],[Action]],"Change")</f>
        <v>Toronto Stock Exchange</v>
      </c>
      <c r="G9" s="26" t="str" cm="1">
        <f t="array" aca="1" ref="G9" ca="1">IFERROR(_FV(Tableau8[[#This Row],[Action]],"industrie"),"")</f>
        <v>Multiline Utilities</v>
      </c>
      <c r="H9" s="12" t="str" cm="1">
        <f t="array" aca="1" ref="H9" ca="1">_FV(Tableau8[[#This Row],[Action]],"Devise")</f>
        <v>CAD</v>
      </c>
      <c r="I9" s="41" cm="1">
        <f t="array" aca="1" ref="I9" ca="1">_FV(Tableau8[[#This Row],[Action]],"Prix")</f>
        <v>47.92</v>
      </c>
      <c r="J9" s="41"/>
      <c r="K9" s="50">
        <v>0.44900000000000001</v>
      </c>
      <c r="L9" s="41">
        <f>4*Tableau8[[#This Row],[Dividende trimestriel]]</f>
        <v>1.796</v>
      </c>
      <c r="M9" s="22">
        <f ca="1">Tableau8[[#This Row],[Dividende annuel]]/Tableau8[[#This Row],[Prix actuel]]</f>
        <v>3.747913188647746E-2</v>
      </c>
      <c r="N9" s="12">
        <v>8</v>
      </c>
      <c r="O9" s="74" cm="1">
        <f t="array" aca="1" ref="O9" ca="1">IFERROR(_FV(Tableau8[[#This Row],[Action]],"Bêta"),"")</f>
        <v>0.57579999999999998</v>
      </c>
      <c r="P9" s="75" cm="1">
        <f t="array" aca="1" ref="P9" ca="1">_FV(Tableau8[[#This Row],[Action]],"Capitalisation boursière",TRUE)</f>
        <v>9855548264</v>
      </c>
      <c r="Q9" s="12" cm="1">
        <f t="array" aca="1" ref="Q9" ca="1">IFERROR(_FV(Tableau8[[#This Row],[Action]],"Année de constitution",TRUE),"")</f>
        <v>1979</v>
      </c>
    </row>
    <row r="10" spans="2:19" x14ac:dyDescent="0.25">
      <c r="B10" t="s">
        <v>183</v>
      </c>
      <c r="D10" t="e" vm="582">
        <v>#VALUE!</v>
      </c>
      <c r="E10" t="str" cm="1">
        <f t="array" aca="1" ref="E10" ca="1">_FV(Tableau8[[#This Row],[Action]],"Code mnémonique",TRUE)</f>
        <v>NWN</v>
      </c>
      <c r="F10" t="str" cm="1">
        <f t="array" aca="1" ref="F10" ca="1">_FV(Tableau8[[#This Row],[Action]],"Change")</f>
        <v>New York Stock Exchange</v>
      </c>
      <c r="G10" s="26" t="str" cm="1">
        <f t="array" aca="1" ref="G10" ca="1">IFERROR(_FV(Tableau8[[#This Row],[Action]],"industrie"),"")</f>
        <v>Natural Gas Utilities</v>
      </c>
      <c r="H10" s="12" t="str" cm="1">
        <f t="array" aca="1" ref="H10" ca="1">_FV(Tableau8[[#This Row],[Action]],"Devise")</f>
        <v>USD</v>
      </c>
      <c r="I10" s="41" cm="1">
        <f t="array" aca="1" ref="I10" ca="1">_FV(Tableau8[[#This Row],[Action]],"Prix")</f>
        <v>52.24</v>
      </c>
      <c r="J10" s="41"/>
      <c r="K10" s="50">
        <v>0.48499999999999999</v>
      </c>
      <c r="L10" s="41">
        <f>4*Tableau8[[#This Row],[Dividende trimestriel]]</f>
        <v>1.94</v>
      </c>
      <c r="M10" s="22">
        <f ca="1">Tableau8[[#This Row],[Dividende annuel]]/Tableau8[[#This Row],[Prix actuel]]</f>
        <v>3.7136294027565082E-2</v>
      </c>
      <c r="N10" s="12">
        <v>23</v>
      </c>
      <c r="O10" s="74" cm="1">
        <f t="array" aca="1" ref="O10" ca="1">IFERROR(_FV(Tableau8[[#This Row],[Action]],"Bêta"),"")</f>
        <v>0.4758</v>
      </c>
      <c r="P10" s="75" cm="1">
        <f t="array" aca="1" ref="P10" ca="1">_FV(Tableau8[[#This Row],[Action]],"Capitalisation boursière",TRUE)</f>
        <v>2198259722</v>
      </c>
      <c r="Q10" s="28" cm="1">
        <f t="array" aca="1" ref="Q10" ca="1">IFERROR(_FV(Tableau8[[#This Row],[Action]],"Année de constitution",TRUE),"")</f>
        <v>2018</v>
      </c>
    </row>
    <row r="11" spans="2:19" x14ac:dyDescent="0.25">
      <c r="B11" t="s">
        <v>194</v>
      </c>
      <c r="D11" t="e" vm="554">
        <v>#VALUE!</v>
      </c>
      <c r="E11" t="str" cm="1">
        <f t="array" aca="1" ref="E11" ca="1">_FV(Tableau8[[#This Row],[Action]],"Code mnémonique",TRUE)</f>
        <v>O</v>
      </c>
      <c r="F11" t="str" cm="1">
        <f t="array" aca="1" ref="F11" ca="1">_FV(Tableau8[[#This Row],[Action]],"Change")</f>
        <v>New York Stock Exchange</v>
      </c>
      <c r="G11" s="26" t="str" cm="1">
        <f t="array" aca="1" ref="G11" ca="1">IFERROR(_FV(Tableau8[[#This Row],[Action]],"industrie"),"")</f>
        <v>Residential &amp; Commercial REIT</v>
      </c>
      <c r="H11" s="12" t="str" cm="1">
        <f t="array" aca="1" ref="H11" ca="1">_FV(Tableau8[[#This Row],[Action]],"Devise")</f>
        <v>USD</v>
      </c>
      <c r="I11" s="41" cm="1">
        <f t="array" aca="1" ref="I11" ca="1">_FV(Tableau8[[#This Row],[Action]],"Prix")</f>
        <v>64.040000000000006</v>
      </c>
      <c r="J11" s="41" t="s">
        <v>40</v>
      </c>
      <c r="K11" s="50">
        <f>3*0.248</f>
        <v>0.74399999999999999</v>
      </c>
      <c r="L11" s="41">
        <f>4*Tableau8[[#This Row],[Dividende trimestriel]]</f>
        <v>2.976</v>
      </c>
      <c r="M11" s="22">
        <f ca="1">Tableau8[[#This Row],[Dividende annuel]]/Tableau8[[#This Row],[Prix actuel]]</f>
        <v>4.6470955652717048E-2</v>
      </c>
      <c r="N11" s="12">
        <v>26</v>
      </c>
      <c r="O11" s="74" cm="1">
        <f t="array" aca="1" ref="O11" ca="1">IFERROR(_FV(Tableau8[[#This Row],[Action]],"Bêta"),"")</f>
        <v>0.7702</v>
      </c>
      <c r="P11" s="75" cm="1">
        <f t="array" aca="1" ref="P11" ca="1">_FV(Tableau8[[#This Row],[Action]],"Capitalisation boursière",TRUE)</f>
        <v>59714136424</v>
      </c>
      <c r="Q11" s="12" cm="1">
        <f t="array" aca="1" ref="Q11" ca="1">IFERROR(_FV(Tableau8[[#This Row],[Action]],"Année de constitution",TRUE),"")</f>
        <v>1997</v>
      </c>
    </row>
    <row r="12" spans="2:19" x14ac:dyDescent="0.25">
      <c r="B12" t="s">
        <v>194</v>
      </c>
      <c r="D12" t="e" vm="583">
        <v>#VALUE!</v>
      </c>
      <c r="E12" t="str" cm="1">
        <f t="array" aca="1" ref="E12" ca="1">_FV(Tableau8[[#This Row],[Action]],"Code mnémonique",TRUE)</f>
        <v>KEY</v>
      </c>
      <c r="F12" t="str" cm="1">
        <f t="array" aca="1" ref="F12" ca="1">_FV(Tableau8[[#This Row],[Action]],"Change")</f>
        <v>Toronto Stock Exchange</v>
      </c>
      <c r="G12" s="26" t="str" cm="1">
        <f t="array" aca="1" ref="G12" ca="1">IFERROR(_FV(Tableau8[[#This Row],[Action]],"industrie"),"")</f>
        <v>Oil &amp; Gas</v>
      </c>
      <c r="H12" s="12" t="str" cm="1">
        <f t="array" aca="1" ref="H12" ca="1">_FV(Tableau8[[#This Row],[Action]],"Devise")</f>
        <v>CAD</v>
      </c>
      <c r="I12" s="41" cm="1">
        <f t="array" aca="1" ref="I12" ca="1">_FV(Tableau8[[#This Row],[Action]],"Prix")</f>
        <v>49.61</v>
      </c>
      <c r="J12" s="41" t="s">
        <v>40</v>
      </c>
      <c r="K12" s="50">
        <v>0.48</v>
      </c>
      <c r="L12" s="41">
        <f>4*Tableau8[[#This Row],[Dividende trimestriel]]</f>
        <v>1.92</v>
      </c>
      <c r="M12" s="22">
        <f ca="1">Tableau8[[#This Row],[Dividende annuel]]/Tableau8[[#This Row],[Prix actuel]]</f>
        <v>3.8701874622052004E-2</v>
      </c>
      <c r="N12" s="12">
        <v>0</v>
      </c>
      <c r="O12" s="74" cm="1">
        <f t="array" aca="1" ref="O12" ca="1">IFERROR(_FV(Tableau8[[#This Row],[Action]],"Bêta"),"")</f>
        <v>0.79279999999999995</v>
      </c>
      <c r="P12" s="75" cm="1">
        <f t="array" aca="1" ref="P12" ca="1">_FV(Tableau8[[#This Row],[Action]],"Capitalisation boursière",TRUE)</f>
        <v>13998294948</v>
      </c>
      <c r="Q12" s="12" cm="1">
        <f t="array" aca="1" ref="Q12" ca="1">IFERROR(_FV(Tableau8[[#This Row],[Action]],"Année de constitution",TRUE),"")</f>
        <v>2011</v>
      </c>
    </row>
    <row r="13" spans="2:19" x14ac:dyDescent="0.25">
      <c r="B13" t="s">
        <v>194</v>
      </c>
      <c r="C13" s="12" t="s">
        <v>40</v>
      </c>
      <c r="D13" t="e" vm="584">
        <v>#VALUE!</v>
      </c>
      <c r="E13" t="str" cm="1">
        <f t="array" aca="1" ref="E13" ca="1">_FV(Tableau8[[#This Row],[Action]],"Code mnémonique",TRUE)</f>
        <v>PPL</v>
      </c>
      <c r="F13" t="str" cm="1">
        <f t="array" aca="1" ref="F13" ca="1">_FV(Tableau8[[#This Row],[Action]],"Change")</f>
        <v>Toronto Stock Exchange</v>
      </c>
      <c r="G13" s="26" t="str" cm="1">
        <f t="array" aca="1" ref="G13" ca="1">IFERROR(_FV(Tableau8[[#This Row],[Action]],"industrie"),"")</f>
        <v>Oil &amp; Gas Related Equipment and Services</v>
      </c>
      <c r="H13" s="12" t="str" cm="1">
        <f t="array" aca="1" ref="H13" ca="1">_FV(Tableau8[[#This Row],[Action]],"Devise")</f>
        <v>CAD</v>
      </c>
      <c r="I13" s="41" cm="1">
        <f t="array" aca="1" ref="I13" ca="1">_FV(Tableau8[[#This Row],[Action]],"Prix")</f>
        <v>58.03</v>
      </c>
      <c r="J13" s="41" t="s">
        <v>40</v>
      </c>
      <c r="K13" s="50">
        <v>0.65100000000000002</v>
      </c>
      <c r="L13" s="41">
        <f>4*Tableau8[[#This Row],[Dividende trimestriel]]</f>
        <v>2.6040000000000001</v>
      </c>
      <c r="M13" s="22">
        <f ca="1">Tableau8[[#This Row],[Dividende annuel]]/Tableau8[[#This Row],[Prix actuel]]</f>
        <v>4.4873341375150783E-2</v>
      </c>
      <c r="N13" s="12">
        <v>1</v>
      </c>
      <c r="O13" s="74" cm="1">
        <f t="array" aca="1" ref="O13" ca="1">IFERROR(_FV(Tableau8[[#This Row],[Action]],"Bêta"),"")</f>
        <v>0.65800000000000003</v>
      </c>
      <c r="P13" s="75" cm="1">
        <f t="array" aca="1" ref="P13" ca="1">_FV(Tableau8[[#This Row],[Action]],"Capitalisation boursière",TRUE)</f>
        <v>33733105938</v>
      </c>
      <c r="Q13" s="12" cm="1">
        <f t="array" aca="1" ref="Q13" ca="1">IFERROR(_FV(Tableau8[[#This Row],[Action]],"Année de constitution",TRUE),"")</f>
        <v>2010</v>
      </c>
    </row>
    <row r="14" spans="2:19" x14ac:dyDescent="0.25">
      <c r="B14" t="s">
        <v>183</v>
      </c>
      <c r="C14" s="12" t="s">
        <v>40</v>
      </c>
      <c r="D14" t="e" vm="508">
        <v>#VALUE!</v>
      </c>
      <c r="E14" t="str" cm="1">
        <f t="array" aca="1" ref="E14" ca="1">_FV(Tableau8[[#This Row],[Action]],"Code mnémonique",TRUE)</f>
        <v>MMM</v>
      </c>
      <c r="F14" t="str" cm="1">
        <f t="array" aca="1" ref="F14" ca="1">_FV(Tableau8[[#This Row],[Action]],"Change")</f>
        <v>New York Stock Exchange</v>
      </c>
      <c r="G14" s="26" t="str" cm="1">
        <f t="array" aca="1" ref="G14" ca="1">IFERROR(_FV(Tableau8[[#This Row],[Action]],"industrie"),"")</f>
        <v>Consumer Goods Conglomerates</v>
      </c>
      <c r="H14" s="12" t="str" cm="1">
        <f t="array" aca="1" ref="H14" ca="1">_FV(Tableau8[[#This Row],[Action]],"Devise")</f>
        <v>USD</v>
      </c>
      <c r="I14" s="41" cm="1">
        <f t="array" aca="1" ref="I14" ca="1">_FV(Tableau8[[#This Row],[Action]],"Prix")</f>
        <v>148.47999999999999</v>
      </c>
      <c r="J14" s="41"/>
      <c r="K14" s="50">
        <v>1.49</v>
      </c>
      <c r="L14" s="41">
        <f>4*Tableau8[[#This Row],[Dividende trimestriel]]</f>
        <v>5.96</v>
      </c>
      <c r="M14" s="22">
        <f ca="1">Tableau8[[#This Row],[Dividende annuel]]/Tableau8[[#This Row],[Prix actuel]]</f>
        <v>4.0140086206896554E-2</v>
      </c>
      <c r="N14" s="12">
        <v>64</v>
      </c>
      <c r="O14" s="74" cm="1">
        <f t="array" aca="1" ref="O14" ca="1">IFERROR(_FV(Tableau8[[#This Row],[Action]],"Bêta"),"")</f>
        <v>1.0579000000000001</v>
      </c>
      <c r="P14" s="75" cm="1">
        <f t="array" aca="1" ref="P14" ca="1">_FV(Tableau8[[#This Row],[Action]],"Capitalisation boursière",TRUE)</f>
        <v>77565387776</v>
      </c>
      <c r="Q14" s="28" cm="1">
        <f t="array" aca="1" ref="Q14" ca="1">IFERROR(_FV(Tableau8[[#This Row],[Action]],"Année de constitution",TRUE),"")</f>
        <v>1929</v>
      </c>
    </row>
    <row r="15" spans="2:19" x14ac:dyDescent="0.25">
      <c r="B15" t="s">
        <v>194</v>
      </c>
      <c r="D15" t="e" vm="585">
        <v>#VALUE!</v>
      </c>
      <c r="E15" t="str" cm="1">
        <f t="array" aca="1" ref="E15" ca="1">_FV(Tableau8[[#This Row],[Action]],"Code mnémonique",TRUE)</f>
        <v>MG</v>
      </c>
      <c r="F15" t="str" cm="1">
        <f t="array" aca="1" ref="F15" ca="1">_FV(Tableau8[[#This Row],[Action]],"Change")</f>
        <v>Toronto Stock Exchange</v>
      </c>
      <c r="G15" s="26" t="str" cm="1">
        <f t="array" aca="1" ref="G15" ca="1">IFERROR(_FV(Tableau8[[#This Row],[Action]],"industrie"),"")</f>
        <v>Automobiles &amp; Auto Parts</v>
      </c>
      <c r="H15" s="12" t="str" cm="1">
        <f t="array" aca="1" ref="H15" ca="1">_FV(Tableau8[[#This Row],[Action]],"Devise")</f>
        <v>CAD</v>
      </c>
      <c r="I15" s="41" cm="1">
        <f t="array" aca="1" ref="I15" ca="1">_FV(Tableau8[[#This Row],[Action]],"Prix")</f>
        <v>84.32</v>
      </c>
      <c r="J15" s="41"/>
      <c r="K15" s="50">
        <v>0.60499999999999998</v>
      </c>
      <c r="L15" s="41">
        <f>4*Tableau8[[#This Row],[Dividende trimestriel]]</f>
        <v>2.42</v>
      </c>
      <c r="M15" s="22">
        <f ca="1">Tableau8[[#This Row],[Dividende annuel]]/Tableau8[[#This Row],[Prix actuel]]</f>
        <v>2.8700189753320685E-2</v>
      </c>
      <c r="N15" s="12">
        <v>7</v>
      </c>
      <c r="O15" s="74" cm="1">
        <f t="array" aca="1" ref="O15" ca="1">IFERROR(_FV(Tableau8[[#This Row],[Action]],"Bêta"),"")</f>
        <v>1.8349</v>
      </c>
      <c r="P15" s="75" cm="1">
        <f t="array" aca="1" ref="P15" ca="1">_FV(Tableau8[[#This Row],[Action]],"Capitalisation boursière",TRUE)</f>
        <v>23308501712</v>
      </c>
      <c r="Q15" s="12" cm="1">
        <f t="array" aca="1" ref="Q15" ca="1">IFERROR(_FV(Tableau8[[#This Row],[Action]],"Année de constitution",TRUE),"")</f>
        <v>2017</v>
      </c>
    </row>
    <row r="16" spans="2:19" x14ac:dyDescent="0.25">
      <c r="B16" t="s">
        <v>181</v>
      </c>
      <c r="D16" t="e" vm="586">
        <v>#VALUE!</v>
      </c>
      <c r="E16" t="str" cm="1">
        <f t="array" aca="1" ref="E16" ca="1">_FV(Tableau8[[#This Row],[Action]],"Code mnémonique",TRUE)</f>
        <v>PRU</v>
      </c>
      <c r="F16" t="str" cm="1">
        <f t="array" aca="1" ref="F16" ca="1">_FV(Tableau8[[#This Row],[Action]],"Change")</f>
        <v>New York Stock Exchange</v>
      </c>
      <c r="G16" s="26" t="str" cm="1">
        <f t="array" aca="1" ref="G16" ca="1">IFERROR(_FV(Tableau8[[#This Row],[Action]],"industrie"),"")</f>
        <v>Insurance</v>
      </c>
      <c r="H16" s="12" t="str" cm="1">
        <f t="array" aca="1" ref="H16" ca="1">_FV(Tableau8[[#This Row],[Action]],"Devise")</f>
        <v>USD</v>
      </c>
      <c r="I16" s="41" cm="1">
        <f t="array" aca="1" ref="I16" ca="1">_FV(Tableau8[[#This Row],[Action]],"Prix")</f>
        <v>96.444999999999993</v>
      </c>
      <c r="J16" s="41"/>
      <c r="K16" s="50">
        <v>1.2</v>
      </c>
      <c r="L16" s="41">
        <f>4*Tableau8[[#This Row],[Dividende trimestriel]]</f>
        <v>4.8</v>
      </c>
      <c r="M16" s="22">
        <f ca="1">Tableau8[[#This Row],[Dividende annuel]]/Tableau8[[#This Row],[Prix actuel]]</f>
        <v>4.9769298563948364E-2</v>
      </c>
      <c r="N16" s="12">
        <v>14</v>
      </c>
      <c r="O16" s="74" cm="1">
        <f t="array" aca="1" ref="O16" ca="1">IFERROR(_FV(Tableau8[[#This Row],[Action]],"Bêta"),"")</f>
        <v>0.90049999999999997</v>
      </c>
      <c r="P16" s="75" cm="1">
        <f t="array" aca="1" ref="P16" ca="1">_FV(Tableau8[[#This Row],[Action]],"Capitalisation boursière",TRUE)</f>
        <v>33545374521</v>
      </c>
      <c r="Q16" s="28" cm="1">
        <f t="array" aca="1" ref="Q16" ca="1">IFERROR(_FV(Tableau8[[#This Row],[Action]],"Année de constitution",TRUE),"")</f>
        <v>1999</v>
      </c>
    </row>
    <row r="17" spans="2:17" x14ac:dyDescent="0.25">
      <c r="B17" t="s">
        <v>183</v>
      </c>
      <c r="D17" t="e" vm="587">
        <v>#VALUE!</v>
      </c>
      <c r="E17" t="str" cm="1">
        <f t="array" aca="1" ref="E17" ca="1">_FV(Tableau8[[#This Row],[Action]],"Code mnémonique",TRUE)</f>
        <v>BKH</v>
      </c>
      <c r="F17" t="str" cm="1">
        <f t="array" aca="1" ref="F17" ca="1">_FV(Tableau8[[#This Row],[Action]],"Change")</f>
        <v>New York Stock Exchange</v>
      </c>
      <c r="G17" s="26" t="str" cm="1">
        <f t="array" aca="1" ref="G17" ca="1">IFERROR(_FV(Tableau8[[#This Row],[Action]],"industrie"),"")</f>
        <v>Multiline Utilities</v>
      </c>
      <c r="H17" s="12" t="str" cm="1">
        <f t="array" aca="1" ref="H17" ca="1">_FV(Tableau8[[#This Row],[Action]],"Devise")</f>
        <v>USD</v>
      </c>
      <c r="I17" s="41" cm="1">
        <f t="array" aca="1" ref="I17" ca="1">_FV(Tableau8[[#This Row],[Action]],"Prix")</f>
        <v>73.510000000000005</v>
      </c>
      <c r="J17" s="41"/>
      <c r="K17" s="50">
        <v>0.625</v>
      </c>
      <c r="L17" s="41">
        <f>4*Tableau8[[#This Row],[Dividende trimestriel]]</f>
        <v>2.5</v>
      </c>
      <c r="M17" s="22">
        <f ca="1">Tableau8[[#This Row],[Dividende annuel]]/Tableau8[[#This Row],[Prix actuel]]</f>
        <v>3.4008978370289752E-2</v>
      </c>
      <c r="N17" s="12">
        <v>51</v>
      </c>
      <c r="O17" s="74" cm="1">
        <f t="array" aca="1" ref="O17" ca="1">IFERROR(_FV(Tableau8[[#This Row],[Action]],"Bêta"),"")</f>
        <v>0.73370000000000002</v>
      </c>
      <c r="P17" s="75" cm="1">
        <f t="array" aca="1" ref="P17" ca="1">_FV(Tableau8[[#This Row],[Action]],"Capitalisation boursière",TRUE)</f>
        <v>5590783202</v>
      </c>
      <c r="Q17" s="28" cm="1">
        <f t="array" aca="1" ref="Q17" ca="1">IFERROR(_FV(Tableau8[[#This Row],[Action]],"Année de constitution",TRUE),"")</f>
        <v>2000</v>
      </c>
    </row>
    <row r="18" spans="2:17" x14ac:dyDescent="0.25">
      <c r="B18" t="s">
        <v>183</v>
      </c>
      <c r="D18" t="e" vm="588">
        <v>#VALUE!</v>
      </c>
      <c r="E18" t="str" cm="1">
        <f t="array" aca="1" ref="E18" ca="1">_FV(Tableau8[[#This Row],[Action]],"Code mnémonique",TRUE)</f>
        <v>FRT</v>
      </c>
      <c r="F18" t="str" cm="1">
        <f t="array" aca="1" ref="F18" ca="1">_FV(Tableau8[[#This Row],[Action]],"Change")</f>
        <v>New York Stock Exchange</v>
      </c>
      <c r="G18" s="26" t="str" cm="1">
        <f t="array" aca="1" ref="G18" ca="1">IFERROR(_FV(Tableau8[[#This Row],[Action]],"industrie"),"")</f>
        <v>Residential &amp; Commercial REIT</v>
      </c>
      <c r="H18" s="12" t="str" cm="1">
        <f t="array" aca="1" ref="H18" ca="1">_FV(Tableau8[[#This Row],[Action]],"Devise")</f>
        <v>USD</v>
      </c>
      <c r="I18" s="41" cm="1">
        <f t="array" aca="1" ref="I18" ca="1">_FV(Tableau8[[#This Row],[Action]],"Prix")</f>
        <v>111.13</v>
      </c>
      <c r="J18" s="41"/>
      <c r="K18" s="50">
        <v>1.08</v>
      </c>
      <c r="L18" s="41">
        <f>4*Tableau8[[#This Row],[Dividende trimestriel]]</f>
        <v>4.32</v>
      </c>
      <c r="M18" s="22">
        <f ca="1">Tableau8[[#This Row],[Dividende annuel]]/Tableau8[[#This Row],[Prix actuel]]</f>
        <v>3.887339152344102E-2</v>
      </c>
      <c r="N18" s="12">
        <v>54</v>
      </c>
      <c r="O18" s="74" cm="1">
        <f t="array" aca="1" ref="O18" ca="1">IFERROR(_FV(Tableau8[[#This Row],[Action]],"Bêta"),"")</f>
        <v>0.95209999999999995</v>
      </c>
      <c r="P18" s="75" cm="1">
        <f t="array" aca="1" ref="P18" ca="1">_FV(Tableau8[[#This Row],[Action]],"Capitalisation boursière",TRUE)</f>
        <v>9600321777</v>
      </c>
      <c r="Q18" s="28" cm="1">
        <f t="array" aca="1" ref="Q18" ca="1">IFERROR(_FV(Tableau8[[#This Row],[Action]],"Année de constitution",TRUE),"")</f>
        <v>2021</v>
      </c>
    </row>
    <row r="19" spans="2:17" x14ac:dyDescent="0.25">
      <c r="B19" t="s">
        <v>194</v>
      </c>
      <c r="D19" t="e" vm="589">
        <v>#VALUE!</v>
      </c>
      <c r="E19" t="str" cm="1">
        <f t="array" aca="1" ref="E19" ca="1">_FV(Tableau8[[#This Row],[Action]],"Code mnémonique",TRUE)</f>
        <v>QBR.B</v>
      </c>
      <c r="F19" t="str" cm="1">
        <f t="array" aca="1" ref="F19" ca="1">_FV(Tableau8[[#This Row],[Action]],"Change")</f>
        <v>Toronto Stock Exchange</v>
      </c>
      <c r="G19" s="26" t="str" cm="1">
        <f t="array" aca="1" ref="G19" ca="1">IFERROR(_FV(Tableau8[[#This Row],[Action]],"industrie"),"")</f>
        <v>Telecommunications Services</v>
      </c>
      <c r="H19" s="12" t="str" cm="1">
        <f t="array" aca="1" ref="H19" ca="1">_FV(Tableau8[[#This Row],[Action]],"Devise")</f>
        <v>CAD</v>
      </c>
      <c r="I19" s="41" cm="1">
        <f t="array" aca="1" ref="I19" ca="1">_FV(Tableau8[[#This Row],[Action]],"Prix")</f>
        <v>55.83</v>
      </c>
      <c r="J19" s="41"/>
      <c r="K19" s="50">
        <v>0.3</v>
      </c>
      <c r="L19" s="41">
        <f>4*Tableau8[[#This Row],[Dividende trimestriel]]</f>
        <v>1.2</v>
      </c>
      <c r="M19" s="22">
        <f ca="1">Tableau8[[#This Row],[Dividende annuel]]/Tableau8[[#This Row],[Prix actuel]]</f>
        <v>2.1493820526598602E-2</v>
      </c>
      <c r="N19" s="12">
        <v>8</v>
      </c>
      <c r="O19" s="74" cm="1">
        <f t="array" aca="1" ref="O19" ca="1">IFERROR(_FV(Tableau8[[#This Row],[Action]],"Bêta"),"")</f>
        <v>0.65769999999999995</v>
      </c>
      <c r="P19" s="75" cm="1">
        <f t="array" aca="1" ref="P19" ca="1">_FV(Tableau8[[#This Row],[Action]],"Capitalisation boursière",TRUE)</f>
        <v>12594918603</v>
      </c>
      <c r="Q19" s="12" cm="1">
        <f t="array" aca="1" ref="Q19" ca="1">IFERROR(_FV(Tableau8[[#This Row],[Action]],"Année de constitution",TRUE),"")</f>
        <v>1994</v>
      </c>
    </row>
    <row r="20" spans="2:17" x14ac:dyDescent="0.25">
      <c r="B20" t="s">
        <v>181</v>
      </c>
      <c r="D20" t="e" vm="590">
        <v>#VALUE!</v>
      </c>
      <c r="E20" t="str" cm="1">
        <f t="array" aca="1" ref="E20" ca="1">_FV(Tableau8[[#This Row],[Action]],"Code mnémonique",TRUE)</f>
        <v>SCHD</v>
      </c>
      <c r="F20" t="str" cm="1">
        <f t="array" aca="1" ref="F20" ca="1">_FV(Tableau8[[#This Row],[Action]],"Change")</f>
        <v>NYSE Arca</v>
      </c>
      <c r="G20" s="26" t="str" cm="1">
        <f t="array" ref="G20">IFERROR(_FV(Tableau8[[#This Row],[Action]],"industrie"),"")</f>
        <v/>
      </c>
      <c r="H20" s="12" t="str" cm="1">
        <f t="array" aca="1" ref="H20" ca="1">_FV(Tableau8[[#This Row],[Action]],"Devise")</f>
        <v>USD</v>
      </c>
      <c r="I20" s="41" cm="1">
        <f t="array" aca="1" ref="I20" ca="1">_FV(Tableau8[[#This Row],[Action]],"Prix")</f>
        <v>30.975000000000001</v>
      </c>
      <c r="J20" s="41"/>
      <c r="K20" s="50">
        <v>0.70299999999999996</v>
      </c>
      <c r="L20" s="41">
        <f>4*Tableau8[[#This Row],[Dividende trimestriel]]</f>
        <v>2.8119999999999998</v>
      </c>
      <c r="M20" s="22">
        <f ca="1">Tableau8[[#This Row],[Dividende annuel]]/Tableau8[[#This Row],[Prix actuel]]</f>
        <v>9.0782889426957211E-2</v>
      </c>
      <c r="N20" s="12">
        <v>10</v>
      </c>
      <c r="O20" s="74" cm="1">
        <f t="array" aca="1" ref="O20" ca="1">IFERROR(_FV(Tableau8[[#This Row],[Action]],"Bêta"),"")</f>
        <v>0.95699999999999996</v>
      </c>
      <c r="P20" s="75" cm="1">
        <f t="array" aca="1" ref="P20" ca="1">_FV(Tableau8[[#This Row],[Action]],"Capitalisation boursière",TRUE)</f>
        <v>84819997795.649994</v>
      </c>
      <c r="Q20" s="12" t="str" cm="1">
        <f t="array" ref="Q20">IFERROR(_FV(Tableau8[[#This Row],[Action]],"Année de constitution",TRUE),"")</f>
        <v/>
      </c>
    </row>
    <row r="21" spans="2:17" x14ac:dyDescent="0.25">
      <c r="B21" t="s">
        <v>194</v>
      </c>
      <c r="D21" t="e" vm="523">
        <v>#VALUE!</v>
      </c>
      <c r="E21" t="str" cm="1">
        <f t="array" aca="1" ref="E21" ca="1">_FV(Tableau8[[#This Row],[Action]],"Code mnémonique",TRUE)</f>
        <v>CTC</v>
      </c>
      <c r="F21" t="str" cm="1">
        <f t="array" aca="1" ref="F21" ca="1">_FV(Tableau8[[#This Row],[Action]],"Change")</f>
        <v>Toronto Stock Exchange</v>
      </c>
      <c r="G21" s="26" t="str" cm="1">
        <f t="array" aca="1" ref="G21" ca="1">IFERROR(_FV(Tableau8[[#This Row],[Action]],"industrie"),"")</f>
        <v>Diversified Retail</v>
      </c>
      <c r="H21" s="12" t="str" cm="1">
        <f t="array" aca="1" ref="H21" ca="1">_FV(Tableau8[[#This Row],[Action]],"Devise")</f>
        <v>CAD</v>
      </c>
      <c r="I21" s="41" cm="1">
        <f t="array" aca="1" ref="I21" ca="1">_FV(Tableau8[[#This Row],[Action]],"Prix")</f>
        <v>219.99</v>
      </c>
      <c r="J21" s="41"/>
      <c r="K21" s="50">
        <v>1.75</v>
      </c>
      <c r="L21" s="41">
        <f>4*Tableau8[[#This Row],[Dividende trimestriel]]</f>
        <v>7</v>
      </c>
      <c r="M21" s="22">
        <f ca="1">Tableau8[[#This Row],[Dividende annuel]]/Tableau8[[#This Row],[Prix actuel]]</f>
        <v>3.1819628164916583E-2</v>
      </c>
      <c r="N21" s="12">
        <v>12</v>
      </c>
      <c r="O21" s="74" cm="1">
        <f t="array" aca="1" ref="O21" ca="1">IFERROR(_FV(Tableau8[[#This Row],[Action]],"Bêta"),"")</f>
        <v>1.0004</v>
      </c>
      <c r="P21" s="75" cm="1">
        <f t="array" aca="1" ref="P21" ca="1">_FV(Tableau8[[#This Row],[Action]],"Capitalisation boursière",TRUE)</f>
        <v>11578709471</v>
      </c>
      <c r="Q21" s="12" cm="1">
        <f t="array" aca="1" ref="Q21" ca="1">IFERROR(_FV(Tableau8[[#This Row],[Action]],"Année de constitution",TRUE),"")</f>
        <v>1980</v>
      </c>
    </row>
    <row r="22" spans="2:17" x14ac:dyDescent="0.25">
      <c r="B22" t="s">
        <v>183</v>
      </c>
      <c r="D22" t="e" vm="591">
        <v>#VALUE!</v>
      </c>
      <c r="E22" t="str" cm="1">
        <f t="array" aca="1" ref="E22" ca="1">_FV(Tableau8[[#This Row],[Action]],"Code mnémonique",TRUE)</f>
        <v>FMCB</v>
      </c>
      <c r="F22" t="str" cm="1">
        <f t="array" aca="1" ref="F22" ca="1">_FV(Tableau8[[#This Row],[Action]],"Change")</f>
        <v>OTC Markets</v>
      </c>
      <c r="G22" s="26" t="str" cm="1">
        <f t="array" aca="1" ref="G22" ca="1">IFERROR(_FV(Tableau8[[#This Row],[Action]],"industrie"),"")</f>
        <v>Banking Services</v>
      </c>
      <c r="H22" s="12" t="str" cm="1">
        <f t="array" aca="1" ref="H22" ca="1">_FV(Tableau8[[#This Row],[Action]],"Devise")</f>
        <v>USD</v>
      </c>
      <c r="I22" s="41" cm="1">
        <f t="array" aca="1" ref="I22" ca="1">_FV(Tableau8[[#This Row],[Action]],"Prix")</f>
        <v>1225</v>
      </c>
      <c r="J22" s="41"/>
      <c r="K22" s="50">
        <v>8.3000000000000007</v>
      </c>
      <c r="L22" s="41">
        <f>4*Tableau8[[#This Row],[Dividende trimestriel]]</f>
        <v>33.200000000000003</v>
      </c>
      <c r="M22" s="22">
        <f ca="1">Tableau8[[#This Row],[Dividende annuel]]/Tableau8[[#This Row],[Prix actuel]]</f>
        <v>2.7102040816326532E-2</v>
      </c>
      <c r="N22" s="12">
        <v>58</v>
      </c>
      <c r="O22" s="74" cm="1">
        <f t="array" aca="1" ref="O22" ca="1">IFERROR(_FV(Tableau8[[#This Row],[Action]],"Bêta"),"")</f>
        <v>6.3700000000000007E-2</v>
      </c>
      <c r="P22" s="75" cm="1">
        <f t="array" aca="1" ref="P22" ca="1">_FV(Tableau8[[#This Row],[Action]],"Capitalisation boursière",TRUE)</f>
        <v>848974000</v>
      </c>
      <c r="Q22" s="28" cm="1">
        <f t="array" aca="1" ref="Q22" ca="1">IFERROR(_FV(Tableau8[[#This Row],[Action]],"Année de constitution",TRUE),"")</f>
        <v>1999</v>
      </c>
    </row>
    <row r="23" spans="2:17" x14ac:dyDescent="0.25">
      <c r="B23" t="s">
        <v>183</v>
      </c>
      <c r="D23" t="e" vm="592">
        <v>#VALUE!</v>
      </c>
      <c r="E23" t="str" cm="1">
        <f t="array" aca="1" ref="E23" ca="1">_FV(Tableau8[[#This Row],[Action]],"Code mnémonique",TRUE)</f>
        <v>HRL</v>
      </c>
      <c r="F23" t="str" cm="1">
        <f t="array" aca="1" ref="F23" ca="1">_FV(Tableau8[[#This Row],[Action]],"Change")</f>
        <v>New York Stock Exchange</v>
      </c>
      <c r="G23" s="26" t="str" cm="1">
        <f t="array" aca="1" ref="G23" ca="1">IFERROR(_FV(Tableau8[[#This Row],[Action]],"industrie"),"")</f>
        <v>Food &amp; Tobacco</v>
      </c>
      <c r="H23" s="12" t="str" cm="1">
        <f t="array" aca="1" ref="H23" ca="1">_FV(Tableau8[[#This Row],[Action]],"Devise")</f>
        <v>USD</v>
      </c>
      <c r="I23" s="41" cm="1">
        <f t="array" aca="1" ref="I23" ca="1">_FV(Tableau8[[#This Row],[Action]],"Prix")</f>
        <v>21.26</v>
      </c>
      <c r="J23" s="41"/>
      <c r="K23" s="50">
        <v>0.27500000000000002</v>
      </c>
      <c r="L23" s="41">
        <f>4*Tableau8[[#This Row],[Dividende trimestriel]]</f>
        <v>1.1000000000000001</v>
      </c>
      <c r="M23" s="22">
        <f ca="1">Tableau8[[#This Row],[Dividende annuel]]/Tableau8[[#This Row],[Prix actuel]]</f>
        <v>5.1740357478833487E-2</v>
      </c>
      <c r="N23" s="12">
        <v>21</v>
      </c>
      <c r="O23" s="74" cm="1">
        <f t="array" aca="1" ref="O23" ca="1">IFERROR(_FV(Tableau8[[#This Row],[Action]],"Bêta"),"")</f>
        <v>0.32100000000000001</v>
      </c>
      <c r="P23" s="75" cm="1">
        <f t="array" aca="1" ref="P23" ca="1">_FV(Tableau8[[#This Row],[Action]],"Capitalisation boursière",TRUE)</f>
        <v>11699042092</v>
      </c>
      <c r="Q23" s="28" cm="1">
        <f t="array" aca="1" ref="Q23" ca="1">IFERROR(_FV(Tableau8[[#This Row],[Action]],"Année de constitution",TRUE),"")</f>
        <v>1928</v>
      </c>
    </row>
    <row r="24" spans="2:17" x14ac:dyDescent="0.25">
      <c r="B24" t="s">
        <v>194</v>
      </c>
      <c r="D24" t="e" vm="593">
        <v>#VALUE!</v>
      </c>
      <c r="E24" t="str" cm="1">
        <f t="array" aca="1" ref="E24" ca="1">_FV(Tableau8[[#This Row],[Action]],"Code mnémonique",TRUE)</f>
        <v>ABX</v>
      </c>
      <c r="F24" t="str" cm="1">
        <f t="array" aca="1" ref="F24" ca="1">_FV(Tableau8[[#This Row],[Action]],"Change")</f>
        <v>Toronto Stock Exchange</v>
      </c>
      <c r="G24" s="26" t="str" cm="1">
        <f t="array" aca="1" ref="G24" ca="1">IFERROR(_FV(Tableau8[[#This Row],[Action]],"industrie"),"")</f>
        <v>Metals &amp; Mining</v>
      </c>
      <c r="H24" s="12" t="str" cm="1">
        <f t="array" aca="1" ref="H24" ca="1">_FV(Tableau8[[#This Row],[Action]],"Devise")</f>
        <v>CAD</v>
      </c>
      <c r="I24" s="41" cm="1">
        <f t="array" aca="1" ref="I24" ca="1">_FV(Tableau8[[#This Row],[Action]],"Prix")</f>
        <v>55.35</v>
      </c>
      <c r="J24" s="41"/>
      <c r="K24" s="50">
        <v>0.20300000000000001</v>
      </c>
      <c r="L24" s="41">
        <f>4*Tableau8[[#This Row],[Dividende trimestriel]]</f>
        <v>0.81200000000000006</v>
      </c>
      <c r="M24" s="22">
        <f ca="1">Tableau8[[#This Row],[Dividende annuel]]/Tableau8[[#This Row],[Prix actuel]]</f>
        <v>1.4670280036133696E-2</v>
      </c>
      <c r="N24" s="12">
        <v>1</v>
      </c>
      <c r="O24" s="74" cm="1">
        <f t="array" aca="1" ref="O24" ca="1">IFERROR(_FV(Tableau8[[#This Row],[Action]],"Bêta"),"")</f>
        <v>1.0916999999999999</v>
      </c>
      <c r="P24" s="75" cm="1">
        <f t="array" aca="1" ref="P24" ca="1">_FV(Tableau8[[#This Row],[Action]],"Capitalisation boursière",TRUE)</f>
        <v>92739367800</v>
      </c>
      <c r="Q24" s="12" cm="1">
        <f t="array" aca="1" ref="Q24" ca="1">IFERROR(_FV(Tableau8[[#This Row],[Action]],"Année de constitution",TRUE),"")</f>
        <v>2018</v>
      </c>
    </row>
    <row r="25" spans="2:17" x14ac:dyDescent="0.25">
      <c r="B25" t="s">
        <v>183</v>
      </c>
      <c r="D25" t="e" vm="594">
        <v>#VALUE!</v>
      </c>
      <c r="E25" t="str" cm="1">
        <f t="array" aca="1" ref="E25" ca="1">_FV(Tableau8[[#This Row],[Action]],"Code mnémonique",TRUE)</f>
        <v>SWK</v>
      </c>
      <c r="F25" t="str" cm="1">
        <f t="array" aca="1" ref="F25" ca="1">_FV(Tableau8[[#This Row],[Action]],"Change")</f>
        <v>New York Stock Exchange</v>
      </c>
      <c r="G25" s="26" t="str" cm="1">
        <f t="array" aca="1" ref="G25" ca="1">IFERROR(_FV(Tableau8[[#This Row],[Action]],"industrie"),"")</f>
        <v>Machinery, Equipment &amp; Components</v>
      </c>
      <c r="H25" s="12" t="str" cm="1">
        <f t="array" aca="1" ref="H25" ca="1">_FV(Tableau8[[#This Row],[Action]],"Devise")</f>
        <v>USD</v>
      </c>
      <c r="I25" s="41" cm="1">
        <f t="array" aca="1" ref="I25" ca="1">_FV(Tableau8[[#This Row],[Action]],"Prix")</f>
        <v>76.27</v>
      </c>
      <c r="J25" s="41"/>
      <c r="K25" s="50">
        <v>0.8</v>
      </c>
      <c r="L25" s="41">
        <f>4*Tableau8[[#This Row],[Dividende trimestriel]]</f>
        <v>3.2</v>
      </c>
      <c r="M25" s="22">
        <f ca="1">Tableau8[[#This Row],[Dividende annuel]]/Tableau8[[#This Row],[Prix actuel]]</f>
        <v>4.1956208207683234E-2</v>
      </c>
      <c r="N25" s="12">
        <v>54</v>
      </c>
      <c r="O25" s="74" cm="1">
        <f t="array" aca="1" ref="O25" ca="1">IFERROR(_FV(Tableau8[[#This Row],[Action]],"Bêta"),"")</f>
        <v>1.1852</v>
      </c>
      <c r="P25" s="75" cm="1">
        <f t="array" aca="1" ref="P25" ca="1">_FV(Tableau8[[#This Row],[Action]],"Capitalisation boursière",TRUE)</f>
        <v>11843693728</v>
      </c>
      <c r="Q25" s="28" cm="1">
        <f t="array" aca="1" ref="Q25" ca="1">IFERROR(_FV(Tableau8[[#This Row],[Action]],"Année de constitution",TRUE),"")</f>
        <v>1901</v>
      </c>
    </row>
    <row r="26" spans="2:17" x14ac:dyDescent="0.25">
      <c r="B26" t="s">
        <v>183</v>
      </c>
      <c r="C26" s="12" t="s">
        <v>40</v>
      </c>
      <c r="D26" t="e" vm="595">
        <v>#VALUE!</v>
      </c>
      <c r="E26" t="str" cm="1">
        <f t="array" aca="1" ref="E26" ca="1">_FV(Tableau8[[#This Row],[Action]],"Code mnémonique",TRUE)</f>
        <v>KMB</v>
      </c>
      <c r="F26" t="str" cm="1">
        <f t="array" aca="1" ref="F26" ca="1">_FV(Tableau8[[#This Row],[Action]],"Change")</f>
        <v>Nasdaq Stock Market</v>
      </c>
      <c r="G26" s="26" t="str" cm="1">
        <f t="array" aca="1" ref="G26" ca="1">IFERROR(_FV(Tableau8[[#This Row],[Action]],"industrie"),"")</f>
        <v>Personal &amp; Household Products &amp; Services</v>
      </c>
      <c r="H26" s="12" t="str" cm="1">
        <f t="array" aca="1" ref="H26" ca="1">_FV(Tableau8[[#This Row],[Action]],"Devise")</f>
        <v>USD</v>
      </c>
      <c r="I26" s="41" cm="1">
        <f t="array" aca="1" ref="I26" ca="1">_FV(Tableau8[[#This Row],[Action]],"Prix")</f>
        <v>96.6</v>
      </c>
      <c r="J26" s="41"/>
      <c r="K26" s="50">
        <v>1.1599999999999999</v>
      </c>
      <c r="L26" s="41">
        <f>4*Tableau8[[#This Row],[Dividende trimestriel]]</f>
        <v>4.6399999999999997</v>
      </c>
      <c r="M26" s="22">
        <f ca="1">Tableau8[[#This Row],[Dividende annuel]]/Tableau8[[#This Row],[Prix actuel]]</f>
        <v>4.8033126293995858E-2</v>
      </c>
      <c r="N26" s="12">
        <v>50</v>
      </c>
      <c r="O26" s="74" cm="1">
        <f t="array" aca="1" ref="O26" ca="1">IFERROR(_FV(Tableau8[[#This Row],[Action]],"Bêta"),"")</f>
        <v>0.31509999999999999</v>
      </c>
      <c r="P26" s="75" cm="1">
        <f t="array" aca="1" ref="P26" ca="1">_FV(Tableau8[[#This Row],[Action]],"Capitalisation boursière",TRUE)</f>
        <v>32064032280</v>
      </c>
      <c r="Q26" s="28" cm="1">
        <f t="array" aca="1" ref="Q26" ca="1">IFERROR(_FV(Tableau8[[#This Row],[Action]],"Année de constitution",TRUE),"")</f>
        <v>1928</v>
      </c>
    </row>
    <row r="27" spans="2:17" x14ac:dyDescent="0.25">
      <c r="B27" t="s">
        <v>181</v>
      </c>
      <c r="D27" t="e" vm="596">
        <v>#VALUE!</v>
      </c>
      <c r="E27" t="str" cm="1">
        <f t="array" aca="1" ref="E27" ca="1">_FV(Tableau8[[#This Row],[Action]],"Code mnémonique",TRUE)</f>
        <v>VYM</v>
      </c>
      <c r="F27" t="str" cm="1">
        <f t="array" aca="1" ref="F27" ca="1">_FV(Tableau8[[#This Row],[Action]],"Change")</f>
        <v>NYSE Arca</v>
      </c>
      <c r="G27" s="26" t="str" cm="1">
        <f t="array" ref="G27">IFERROR(_FV(Tableau8[[#This Row],[Action]],"industrie"),"")</f>
        <v/>
      </c>
      <c r="H27" s="12" t="str" cm="1">
        <f t="array" aca="1" ref="H27" ca="1">_FV(Tableau8[[#This Row],[Action]],"Devise")</f>
        <v>USD</v>
      </c>
      <c r="I27" s="41" cm="1">
        <f t="array" aca="1" ref="I27" ca="1">_FV(Tableau8[[#This Row],[Action]],"Prix")</f>
        <v>154.38</v>
      </c>
      <c r="J27" s="41"/>
      <c r="K27" s="50">
        <v>0.97499999999999998</v>
      </c>
      <c r="L27" s="41">
        <f>4*Tableau8[[#This Row],[Dividende trimestriel]]</f>
        <v>3.9</v>
      </c>
      <c r="M27" s="22">
        <f ca="1">Tableau8[[#This Row],[Dividende annuel]]/Tableau8[[#This Row],[Prix actuel]]</f>
        <v>2.5262339681305868E-2</v>
      </c>
      <c r="N27" s="12">
        <v>12</v>
      </c>
      <c r="O27" s="74" cm="1">
        <f t="array" aca="1" ref="O27" ca="1">IFERROR(_FV(Tableau8[[#This Row],[Action]],"Bêta"),"")</f>
        <v>0.90090000000000003</v>
      </c>
      <c r="P27" s="75" cm="1">
        <f t="array" aca="1" ref="P27" ca="1">_FV(Tableau8[[#This Row],[Action]],"Capitalisation boursière",TRUE)</f>
        <v>72632240594</v>
      </c>
      <c r="Q27" s="12" t="str" cm="1">
        <f t="array" ref="Q27">IFERROR(_FV(Tableau8[[#This Row],[Action]],"Année de constitution",TRUE),"")</f>
        <v/>
      </c>
    </row>
    <row r="28" spans="2:17" x14ac:dyDescent="0.25">
      <c r="B28" t="s">
        <v>183</v>
      </c>
      <c r="D28" t="e" vm="597">
        <v>#VALUE!</v>
      </c>
      <c r="E28" t="str" cm="1">
        <f t="array" aca="1" ref="E28" ca="1">_FV(Tableau8[[#This Row],[Action]],"Code mnémonique",TRUE)</f>
        <v>TGT</v>
      </c>
      <c r="F28" t="str" cm="1">
        <f t="array" aca="1" ref="F28" ca="1">_FV(Tableau8[[#This Row],[Action]],"Change")</f>
        <v>New York Stock Exchange</v>
      </c>
      <c r="G28" s="26" t="str" cm="1">
        <f t="array" aca="1" ref="G28" ca="1">IFERROR(_FV(Tableau8[[#This Row],[Action]],"industrie"),"")</f>
        <v>Diversified Retail</v>
      </c>
      <c r="H28" s="12" t="str" cm="1">
        <f t="array" aca="1" ref="H28" ca="1">_FV(Tableau8[[#This Row],[Action]],"Devise")</f>
        <v>USD</v>
      </c>
      <c r="I28" s="41" cm="1">
        <f t="array" aca="1" ref="I28" ca="1">_FV(Tableau8[[#This Row],[Action]],"Prix")</f>
        <v>132.12</v>
      </c>
      <c r="J28" s="41"/>
      <c r="K28" s="50">
        <v>1.08</v>
      </c>
      <c r="L28" s="41">
        <f>4*Tableau8[[#This Row],[Dividende trimestriel]]</f>
        <v>4.32</v>
      </c>
      <c r="M28" s="22">
        <f ca="1">Tableau8[[#This Row],[Dividende annuel]]/Tableau8[[#This Row],[Prix actuel]]</f>
        <v>3.269754768392371E-2</v>
      </c>
      <c r="N28" s="12">
        <v>54</v>
      </c>
      <c r="O28" s="74" cm="1">
        <f t="array" aca="1" ref="O28" ca="1">IFERROR(_FV(Tableau8[[#This Row],[Action]],"Bêta"),"")</f>
        <v>1.0266999999999999</v>
      </c>
      <c r="P28" s="75" cm="1">
        <f t="array" aca="1" ref="P28" ca="1">_FV(Tableau8[[#This Row],[Action]],"Capitalisation boursière",TRUE)</f>
        <v>59831281872</v>
      </c>
      <c r="Q28" s="28" cm="1">
        <f t="array" aca="1" ref="Q28" ca="1">IFERROR(_FV(Tableau8[[#This Row],[Action]],"Année de constitution",TRUE),"")</f>
        <v>1902</v>
      </c>
    </row>
    <row r="29" spans="2:17" x14ac:dyDescent="0.25">
      <c r="B29" t="s">
        <v>194</v>
      </c>
      <c r="D29" t="e" vm="598">
        <v>#VALUE!</v>
      </c>
      <c r="E29" t="str" cm="1">
        <f t="array" aca="1" ref="E29" ca="1">_FV(Tableau8[[#This Row],[Action]],"Code mnémonique",TRUE)</f>
        <v>OTEX</v>
      </c>
      <c r="F29" t="str" cm="1">
        <f t="array" aca="1" ref="F29" ca="1">_FV(Tableau8[[#This Row],[Action]],"Change")</f>
        <v>Toronto Stock Exchange</v>
      </c>
      <c r="G29" s="26" t="str" cm="1">
        <f t="array" aca="1" ref="G29" ca="1">IFERROR(_FV(Tableau8[[#This Row],[Action]],"industrie"),"")</f>
        <v>Software &amp; IT Services</v>
      </c>
      <c r="H29" s="12" t="str" cm="1">
        <f t="array" aca="1" ref="H29" ca="1">_FV(Tableau8[[#This Row],[Action]],"Devise")</f>
        <v>CAD</v>
      </c>
      <c r="I29" s="41" cm="1">
        <f t="array" aca="1" ref="I29" ca="1">_FV(Tableau8[[#This Row],[Action]],"Prix")</f>
        <v>31.86</v>
      </c>
      <c r="J29" s="41"/>
      <c r="K29" s="50">
        <v>0.33100000000000002</v>
      </c>
      <c r="L29" s="41">
        <f>4*Tableau8[[#This Row],[Dividende trimestriel]]</f>
        <v>1.3240000000000001</v>
      </c>
      <c r="M29" s="22">
        <f ca="1">Tableau8[[#This Row],[Dividende annuel]]/Tableau8[[#This Row],[Prix actuel]]</f>
        <v>4.1556811048336473E-2</v>
      </c>
      <c r="N29" s="12">
        <v>5</v>
      </c>
      <c r="O29" s="74" cm="1">
        <f t="array" aca="1" ref="O29" ca="1">IFERROR(_FV(Tableau8[[#This Row],[Action]],"Bêta"),"")</f>
        <v>0.88790000000000002</v>
      </c>
      <c r="P29" s="75" cm="1">
        <f t="array" aca="1" ref="P29" ca="1">_FV(Tableau8[[#This Row],[Action]],"Capitalisation boursière",TRUE)</f>
        <v>7984205208</v>
      </c>
      <c r="Q29" s="12" cm="1">
        <f t="array" aca="1" ref="Q29" ca="1">IFERROR(_FV(Tableau8[[#This Row],[Action]],"Année de constitution",TRUE),"")</f>
        <v>2018</v>
      </c>
    </row>
    <row r="30" spans="2:17" x14ac:dyDescent="0.25">
      <c r="B30" t="s">
        <v>183</v>
      </c>
      <c r="D30" t="e" vm="599">
        <v>#VALUE!</v>
      </c>
      <c r="E30" t="str" cm="1">
        <f t="array" aca="1" ref="E30" ca="1">_FV(Tableau8[[#This Row],[Action]],"Code mnémonique",TRUE)</f>
        <v>NFG</v>
      </c>
      <c r="F30" t="str" cm="1">
        <f t="array" aca="1" ref="F30" ca="1">_FV(Tableau8[[#This Row],[Action]],"Change")</f>
        <v>New York Stock Exchange</v>
      </c>
      <c r="G30" s="26" t="str" cm="1">
        <f t="array" aca="1" ref="G30" ca="1">IFERROR(_FV(Tableau8[[#This Row],[Action]],"industrie"),"")</f>
        <v>Natural Gas Utilities</v>
      </c>
      <c r="H30" s="12" t="str" cm="1">
        <f t="array" aca="1" ref="H30" ca="1">_FV(Tableau8[[#This Row],[Action]],"Devise")</f>
        <v>USD</v>
      </c>
      <c r="I30" s="41" cm="1">
        <f t="array" aca="1" ref="I30" ca="1">_FV(Tableau8[[#This Row],[Action]],"Prix")</f>
        <v>86.26</v>
      </c>
      <c r="J30" s="41"/>
      <c r="K30" s="50">
        <v>0.47499999999999998</v>
      </c>
      <c r="L30" s="41">
        <f>4*Tableau8[[#This Row],[Dividende trimestriel]]</f>
        <v>1.9</v>
      </c>
      <c r="M30" s="22">
        <f ca="1">Tableau8[[#This Row],[Dividende annuel]]/Tableau8[[#This Row],[Prix actuel]]</f>
        <v>2.2026431718061672E-2</v>
      </c>
      <c r="N30" s="12">
        <v>51</v>
      </c>
      <c r="O30" s="74" cm="1">
        <f t="array" aca="1" ref="O30" ca="1">IFERROR(_FV(Tableau8[[#This Row],[Action]],"Bêta"),"")</f>
        <v>0.46160000000000001</v>
      </c>
      <c r="P30" s="75" cm="1">
        <f t="array" aca="1" ref="P30" ca="1">_FV(Tableau8[[#This Row],[Action]],"Capitalisation boursière",TRUE)</f>
        <v>8196978989</v>
      </c>
      <c r="Q30" s="28" cm="1">
        <f t="array" aca="1" ref="Q30" ca="1">IFERROR(_FV(Tableau8[[#This Row],[Action]],"Année de constitution",TRUE),"")</f>
        <v>1902</v>
      </c>
    </row>
    <row r="31" spans="2:17" x14ac:dyDescent="0.25">
      <c r="B31" t="s">
        <v>181</v>
      </c>
      <c r="C31" s="12" t="s">
        <v>40</v>
      </c>
      <c r="D31" t="e" vm="600">
        <v>#VALUE!</v>
      </c>
      <c r="E31" t="str" cm="1">
        <f t="array" aca="1" ref="E31" ca="1">_FV(Tableau8[[#This Row],[Action]],"Code mnémonique",TRUE)</f>
        <v>ABBV</v>
      </c>
      <c r="F31" t="str" cm="1">
        <f t="array" aca="1" ref="F31" ca="1">_FV(Tableau8[[#This Row],[Action]],"Change")</f>
        <v>New York Stock Exchange</v>
      </c>
      <c r="G31" s="26" t="str" cm="1">
        <f t="array" aca="1" ref="G31" ca="1">IFERROR(_FV(Tableau8[[#This Row],[Action]],"industrie"),"")</f>
        <v>Pharmaceuticals</v>
      </c>
      <c r="H31" s="12" t="str" cm="1">
        <f t="array" aca="1" ref="H31" ca="1">_FV(Tableau8[[#This Row],[Action]],"Devise")</f>
        <v>USD</v>
      </c>
      <c r="I31" s="41" cm="1">
        <f t="array" aca="1" ref="I31" ca="1">_FV(Tableau8[[#This Row],[Action]],"Prix")</f>
        <v>205.13</v>
      </c>
      <c r="J31" s="41"/>
      <c r="K31" s="50">
        <v>1.48</v>
      </c>
      <c r="L31" s="41">
        <f>4*Tableau8[[#This Row],[Dividende trimestriel]]</f>
        <v>5.92</v>
      </c>
      <c r="M31" s="22">
        <f ca="1">Tableau8[[#This Row],[Dividende annuel]]/Tableau8[[#This Row],[Prix actuel]]</f>
        <v>2.8859747477209576E-2</v>
      </c>
      <c r="N31" s="12">
        <v>9</v>
      </c>
      <c r="O31" s="74" cm="1">
        <f t="array" aca="1" ref="O31" ca="1">IFERROR(_FV(Tableau8[[#This Row],[Action]],"Bêta"),"")</f>
        <v>0.29370000000000002</v>
      </c>
      <c r="P31" s="75" cm="1">
        <f t="array" aca="1" ref="P31" ca="1">_FV(Tableau8[[#This Row],[Action]],"Capitalisation boursière",TRUE)</f>
        <v>362826149060</v>
      </c>
      <c r="Q31" s="28" cm="1">
        <f t="array" aca="1" ref="Q31" ca="1">IFERROR(_FV(Tableau8[[#This Row],[Action]],"Année de constitution",TRUE),"")</f>
        <v>2012</v>
      </c>
    </row>
    <row r="32" spans="2:17" x14ac:dyDescent="0.25">
      <c r="B32" t="s">
        <v>181</v>
      </c>
      <c r="C32" s="12" t="s">
        <v>40</v>
      </c>
      <c r="D32" t="e" vm="601">
        <v>#VALUE!</v>
      </c>
      <c r="E32" t="str" cm="1">
        <f t="array" aca="1" ref="E32" ca="1">_FV(Tableau8[[#This Row],[Action]],"Code mnémonique",TRUE)</f>
        <v>XOM</v>
      </c>
      <c r="F32" t="str" cm="1">
        <f t="array" aca="1" ref="F32" ca="1">_FV(Tableau8[[#This Row],[Action]],"Change")</f>
        <v>New York Stock Exchange</v>
      </c>
      <c r="G32" s="26" t="str" cm="1">
        <f t="array" aca="1" ref="G32" ca="1">IFERROR(_FV(Tableau8[[#This Row],[Action]],"industrie"),"")</f>
        <v>Oil &amp; Gas</v>
      </c>
      <c r="H32" s="12" t="str" cm="1">
        <f t="array" aca="1" ref="H32" ca="1">_FV(Tableau8[[#This Row],[Action]],"Devise")</f>
        <v>USD</v>
      </c>
      <c r="I32" s="41" cm="1">
        <f t="array" aca="1" ref="I32" ca="1">_FV(Tableau8[[#This Row],[Action]],"Prix")</f>
        <v>148.41</v>
      </c>
      <c r="J32" s="41"/>
      <c r="K32" s="50">
        <v>0.91</v>
      </c>
      <c r="L32" s="41">
        <f>4*Tableau8[[#This Row],[Dividende trimestriel]]</f>
        <v>3.64</v>
      </c>
      <c r="M32" s="22">
        <f ca="1">Tableau8[[#This Row],[Dividende annuel]]/Tableau8[[#This Row],[Prix actuel]]</f>
        <v>2.4526649147631564E-2</v>
      </c>
      <c r="N32" s="12">
        <v>20</v>
      </c>
      <c r="O32" s="74" cm="1">
        <f t="array" aca="1" ref="O32" ca="1">IFERROR(_FV(Tableau8[[#This Row],[Action]],"Bêta"),"")</f>
        <v>0.17560000000000001</v>
      </c>
      <c r="P32" s="75" cm="1">
        <f t="array" aca="1" ref="P32" ca="1">_FV(Tableau8[[#This Row],[Action]],"Capitalisation boursière",TRUE)</f>
        <v>616875069600</v>
      </c>
      <c r="Q32" s="28" cm="1">
        <f t="array" aca="1" ref="Q32" ca="1">IFERROR(_FV(Tableau8[[#This Row],[Action]],"Année de constitution",TRUE),"")</f>
        <v>1882</v>
      </c>
    </row>
    <row r="33" spans="2:17" x14ac:dyDescent="0.25">
      <c r="B33" t="s">
        <v>194</v>
      </c>
      <c r="D33" t="e" vm="602">
        <v>#VALUE!</v>
      </c>
      <c r="E33" t="str" cm="1">
        <f t="array" aca="1" ref="E33" ca="1">_FV(Tableau8[[#This Row],[Action]],"Code mnémonique",TRUE)</f>
        <v>QSR</v>
      </c>
      <c r="F33" t="str" cm="1">
        <f t="array" aca="1" ref="F33" ca="1">_FV(Tableau8[[#This Row],[Action]],"Change")</f>
        <v>Toronto Stock Exchange</v>
      </c>
      <c r="G33" s="26" t="str" cm="1">
        <f t="array" aca="1" ref="G33" ca="1">IFERROR(_FV(Tableau8[[#This Row],[Action]],"industrie"),"")</f>
        <v>Hotels &amp; Entertainment Services</v>
      </c>
      <c r="H33" s="12" t="str" cm="1">
        <f t="array" aca="1" ref="H33" ca="1">_FV(Tableau8[[#This Row],[Action]],"Devise")</f>
        <v>CAD</v>
      </c>
      <c r="I33" s="41" cm="1">
        <f t="array" aca="1" ref="I33" ca="1">_FV(Tableau8[[#This Row],[Action]],"Prix")</f>
        <v>107.62</v>
      </c>
      <c r="J33" s="41"/>
      <c r="K33" s="50">
        <v>0.73799999999999999</v>
      </c>
      <c r="L33" s="41">
        <f>4*Tableau8[[#This Row],[Dividende trimestriel]]</f>
        <v>2.952</v>
      </c>
      <c r="M33" s="22">
        <f ca="1">Tableau8[[#This Row],[Dividende annuel]]/Tableau8[[#This Row],[Prix actuel]]</f>
        <v>2.74298457535774E-2</v>
      </c>
      <c r="N33" s="12">
        <v>1</v>
      </c>
      <c r="O33" s="74" cm="1">
        <f t="array" aca="1" ref="O33" ca="1">IFERROR(_FV(Tableau8[[#This Row],[Action]],"Bêta"),"")</f>
        <v>0.53139999999999998</v>
      </c>
      <c r="P33" s="75" cm="1">
        <f t="array" aca="1" ref="P33" ca="1">_FV(Tableau8[[#This Row],[Action]],"Capitalisation boursière",TRUE)</f>
        <v>22704270000</v>
      </c>
      <c r="Q33" s="12" cm="1">
        <f t="array" aca="1" ref="Q33" ca="1">IFERROR(_FV(Tableau8[[#This Row],[Action]],"Année de constitution",TRUE),"")</f>
        <v>2014</v>
      </c>
    </row>
    <row r="34" spans="2:17" x14ac:dyDescent="0.25">
      <c r="B34" t="s">
        <v>181</v>
      </c>
      <c r="D34" t="e" vm="603">
        <v>#VALUE!</v>
      </c>
      <c r="E34" t="str" cm="1">
        <f t="array" aca="1" ref="E34" ca="1">_FV(Tableau8[[#This Row],[Action]],"Code mnémonique",TRUE)</f>
        <v>SBUX</v>
      </c>
      <c r="F34" t="str" cm="1">
        <f t="array" aca="1" ref="F34" ca="1">_FV(Tableau8[[#This Row],[Action]],"Change")</f>
        <v>Nasdaq Stock Market</v>
      </c>
      <c r="G34" s="26" t="str" cm="1">
        <f t="array" aca="1" ref="G34" ca="1">IFERROR(_FV(Tableau8[[#This Row],[Action]],"industrie"),"")</f>
        <v>Hotels &amp; Entertainment Services</v>
      </c>
      <c r="H34" s="12" t="str" cm="1">
        <f t="array" aca="1" ref="H34" ca="1">_FV(Tableau8[[#This Row],[Action]],"Devise")</f>
        <v>USD</v>
      </c>
      <c r="I34" s="41" cm="1">
        <f t="array" aca="1" ref="I34" ca="1">_FV(Tableau8[[#This Row],[Action]],"Prix")</f>
        <v>97.8</v>
      </c>
      <c r="J34" s="41"/>
      <c r="K34" s="50">
        <v>0.53</v>
      </c>
      <c r="L34" s="41">
        <f>4*Tableau8[[#This Row],[Dividende trimestriel]]</f>
        <v>2.12</v>
      </c>
      <c r="M34" s="22">
        <f ca="1">Tableau8[[#This Row],[Dividende annuel]]/Tableau8[[#This Row],[Prix actuel]]</f>
        <v>2.1676891615541923E-2</v>
      </c>
      <c r="N34" s="12">
        <v>12</v>
      </c>
      <c r="O34" s="74" cm="1">
        <f t="array" aca="1" ref="O34" ca="1">IFERROR(_FV(Tableau8[[#This Row],[Action]],"Bêta"),"")</f>
        <v>0.96140000000000003</v>
      </c>
      <c r="P34" s="75" cm="1">
        <f t="array" aca="1" ref="P34" ca="1">_FV(Tableau8[[#This Row],[Action]],"Capitalisation boursière",TRUE)</f>
        <v>111423540000</v>
      </c>
      <c r="Q34" s="28" cm="1">
        <f t="array" aca="1" ref="Q34" ca="1">IFERROR(_FV(Tableau8[[#This Row],[Action]],"Année de constitution",TRUE),"")</f>
        <v>1985</v>
      </c>
    </row>
    <row r="35" spans="2:17" x14ac:dyDescent="0.25">
      <c r="B35" t="s">
        <v>183</v>
      </c>
      <c r="D35" t="e" vm="604">
        <v>#VALUE!</v>
      </c>
      <c r="E35" t="str" cm="1">
        <f t="array" aca="1" ref="E35" ca="1">_FV(Tableau8[[#This Row],[Action]],"Code mnémonique",TRUE)</f>
        <v>SYY</v>
      </c>
      <c r="F35" t="str" cm="1">
        <f t="array" aca="1" ref="F35" ca="1">_FV(Tableau8[[#This Row],[Action]],"Change")</f>
        <v>New York Stock Exchange</v>
      </c>
      <c r="G35" s="26" t="str" cm="1">
        <f t="array" aca="1" ref="G35" ca="1">IFERROR(_FV(Tableau8[[#This Row],[Action]],"industrie"),"")</f>
        <v>Food &amp; Drug Retailing</v>
      </c>
      <c r="H35" s="12" t="str" cm="1">
        <f t="array" aca="1" ref="H35" ca="1">_FV(Tableau8[[#This Row],[Action]],"Devise")</f>
        <v>USD</v>
      </c>
      <c r="I35" s="41" cm="1">
        <f t="array" aca="1" ref="I35" ca="1">_FV(Tableau8[[#This Row],[Action]],"Prix")</f>
        <v>74.819999999999993</v>
      </c>
      <c r="J35" s="41"/>
      <c r="K35" s="50">
        <v>0.49</v>
      </c>
      <c r="L35" s="41">
        <f>4*Tableau8[[#This Row],[Dividende trimestriel]]</f>
        <v>1.96</v>
      </c>
      <c r="M35" s="22">
        <f ca="1">Tableau8[[#This Row],[Dividende annuel]]/Tableau8[[#This Row],[Prix actuel]]</f>
        <v>2.6196204223469664E-2</v>
      </c>
      <c r="N35" s="12">
        <v>7</v>
      </c>
      <c r="O35" s="74" cm="1">
        <f t="array" aca="1" ref="O35" ca="1">IFERROR(_FV(Tableau8[[#This Row],[Action]],"Bêta"),"")</f>
        <v>0.68530000000000002</v>
      </c>
      <c r="P35" s="75" cm="1">
        <f t="array" aca="1" ref="P35" ca="1">_FV(Tableau8[[#This Row],[Action]],"Capitalisation boursière",TRUE)</f>
        <v>35777300406</v>
      </c>
      <c r="Q35" s="28" cm="1">
        <f t="array" aca="1" ref="Q35" ca="1">IFERROR(_FV(Tableau8[[#This Row],[Action]],"Année de constitution",TRUE),"")</f>
        <v>1969</v>
      </c>
    </row>
    <row r="36" spans="2:17" x14ac:dyDescent="0.25">
      <c r="B36" t="s">
        <v>183</v>
      </c>
      <c r="D36" t="e" vm="605">
        <v>#VALUE!</v>
      </c>
      <c r="E36" t="str" cm="1">
        <f t="array" aca="1" ref="E36" ca="1">_FV(Tableau8[[#This Row],[Action]],"Code mnémonique",TRUE)</f>
        <v>GPC</v>
      </c>
      <c r="F36" t="str" cm="1">
        <f t="array" aca="1" ref="F36" ca="1">_FV(Tableau8[[#This Row],[Action]],"Change")</f>
        <v>New York Stock Exchange</v>
      </c>
      <c r="G36" s="26" t="str" cm="1">
        <f t="array" aca="1" ref="G36" ca="1">IFERROR(_FV(Tableau8[[#This Row],[Action]],"industrie"),"")</f>
        <v>Automobiles &amp; Auto Parts</v>
      </c>
      <c r="H36" s="12" t="str" cm="1">
        <f t="array" aca="1" ref="H36" ca="1">_FV(Tableau8[[#This Row],[Action]],"Devise")</f>
        <v>USD</v>
      </c>
      <c r="I36" s="41" cm="1">
        <f t="array" aca="1" ref="I36" ca="1">_FV(Tableau8[[#This Row],[Action]],"Prix")</f>
        <v>115</v>
      </c>
      <c r="J36" s="41"/>
      <c r="K36" s="50">
        <v>0.89500000000000002</v>
      </c>
      <c r="L36" s="41">
        <f>4*Tableau8[[#This Row],[Dividende trimestriel]]</f>
        <v>3.58</v>
      </c>
      <c r="M36" s="22">
        <f ca="1">Tableau8[[#This Row],[Dividende annuel]]/Tableau8[[#This Row],[Prix actuel]]</f>
        <v>3.1130434782608695E-2</v>
      </c>
      <c r="N36" s="12">
        <v>66</v>
      </c>
      <c r="O36" s="74" cm="1">
        <f t="array" aca="1" ref="O36" ca="1">IFERROR(_FV(Tableau8[[#This Row],[Action]],"Bêta"),"")</f>
        <v>0.75629999999999997</v>
      </c>
      <c r="P36" s="75" cm="1">
        <f t="array" aca="1" ref="P36" ca="1">_FV(Tableau8[[#This Row],[Action]],"Capitalisation boursière",TRUE)</f>
        <v>15999041500</v>
      </c>
      <c r="Q36" s="28" cm="1">
        <f t="array" aca="1" ref="Q36" ca="1">IFERROR(_FV(Tableau8[[#This Row],[Action]],"Année de constitution",TRUE),"")</f>
        <v>1928</v>
      </c>
    </row>
    <row r="37" spans="2:17" x14ac:dyDescent="0.25">
      <c r="B37" t="s">
        <v>194</v>
      </c>
      <c r="D37" t="e" vm="606">
        <v>#VALUE!</v>
      </c>
      <c r="E37" t="str" cm="1">
        <f t="array" aca="1" ref="E37" ca="1">_FV(Tableau8[[#This Row],[Action]],"Code mnémonique",TRUE)</f>
        <v>FTT</v>
      </c>
      <c r="F37" t="str" cm="1">
        <f t="array" aca="1" ref="F37" ca="1">_FV(Tableau8[[#This Row],[Action]],"Change")</f>
        <v>Toronto Stock Exchange</v>
      </c>
      <c r="G37" s="26" t="str" cm="1">
        <f t="array" aca="1" ref="G37" ca="1">IFERROR(_FV(Tableau8[[#This Row],[Action]],"industrie"),"")</f>
        <v>Machinery, Equipment &amp; Components</v>
      </c>
      <c r="H37" s="12" t="str" cm="1">
        <f t="array" aca="1" ref="H37" ca="1">_FV(Tableau8[[#This Row],[Action]],"Devise")</f>
        <v>CAD</v>
      </c>
      <c r="I37" s="41" cm="1">
        <f t="array" aca="1" ref="I37" ca="1">_FV(Tableau8[[#This Row],[Action]],"Prix")</f>
        <v>96.42</v>
      </c>
      <c r="J37" s="41"/>
      <c r="K37" s="50">
        <v>0.23599999999999999</v>
      </c>
      <c r="L37" s="41">
        <f>4*Tableau8[[#This Row],[Dividende trimestriel]]</f>
        <v>0.94399999999999995</v>
      </c>
      <c r="M37" s="22">
        <f ca="1">Tableau8[[#This Row],[Dividende annuel]]/Tableau8[[#This Row],[Prix actuel]]</f>
        <v>9.7904998962870769E-3</v>
      </c>
      <c r="N37" s="12">
        <v>14</v>
      </c>
      <c r="O37" s="74" cm="1">
        <f t="array" aca="1" ref="O37" ca="1">IFERROR(_FV(Tableau8[[#This Row],[Action]],"Bêta"),"")</f>
        <v>1.3059000000000001</v>
      </c>
      <c r="P37" s="75" cm="1">
        <f t="array" aca="1" ref="P37" ca="1">_FV(Tableau8[[#This Row],[Action]],"Capitalisation boursière",TRUE)</f>
        <v>12595836342</v>
      </c>
      <c r="Q37" s="12" cm="1">
        <f t="array" aca="1" ref="Q37" ca="1">IFERROR(_FV(Tableau8[[#This Row],[Action]],"Année de constitution",TRUE),"")</f>
        <v>1986</v>
      </c>
    </row>
    <row r="38" spans="2:17" x14ac:dyDescent="0.25">
      <c r="B38" t="s">
        <v>183</v>
      </c>
      <c r="D38" t="e" vm="607">
        <v>#VALUE!</v>
      </c>
      <c r="E38" t="str" cm="1">
        <f t="array" aca="1" ref="E38" ca="1">_FV(Tableau8[[#This Row],[Action]],"Code mnémonique",TRUE)</f>
        <v>HTO</v>
      </c>
      <c r="F38" t="str" cm="1">
        <f t="array" aca="1" ref="F38" ca="1">_FV(Tableau8[[#This Row],[Action]],"Change")</f>
        <v>Nasdaq Stock Market</v>
      </c>
      <c r="G38" s="26" t="str" cm="1">
        <f t="array" aca="1" ref="G38" ca="1">IFERROR(_FV(Tableau8[[#This Row],[Action]],"industrie"),"")</f>
        <v>Water Utilities</v>
      </c>
      <c r="H38" s="12" t="str" cm="1">
        <f t="array" aca="1" ref="H38" ca="1">_FV(Tableau8[[#This Row],[Action]],"Devise")</f>
        <v>USD</v>
      </c>
      <c r="I38" s="41" cm="1">
        <f t="array" aca="1" ref="I38" ca="1">_FV(Tableau8[[#This Row],[Action]],"Prix")</f>
        <v>59.3</v>
      </c>
      <c r="J38" s="41"/>
      <c r="K38" s="50">
        <v>0.36</v>
      </c>
      <c r="L38" s="41">
        <f>4*Tableau8[[#This Row],[Dividende trimestriel]]</f>
        <v>1.44</v>
      </c>
      <c r="M38" s="22">
        <f ca="1">Tableau8[[#This Row],[Dividende annuel]]/Tableau8[[#This Row],[Prix actuel]]</f>
        <v>2.4283305227655986E-2</v>
      </c>
      <c r="N38" s="12">
        <v>17</v>
      </c>
      <c r="O38" s="74" cm="1">
        <f t="array" aca="1" ref="O38" ca="1">IFERROR(_FV(Tableau8[[#This Row],[Action]],"Bêta"),"")</f>
        <v>0.39910000000000001</v>
      </c>
      <c r="P38" s="75" cm="1">
        <f t="array" aca="1" ref="P38" ca="1">_FV(Tableau8[[#This Row],[Action]],"Capitalisation boursière",TRUE)</f>
        <v>2481084722</v>
      </c>
      <c r="Q38" s="28" cm="1">
        <f t="array" aca="1" ref="Q38" ca="1">IFERROR(_FV(Tableau8[[#This Row],[Action]],"Année de constitution",TRUE),"")</f>
        <v>2015</v>
      </c>
    </row>
    <row r="39" spans="2:17" x14ac:dyDescent="0.25">
      <c r="B39" t="s">
        <v>194</v>
      </c>
      <c r="D39" t="e" vm="608">
        <v>#VALUE!</v>
      </c>
      <c r="E39" t="str" cm="1">
        <f t="array" aca="1" ref="E39" ca="1">_FV(Tableau8[[#This Row],[Action]],"Code mnémonique",TRUE)</f>
        <v>SAP</v>
      </c>
      <c r="F39" t="str" cm="1">
        <f t="array" aca="1" ref="F39" ca="1">_FV(Tableau8[[#This Row],[Action]],"Change")</f>
        <v>Toronto Stock Exchange</v>
      </c>
      <c r="G39" s="26" t="str" cm="1">
        <f t="array" aca="1" ref="G39" ca="1">IFERROR(_FV(Tableau8[[#This Row],[Action]],"industrie"),"")</f>
        <v>Food &amp; Tobacco</v>
      </c>
      <c r="H39" s="12" t="str" cm="1">
        <f t="array" aca="1" ref="H39" ca="1">_FV(Tableau8[[#This Row],[Action]],"Devise")</f>
        <v>CAD</v>
      </c>
      <c r="I39" s="41" cm="1">
        <f t="array" aca="1" ref="I39" ca="1">_FV(Tableau8[[#This Row],[Action]],"Prix")</f>
        <v>38.35</v>
      </c>
      <c r="J39" s="41"/>
      <c r="K39" s="50">
        <v>0.18</v>
      </c>
      <c r="L39" s="41">
        <f>4*Tableau8[[#This Row],[Dividende trimestriel]]</f>
        <v>0.72</v>
      </c>
      <c r="M39" s="22">
        <f ca="1">Tableau8[[#This Row],[Dividende annuel]]/Tableau8[[#This Row],[Prix actuel]]</f>
        <v>1.877444589308996E-2</v>
      </c>
      <c r="N39" s="12">
        <v>7</v>
      </c>
      <c r="O39" s="74" cm="1">
        <f t="array" aca="1" ref="O39" ca="1">IFERROR(_FV(Tableau8[[#This Row],[Action]],"Bêta"),"")</f>
        <v>7.8700000000000006E-2</v>
      </c>
      <c r="P39" s="75" cm="1">
        <f t="array" aca="1" ref="P39" ca="1">_FV(Tableau8[[#This Row],[Action]],"Capitalisation boursière",TRUE)</f>
        <v>15538223480</v>
      </c>
      <c r="Q39" s="12" cm="1">
        <f t="array" aca="1" ref="Q39" ca="1">IFERROR(_FV(Tableau8[[#This Row],[Action]],"Année de constitution",TRUE),"")</f>
        <v>1992</v>
      </c>
    </row>
    <row r="40" spans="2:17" x14ac:dyDescent="0.25">
      <c r="B40" t="s">
        <v>183</v>
      </c>
      <c r="D40" t="e" vm="609">
        <v>#VALUE!</v>
      </c>
      <c r="E40" t="str" cm="1">
        <f t="array" aca="1" ref="E40" ca="1">_FV(Tableau8[[#This Row],[Action]],"Code mnémonique",TRUE)</f>
        <v>ITW</v>
      </c>
      <c r="F40" t="str" cm="1">
        <f t="array" aca="1" ref="F40" ca="1">_FV(Tableau8[[#This Row],[Action]],"Change")</f>
        <v>New York Stock Exchange</v>
      </c>
      <c r="G40" s="26" t="str" cm="1">
        <f t="array" aca="1" ref="G40" ca="1">IFERROR(_FV(Tableau8[[#This Row],[Action]],"industrie"),"")</f>
        <v>Consumer Goods Conglomerates</v>
      </c>
      <c r="H40" s="12" t="str" cm="1">
        <f t="array" aca="1" ref="H40" ca="1">_FV(Tableau8[[#This Row],[Action]],"Devise")</f>
        <v>USD</v>
      </c>
      <c r="I40" s="41" cm="1">
        <f t="array" aca="1" ref="I40" ca="1">_FV(Tableau8[[#This Row],[Action]],"Prix")</f>
        <v>271.07</v>
      </c>
      <c r="J40" s="41"/>
      <c r="K40" s="50">
        <v>1.31</v>
      </c>
      <c r="L40" s="41">
        <f>4*Tableau8[[#This Row],[Dividende trimestriel]]</f>
        <v>5.24</v>
      </c>
      <c r="M40" s="22">
        <f ca="1">Tableau8[[#This Row],[Dividende annuel]]/Tableau8[[#This Row],[Prix actuel]]</f>
        <v>1.9330800162319698E-2</v>
      </c>
      <c r="N40" s="12">
        <v>27</v>
      </c>
      <c r="O40" s="74" cm="1">
        <f t="array" aca="1" ref="O40" ca="1">IFERROR(_FV(Tableau8[[#This Row],[Action]],"Bêta"),"")</f>
        <v>1.1173999999999999</v>
      </c>
      <c r="P40" s="75" cm="1">
        <f t="array" aca="1" ref="P40" ca="1">_FV(Tableau8[[#This Row],[Action]],"Capitalisation boursière",TRUE)</f>
        <v>78089330567</v>
      </c>
      <c r="Q40" s="28" cm="1">
        <f t="array" aca="1" ref="Q40" ca="1">IFERROR(_FV(Tableau8[[#This Row],[Action]],"Année de constitution",TRUE),"")</f>
        <v>1961</v>
      </c>
    </row>
    <row r="41" spans="2:17" x14ac:dyDescent="0.25">
      <c r="B41" t="s">
        <v>183</v>
      </c>
      <c r="D41" t="e" vm="610">
        <v>#VALUE!</v>
      </c>
      <c r="E41" t="str" cm="1">
        <f t="array" aca="1" ref="E41" ca="1">_FV(Tableau8[[#This Row],[Action]],"Code mnémonique",TRUE)</f>
        <v>CINF</v>
      </c>
      <c r="F41" t="str" cm="1">
        <f t="array" aca="1" ref="F41" ca="1">_FV(Tableau8[[#This Row],[Action]],"Change")</f>
        <v>Nasdaq Stock Market</v>
      </c>
      <c r="G41" s="26" t="str" cm="1">
        <f t="array" aca="1" ref="G41" ca="1">IFERROR(_FV(Tableau8[[#This Row],[Action]],"industrie"),"")</f>
        <v>Insurance</v>
      </c>
      <c r="H41" s="12" t="str" cm="1">
        <f t="array" aca="1" ref="H41" ca="1">_FV(Tableau8[[#This Row],[Action]],"Devise")</f>
        <v>USD</v>
      </c>
      <c r="I41" s="41" cm="1">
        <f t="array" aca="1" ref="I41" ca="1">_FV(Tableau8[[#This Row],[Action]],"Prix")</f>
        <v>166.46</v>
      </c>
      <c r="J41" s="41"/>
      <c r="K41" s="50">
        <v>0.69</v>
      </c>
      <c r="L41" s="41">
        <f>4*Tableau8[[#This Row],[Dividende trimestriel]]</f>
        <v>2.76</v>
      </c>
      <c r="M41" s="22">
        <f ca="1">Tableau8[[#This Row],[Dividende annuel]]/Tableau8[[#This Row],[Prix actuel]]</f>
        <v>1.658055989426889E-2</v>
      </c>
      <c r="N41" s="12">
        <v>62</v>
      </c>
      <c r="O41" s="74" cm="1">
        <f t="array" aca="1" ref="O41" ca="1">IFERROR(_FV(Tableau8[[#This Row],[Action]],"Bêta"),"")</f>
        <v>0.61819999999999997</v>
      </c>
      <c r="P41" s="75" cm="1">
        <f t="array" aca="1" ref="P41" ca="1">_FV(Tableau8[[#This Row],[Action]],"Capitalisation boursière",TRUE)</f>
        <v>25915524852</v>
      </c>
      <c r="Q41" s="28" cm="1">
        <f t="array" aca="1" ref="Q41" ca="1">IFERROR(_FV(Tableau8[[#This Row],[Action]],"Année de constitution",TRUE),"")</f>
        <v>1992</v>
      </c>
    </row>
    <row r="42" spans="2:17" x14ac:dyDescent="0.25">
      <c r="B42" t="s">
        <v>183</v>
      </c>
      <c r="D42" t="e" vm="611">
        <v>#VALUE!</v>
      </c>
      <c r="E42" t="str" cm="1">
        <f t="array" aca="1" ref="E42" ca="1">_FV(Tableau8[[#This Row],[Action]],"Code mnémonique",TRUE)</f>
        <v>PPG</v>
      </c>
      <c r="F42" t="str" cm="1">
        <f t="array" aca="1" ref="F42" ca="1">_FV(Tableau8[[#This Row],[Action]],"Change")</f>
        <v>New York Stock Exchange</v>
      </c>
      <c r="G42" s="26" t="str" cm="1">
        <f t="array" aca="1" ref="G42" ca="1">IFERROR(_FV(Tableau8[[#This Row],[Action]],"industrie"),"")</f>
        <v>Chemicals</v>
      </c>
      <c r="H42" s="12" t="str" cm="1">
        <f t="array" aca="1" ref="H42" ca="1">_FV(Tableau8[[#This Row],[Action]],"Devise")</f>
        <v>USD</v>
      </c>
      <c r="I42" s="41" cm="1">
        <f t="array" aca="1" ref="I42" ca="1">_FV(Tableau8[[#This Row],[Action]],"Prix")</f>
        <v>110.94</v>
      </c>
      <c r="J42" s="41"/>
      <c r="K42" s="50">
        <v>0.62</v>
      </c>
      <c r="L42" s="41">
        <f>4*Tableau8[[#This Row],[Dividende trimestriel]]</f>
        <v>2.48</v>
      </c>
      <c r="M42" s="22">
        <f ca="1">Tableau8[[#This Row],[Dividende annuel]]/Tableau8[[#This Row],[Prix actuel]]</f>
        <v>2.2354425815756265E-2</v>
      </c>
      <c r="N42" s="12">
        <v>50</v>
      </c>
      <c r="O42" s="74" cm="1">
        <f t="array" aca="1" ref="O42" ca="1">IFERROR(_FV(Tableau8[[#This Row],[Action]],"Bêta"),"")</f>
        <v>1.1124000000000001</v>
      </c>
      <c r="P42" s="75" cm="1">
        <f t="array" aca="1" ref="P42" ca="1">_FV(Tableau8[[#This Row],[Action]],"Capitalisation boursière",TRUE)</f>
        <v>24828216684</v>
      </c>
      <c r="Q42" s="28" cm="1">
        <f t="array" aca="1" ref="Q42" ca="1">IFERROR(_FV(Tableau8[[#This Row],[Action]],"Année de constitution",TRUE),"")</f>
        <v>1883</v>
      </c>
    </row>
    <row r="43" spans="2:17" x14ac:dyDescent="0.25">
      <c r="B43" t="s">
        <v>183</v>
      </c>
      <c r="D43" t="e" vm="612">
        <v>#VALUE!</v>
      </c>
      <c r="E43" t="str" cm="1">
        <f t="array" aca="1" ref="E43" ca="1">_FV(Tableau8[[#This Row],[Action]],"Code mnémonique",TRUE)</f>
        <v>MSEX</v>
      </c>
      <c r="F43" t="str" cm="1">
        <f t="array" aca="1" ref="F43" ca="1">_FV(Tableau8[[#This Row],[Action]],"Change")</f>
        <v>Nasdaq Stock Market</v>
      </c>
      <c r="G43" s="26" t="str" cm="1">
        <f t="array" aca="1" ref="G43" ca="1">IFERROR(_FV(Tableau8[[#This Row],[Action]],"industrie"),"")</f>
        <v>Water Utilities</v>
      </c>
      <c r="H43" s="12" t="str" cm="1">
        <f t="array" aca="1" ref="H43" ca="1">_FV(Tableau8[[#This Row],[Action]],"Devise")</f>
        <v>USD</v>
      </c>
      <c r="I43" s="41" cm="1">
        <f t="array" aca="1" ref="I43" ca="1">_FV(Tableau8[[#This Row],[Action]],"Prix")</f>
        <v>52.85</v>
      </c>
      <c r="J43" s="41"/>
      <c r="K43" s="50">
        <v>0.313</v>
      </c>
      <c r="L43" s="41">
        <f>4*Tableau8[[#This Row],[Dividende trimestriel]]</f>
        <v>1.252</v>
      </c>
      <c r="M43" s="22">
        <f ca="1">Tableau8[[#This Row],[Dividende annuel]]/Tableau8[[#This Row],[Prix actuel]]</f>
        <v>2.3689687795648059E-2</v>
      </c>
      <c r="N43" s="12">
        <v>19</v>
      </c>
      <c r="O43" s="74" cm="1">
        <f t="array" aca="1" ref="O43" ca="1">IFERROR(_FV(Tableau8[[#This Row],[Action]],"Bêta"),"")</f>
        <v>0.82889999999999997</v>
      </c>
      <c r="P43" s="75" cm="1">
        <f t="array" aca="1" ref="P43" ca="1">_FV(Tableau8[[#This Row],[Action]],"Capitalisation boursière",TRUE)</f>
        <v>982032803</v>
      </c>
      <c r="Q43" s="28" cm="1">
        <f t="array" aca="1" ref="Q43" ca="1">IFERROR(_FV(Tableau8[[#This Row],[Action]],"Année de constitution",TRUE),"")</f>
        <v>1896</v>
      </c>
    </row>
    <row r="44" spans="2:17" x14ac:dyDescent="0.25">
      <c r="B44" t="s">
        <v>183</v>
      </c>
      <c r="D44" t="e" vm="613">
        <v>#VALUE!</v>
      </c>
      <c r="E44" t="str" cm="1">
        <f t="array" aca="1" ref="E44" ca="1">_FV(Tableau8[[#This Row],[Action]],"Code mnémonique",TRUE)</f>
        <v>EMR</v>
      </c>
      <c r="F44" t="str" cm="1">
        <f t="array" aca="1" ref="F44" ca="1">_FV(Tableau8[[#This Row],[Action]],"Change")</f>
        <v>New York Stock Exchange</v>
      </c>
      <c r="G44" s="26" t="str" cm="1">
        <f t="array" aca="1" ref="G44" ca="1">IFERROR(_FV(Tableau8[[#This Row],[Action]],"industrie"),"")</f>
        <v>Machinery, Equipment &amp; Components</v>
      </c>
      <c r="H44" s="12" t="str" cm="1">
        <f t="array" aca="1" ref="H44" ca="1">_FV(Tableau8[[#This Row],[Action]],"Devise")</f>
        <v>USD</v>
      </c>
      <c r="I44" s="41" cm="1">
        <f t="array" aca="1" ref="I44" ca="1">_FV(Tableau8[[#This Row],[Action]],"Prix")</f>
        <v>144.82</v>
      </c>
      <c r="J44" s="41"/>
      <c r="K44" s="50">
        <v>0.52</v>
      </c>
      <c r="L44" s="41">
        <f>4*Tableau8[[#This Row],[Dividende trimestriel]]</f>
        <v>2.08</v>
      </c>
      <c r="M44" s="22">
        <f ca="1">Tableau8[[#This Row],[Dividende annuel]]/Tableau8[[#This Row],[Prix actuel]]</f>
        <v>1.4362657091561939E-2</v>
      </c>
      <c r="N44" s="12">
        <v>26</v>
      </c>
      <c r="O44" s="74" cm="1">
        <f t="array" aca="1" ref="O44" ca="1">IFERROR(_FV(Tableau8[[#This Row],[Action]],"Bêta"),"")</f>
        <v>1.3065</v>
      </c>
      <c r="P44" s="75" cm="1">
        <f t="array" aca="1" ref="P44" ca="1">_FV(Tableau8[[#This Row],[Action]],"Capitalisation boursière",TRUE)</f>
        <v>81388840000</v>
      </c>
      <c r="Q44" s="28" cm="1">
        <f t="array" aca="1" ref="Q44" ca="1">IFERROR(_FV(Tableau8[[#This Row],[Action]],"Année de constitution",TRUE),"")</f>
        <v>1890</v>
      </c>
    </row>
    <row r="45" spans="2:17" x14ac:dyDescent="0.25">
      <c r="B45" t="s">
        <v>183</v>
      </c>
      <c r="D45" t="e" vm="614">
        <v>#VALUE!</v>
      </c>
      <c r="E45" t="str" cm="1">
        <f t="array" aca="1" ref="E45" ca="1">_FV(Tableau8[[#This Row],[Action]],"Code mnémonique",TRUE)</f>
        <v>SCL</v>
      </c>
      <c r="F45" t="str" cm="1">
        <f t="array" aca="1" ref="F45" ca="1">_FV(Tableau8[[#This Row],[Action]],"Change")</f>
        <v>New York Stock Exchange</v>
      </c>
      <c r="G45" s="26" t="str" cm="1">
        <f t="array" aca="1" ref="G45" ca="1">IFERROR(_FV(Tableau8[[#This Row],[Action]],"industrie"),"")</f>
        <v>Chemicals</v>
      </c>
      <c r="H45" s="12" t="str" cm="1">
        <f t="array" aca="1" ref="H45" ca="1">_FV(Tableau8[[#This Row],[Action]],"Devise")</f>
        <v>USD</v>
      </c>
      <c r="I45" s="41" cm="1">
        <f t="array" aca="1" ref="I45" ca="1">_FV(Tableau8[[#This Row],[Action]],"Prix")</f>
        <v>51.25</v>
      </c>
      <c r="J45" s="41"/>
      <c r="K45" s="50">
        <v>0.36499999999999999</v>
      </c>
      <c r="L45" s="41">
        <f>4*Tableau8[[#This Row],[Dividende trimestriel]]</f>
        <v>1.46</v>
      </c>
      <c r="M45" s="22">
        <f ca="1">Tableau8[[#This Row],[Dividende annuel]]/Tableau8[[#This Row],[Prix actuel]]</f>
        <v>2.8487804878048782E-2</v>
      </c>
      <c r="N45" s="12">
        <v>54</v>
      </c>
      <c r="O45" s="74" cm="1">
        <f t="array" aca="1" ref="O45" ca="1">IFERROR(_FV(Tableau8[[#This Row],[Action]],"Bêta"),"")</f>
        <v>0.98560000000000003</v>
      </c>
      <c r="P45" s="75" cm="1">
        <f t="array" aca="1" ref="P45" ca="1">_FV(Tableau8[[#This Row],[Action]],"Capitalisation boursière",TRUE)</f>
        <v>1162881975</v>
      </c>
      <c r="Q45" s="28" cm="1">
        <f t="array" aca="1" ref="Q45" ca="1">IFERROR(_FV(Tableau8[[#This Row],[Action]],"Année de constitution",TRUE),"")</f>
        <v>1959</v>
      </c>
    </row>
    <row r="46" spans="2:17" x14ac:dyDescent="0.25">
      <c r="B46" t="s">
        <v>183</v>
      </c>
      <c r="D46" t="e" vm="615">
        <v>#VALUE!</v>
      </c>
      <c r="E46" t="str" cm="1">
        <f t="array" aca="1" ref="E46" ca="1">_FV(Tableau8[[#This Row],[Action]],"Code mnémonique",TRUE)</f>
        <v>AWR</v>
      </c>
      <c r="F46" t="str" cm="1">
        <f t="array" aca="1" ref="F46" ca="1">_FV(Tableau8[[#This Row],[Action]],"Change")</f>
        <v>New York Stock Exchange</v>
      </c>
      <c r="G46" s="26" t="str" cm="1">
        <f t="array" aca="1" ref="G46" ca="1">IFERROR(_FV(Tableau8[[#This Row],[Action]],"industrie"),"")</f>
        <v>Water Utilities</v>
      </c>
      <c r="H46" s="12" t="str" cm="1">
        <f t="array" aca="1" ref="H46" ca="1">_FV(Tableau8[[#This Row],[Action]],"Devise")</f>
        <v>USD</v>
      </c>
      <c r="I46" s="41" cm="1">
        <f t="array" aca="1" ref="I46" ca="1">_FV(Tableau8[[#This Row],[Action]],"Prix")</f>
        <v>77.83</v>
      </c>
      <c r="J46" s="41"/>
      <c r="K46" s="50">
        <v>0.39800000000000002</v>
      </c>
      <c r="L46" s="41">
        <f>4*Tableau8[[#This Row],[Dividende trimestriel]]</f>
        <v>1.5920000000000001</v>
      </c>
      <c r="M46" s="22">
        <f ca="1">Tableau8[[#This Row],[Dividende annuel]]/Tableau8[[#This Row],[Prix actuel]]</f>
        <v>2.0454837466272646E-2</v>
      </c>
      <c r="N46" s="12">
        <v>19</v>
      </c>
      <c r="O46" s="74" cm="1">
        <f t="array" aca="1" ref="O46" ca="1">IFERROR(_FV(Tableau8[[#This Row],[Action]],"Bêta"),"")</f>
        <v>0.63639999999999997</v>
      </c>
      <c r="P46" s="75" cm="1">
        <f t="array" aca="1" ref="P46" ca="1">_FV(Tableau8[[#This Row],[Action]],"Capitalisation boursière",TRUE)</f>
        <v>3050355388</v>
      </c>
      <c r="Q46" s="28" cm="1">
        <f t="array" aca="1" ref="Q46" ca="1">IFERROR(_FV(Tableau8[[#This Row],[Action]],"Année de constitution",TRUE),"")</f>
        <v>1998</v>
      </c>
    </row>
    <row r="47" spans="2:17" x14ac:dyDescent="0.25">
      <c r="B47" t="s">
        <v>194</v>
      </c>
      <c r="D47" t="e" vm="616">
        <v>#VALUE!</v>
      </c>
      <c r="E47" t="str" cm="1">
        <f t="array" aca="1" ref="E47" ca="1">_FV(Tableau8[[#This Row],[Action]],"Code mnémonique",TRUE)</f>
        <v>CNR</v>
      </c>
      <c r="F47" t="str" cm="1">
        <f t="array" aca="1" ref="F47" ca="1">_FV(Tableau8[[#This Row],[Action]],"Change")</f>
        <v>Toronto Stock Exchange</v>
      </c>
      <c r="G47" s="26" t="str" cm="1">
        <f t="array" aca="1" ref="G47" ca="1">IFERROR(_FV(Tableau8[[#This Row],[Action]],"industrie"),"")</f>
        <v>Freight &amp; Logistics Services</v>
      </c>
      <c r="H47" s="12" t="str" cm="1">
        <f t="array" aca="1" ref="H47" ca="1">_FV(Tableau8[[#This Row],[Action]],"Devise")</f>
        <v>CAD</v>
      </c>
      <c r="I47" s="41" cm="1">
        <f t="array" aca="1" ref="I47" ca="1">_FV(Tableau8[[#This Row],[Action]],"Prix")</f>
        <v>150.83000000000001</v>
      </c>
      <c r="J47" s="41"/>
      <c r="K47" s="50">
        <v>0.73299999999999998</v>
      </c>
      <c r="L47" s="41">
        <f>4*Tableau8[[#This Row],[Dividende trimestriel]]</f>
        <v>2.9319999999999999</v>
      </c>
      <c r="M47" s="22">
        <f ca="1">Tableau8[[#This Row],[Dividende annuel]]/Tableau8[[#This Row],[Prix actuel]]</f>
        <v>1.943910362659948E-2</v>
      </c>
      <c r="N47" s="12">
        <v>8</v>
      </c>
      <c r="O47" s="74" cm="1">
        <f t="array" aca="1" ref="O47" ca="1">IFERROR(_FV(Tableau8[[#This Row],[Action]],"Bêta"),"")</f>
        <v>0.98680000000000001</v>
      </c>
      <c r="P47" s="75" cm="1">
        <f t="array" aca="1" ref="P47" ca="1">_FV(Tableau8[[#This Row],[Action]],"Capitalisation boursière",TRUE)</f>
        <v>92217462000</v>
      </c>
      <c r="Q47" s="12" cm="1">
        <f t="array" aca="1" ref="Q47" ca="1">IFERROR(_FV(Tableau8[[#This Row],[Action]],"Année de constitution",TRUE),"")</f>
        <v>1995</v>
      </c>
    </row>
    <row r="48" spans="2:17" x14ac:dyDescent="0.25">
      <c r="B48" t="s">
        <v>183</v>
      </c>
      <c r="D48" t="e" vm="617">
        <v>#VALUE!</v>
      </c>
      <c r="E48" t="str" cm="1">
        <f t="array" aca="1" ref="E48" ca="1">_FV(Tableau8[[#This Row],[Action]],"Code mnémonique",TRUE)</f>
        <v>CWT</v>
      </c>
      <c r="F48" t="str" cm="1">
        <f t="array" aca="1" ref="F48" ca="1">_FV(Tableau8[[#This Row],[Action]],"Change")</f>
        <v>New York Stock Exchange</v>
      </c>
      <c r="G48" s="26" t="str" cm="1">
        <f t="array" aca="1" ref="G48" ca="1">IFERROR(_FV(Tableau8[[#This Row],[Action]],"industrie"),"")</f>
        <v>Water Utilities</v>
      </c>
      <c r="H48" s="12" t="str" cm="1">
        <f t="array" aca="1" ref="H48" ca="1">_FV(Tableau8[[#This Row],[Action]],"Devise")</f>
        <v>USD</v>
      </c>
      <c r="I48" s="41" cm="1">
        <f t="array" aca="1" ref="I48" ca="1">_FV(Tableau8[[#This Row],[Action]],"Prix")</f>
        <v>46.2</v>
      </c>
      <c r="J48" s="41"/>
      <c r="K48" s="50">
        <v>0.25</v>
      </c>
      <c r="L48" s="41">
        <f>4*Tableau8[[#This Row],[Dividende trimestriel]]</f>
        <v>1</v>
      </c>
      <c r="M48" s="22">
        <f ca="1">Tableau8[[#This Row],[Dividende annuel]]/Tableau8[[#This Row],[Prix actuel]]</f>
        <v>2.1645021645021644E-2</v>
      </c>
      <c r="N48" s="12">
        <v>55</v>
      </c>
      <c r="O48" s="74" cm="1">
        <f t="array" aca="1" ref="O48" ca="1">IFERROR(_FV(Tableau8[[#This Row],[Action]],"Bêta"),"")</f>
        <v>0.59189999999999998</v>
      </c>
      <c r="P48" s="75" cm="1">
        <f t="array" aca="1" ref="P48" ca="1">_FV(Tableau8[[#This Row],[Action]],"Capitalisation boursière",TRUE)</f>
        <v>2764804350</v>
      </c>
      <c r="Q48" s="28" cm="1">
        <f t="array" aca="1" ref="Q48" ca="1">IFERROR(_FV(Tableau8[[#This Row],[Action]],"Année de constitution",TRUE),"")</f>
        <v>1999</v>
      </c>
    </row>
    <row r="49" spans="2:17" x14ac:dyDescent="0.25">
      <c r="B49" t="s">
        <v>183</v>
      </c>
      <c r="D49" t="e" vm="618">
        <v>#VALUE!</v>
      </c>
      <c r="E49" t="str" cm="1">
        <f t="array" aca="1" ref="E49" ca="1">_FV(Tableau8[[#This Row],[Action]],"Code mnémonique",TRUE)</f>
        <v>GRC</v>
      </c>
      <c r="F49" t="str" cm="1">
        <f t="array" aca="1" ref="F49" ca="1">_FV(Tableau8[[#This Row],[Action]],"Change")</f>
        <v>New York Stock Exchange</v>
      </c>
      <c r="G49" s="26" t="str" cm="1">
        <f t="array" aca="1" ref="G49" ca="1">IFERROR(_FV(Tableau8[[#This Row],[Action]],"industrie"),"")</f>
        <v>Machinery, Equipment &amp; Components</v>
      </c>
      <c r="H49" s="12" t="str" cm="1">
        <f t="array" aca="1" ref="H49" ca="1">_FV(Tableau8[[#This Row],[Action]],"Devise")</f>
        <v>USD</v>
      </c>
      <c r="I49" s="41" cm="1">
        <f t="array" aca="1" ref="I49" ca="1">_FV(Tableau8[[#This Row],[Action]],"Prix")</f>
        <v>66.97</v>
      </c>
      <c r="J49" s="41"/>
      <c r="K49" s="50">
        <v>0.17499999999999999</v>
      </c>
      <c r="L49" s="41">
        <f>4*Tableau8[[#This Row],[Dividende trimestriel]]</f>
        <v>0.7</v>
      </c>
      <c r="M49" s="22">
        <f ca="1">Tableau8[[#This Row],[Dividende annuel]]/Tableau8[[#This Row],[Prix actuel]]</f>
        <v>1.045244139166791E-2</v>
      </c>
      <c r="N49" s="12">
        <v>9</v>
      </c>
      <c r="O49" s="74" cm="1">
        <f t="array" aca="1" ref="O49" ca="1">IFERROR(_FV(Tableau8[[#This Row],[Action]],"Bêta"),"")</f>
        <v>1.2322</v>
      </c>
      <c r="P49" s="75" cm="1">
        <f t="array" aca="1" ref="P49" ca="1">_FV(Tableau8[[#This Row],[Action]],"Capitalisation boursière",TRUE)</f>
        <v>1762170894</v>
      </c>
      <c r="Q49" s="28" cm="1">
        <f t="array" aca="1" ref="Q49" ca="1">IFERROR(_FV(Tableau8[[#This Row],[Action]],"Année de constitution",TRUE),"")</f>
        <v>1934</v>
      </c>
    </row>
    <row r="50" spans="2:17" x14ac:dyDescent="0.25">
      <c r="B50" t="s">
        <v>181</v>
      </c>
      <c r="C50" s="12" t="s">
        <v>40</v>
      </c>
      <c r="D50" t="e" vm="619">
        <v>#VALUE!</v>
      </c>
      <c r="E50" t="str" cm="1">
        <f t="array" aca="1" ref="E50" ca="1">_FV(Tableau8[[#This Row],[Action]],"Code mnémonique",TRUE)</f>
        <v>ABT</v>
      </c>
      <c r="F50" t="str" cm="1">
        <f t="array" aca="1" ref="F50" ca="1">_FV(Tableau8[[#This Row],[Action]],"Change")</f>
        <v>New York Stock Exchange</v>
      </c>
      <c r="G50" s="26" t="str" cm="1">
        <f t="array" aca="1" ref="G50" ca="1">IFERROR(_FV(Tableau8[[#This Row],[Action]],"industrie"),"")</f>
        <v>Healthcare Equipment &amp; Supplies</v>
      </c>
      <c r="H50" s="12" t="str" cm="1">
        <f t="array" aca="1" ref="H50" ca="1">_FV(Tableau8[[#This Row],[Action]],"Devise")</f>
        <v>USD</v>
      </c>
      <c r="I50" s="41" cm="1">
        <f t="array" aca="1" ref="I50" ca="1">_FV(Tableau8[[#This Row],[Action]],"Prix")</f>
        <v>92.74</v>
      </c>
      <c r="J50" s="41"/>
      <c r="K50" s="50">
        <v>0.51</v>
      </c>
      <c r="L50" s="41">
        <f>4*Tableau8[[#This Row],[Dividende trimestriel]]</f>
        <v>2.04</v>
      </c>
      <c r="M50" s="22">
        <f ca="1">Tableau8[[#This Row],[Dividende annuel]]/Tableau8[[#This Row],[Prix actuel]]</f>
        <v>2.1996980806555964E-2</v>
      </c>
      <c r="N50" s="12">
        <v>9</v>
      </c>
      <c r="O50" s="74" cm="1">
        <f t="array" aca="1" ref="O50" ca="1">IFERROR(_FV(Tableau8[[#This Row],[Action]],"Bêta"),"")</f>
        <v>0.70940000000000003</v>
      </c>
      <c r="P50" s="75" cm="1">
        <f t="array" aca="1" ref="P50" ca="1">_FV(Tableau8[[#This Row],[Action]],"Capitalisation boursière",TRUE)</f>
        <v>161151979500</v>
      </c>
      <c r="Q50" s="28" cm="1">
        <f t="array" aca="1" ref="Q50" ca="1">IFERROR(_FV(Tableau8[[#This Row],[Action]],"Année de constitution",TRUE),"")</f>
        <v>1900</v>
      </c>
    </row>
    <row r="51" spans="2:17" x14ac:dyDescent="0.25">
      <c r="B51" t="s">
        <v>194</v>
      </c>
      <c r="D51" t="e" vm="620">
        <v>#VALUE!</v>
      </c>
      <c r="E51" t="str" cm="1">
        <f t="array" aca="1" ref="E51" ca="1">_FV(Tableau8[[#This Row],[Action]],"Code mnémonique",TRUE)</f>
        <v>EMP.A</v>
      </c>
      <c r="F51" t="str" cm="1">
        <f t="array" aca="1" ref="F51" ca="1">_FV(Tableau8[[#This Row],[Action]],"Change")</f>
        <v>Toronto Stock Exchange</v>
      </c>
      <c r="G51" s="26" t="str" cm="1">
        <f t="array" aca="1" ref="G51" ca="1">IFERROR(_FV(Tableau8[[#This Row],[Action]],"industrie"),"")</f>
        <v>Food &amp; Drug Retailing</v>
      </c>
      <c r="H51" s="12" t="str" cm="1">
        <f t="array" aca="1" ref="H51" ca="1">_FV(Tableau8[[#This Row],[Action]],"Devise")</f>
        <v>CAD</v>
      </c>
      <c r="I51" s="41" cm="1">
        <f t="array" aca="1" ref="I51" ca="1">_FV(Tableau8[[#This Row],[Action]],"Prix")</f>
        <v>47.95</v>
      </c>
      <c r="J51" s="41"/>
      <c r="K51" s="50">
        <v>0.16500000000000001</v>
      </c>
      <c r="L51" s="41">
        <f>4*Tableau8[[#This Row],[Dividende trimestriel]]</f>
        <v>0.66</v>
      </c>
      <c r="M51" s="22">
        <f ca="1">Tableau8[[#This Row],[Dividende annuel]]/Tableau8[[#This Row],[Prix actuel]]</f>
        <v>1.3764337851929093E-2</v>
      </c>
      <c r="N51" s="12">
        <v>6</v>
      </c>
      <c r="O51" s="74" cm="1">
        <f t="array" aca="1" ref="O51" ca="1">IFERROR(_FV(Tableau8[[#This Row],[Action]],"Bêta"),"")</f>
        <v>0.34179999999999999</v>
      </c>
      <c r="P51" s="75" cm="1">
        <f t="array" aca="1" ref="P51" ca="1">_FV(Tableau8[[#This Row],[Action]],"Capitalisation boursière",TRUE)</f>
        <v>10805729095</v>
      </c>
      <c r="Q51" s="12" cm="1">
        <f t="array" aca="1" ref="Q51" ca="1">IFERROR(_FV(Tableau8[[#This Row],[Action]],"Année de constitution",TRUE),"")</f>
        <v>1963</v>
      </c>
    </row>
    <row r="52" spans="2:17" x14ac:dyDescent="0.25">
      <c r="B52" t="s">
        <v>194</v>
      </c>
      <c r="C52" s="12" t="s">
        <v>40</v>
      </c>
      <c r="D52" t="e" vm="621">
        <v>#VALUE!</v>
      </c>
      <c r="E52" t="str" cm="1">
        <f t="array" aca="1" ref="E52" ca="1">_FV(Tableau8[[#This Row],[Action]],"Code mnémonique",TRUE)</f>
        <v>IMO</v>
      </c>
      <c r="F52" t="str" cm="1">
        <f t="array" aca="1" ref="F52" ca="1">_FV(Tableau8[[#This Row],[Action]],"Change")</f>
        <v>Toronto Stock Exchange</v>
      </c>
      <c r="G52" s="26" t="str" cm="1">
        <f t="array" aca="1" ref="G52" ca="1">IFERROR(_FV(Tableau8[[#This Row],[Action]],"industrie"),"")</f>
        <v>Oil &amp; Gas</v>
      </c>
      <c r="H52" s="12" t="str" cm="1">
        <f t="array" aca="1" ref="H52" ca="1">_FV(Tableau8[[#This Row],[Action]],"Devise")</f>
        <v>CAD</v>
      </c>
      <c r="I52" s="41" cm="1">
        <f t="array" aca="1" ref="I52" ca="1">_FV(Tableau8[[#This Row],[Action]],"Prix")</f>
        <v>169.22</v>
      </c>
      <c r="J52" s="41"/>
      <c r="K52" s="50">
        <v>0.44</v>
      </c>
      <c r="L52" s="41">
        <f>4*Tableau8[[#This Row],[Dividende trimestriel]]</f>
        <v>1.76</v>
      </c>
      <c r="M52" s="22">
        <f ca="1">Tableau8[[#This Row],[Dividende annuel]]/Tableau8[[#This Row],[Prix actuel]]</f>
        <v>1.0400661860300201E-2</v>
      </c>
      <c r="N52" s="12">
        <v>6</v>
      </c>
      <c r="O52" s="74" cm="1">
        <f t="array" aca="1" ref="O52" ca="1">IFERROR(_FV(Tableau8[[#This Row],[Action]],"Bêta"),"")</f>
        <v>0.79800000000000004</v>
      </c>
      <c r="P52" s="75" cm="1">
        <f t="array" aca="1" ref="P52" ca="1">_FV(Tableau8[[#This Row],[Action]],"Capitalisation boursière",TRUE)</f>
        <v>81833556694</v>
      </c>
      <c r="Q52" s="12" cm="1">
        <f t="array" aca="1" ref="Q52" ca="1">IFERROR(_FV(Tableau8[[#This Row],[Action]],"Année de constitution",TRUE),"")</f>
        <v>1978</v>
      </c>
    </row>
    <row r="53" spans="2:17" x14ac:dyDescent="0.25">
      <c r="B53" t="s">
        <v>183</v>
      </c>
      <c r="D53" t="e" vm="622">
        <v>#VALUE!</v>
      </c>
      <c r="E53" t="str" cm="1">
        <f t="array" aca="1" ref="E53" ca="1">_FV(Tableau8[[#This Row],[Action]],"Code mnémonique",TRUE)</f>
        <v>LOW</v>
      </c>
      <c r="F53" t="str" cm="1">
        <f t="array" aca="1" ref="F53" ca="1">_FV(Tableau8[[#This Row],[Action]],"Change")</f>
        <v>New York Stock Exchange</v>
      </c>
      <c r="G53" s="26" t="str" cm="1">
        <f t="array" aca="1" ref="G53" ca="1">IFERROR(_FV(Tableau8[[#This Row],[Action]],"industrie"),"")</f>
        <v>Specialty Retailers</v>
      </c>
      <c r="H53" s="12" t="str" cm="1">
        <f t="array" aca="1" ref="H53" ca="1">_FV(Tableau8[[#This Row],[Action]],"Devise")</f>
        <v>USD</v>
      </c>
      <c r="I53" s="41" cm="1">
        <f t="array" aca="1" ref="I53" ca="1">_FV(Tableau8[[#This Row],[Action]],"Prix")</f>
        <v>251.19</v>
      </c>
      <c r="J53" s="41"/>
      <c r="K53" s="50">
        <v>1.05</v>
      </c>
      <c r="L53" s="41">
        <f>4*Tableau8[[#This Row],[Dividende trimestriel]]</f>
        <v>4.2</v>
      </c>
      <c r="M53" s="22">
        <f ca="1">Tableau8[[#This Row],[Dividende annuel]]/Tableau8[[#This Row],[Prix actuel]]</f>
        <v>1.6720410844380747E-2</v>
      </c>
      <c r="N53" s="12">
        <v>59</v>
      </c>
      <c r="O53" s="74" cm="1">
        <f t="array" aca="1" ref="O53" ca="1">IFERROR(_FV(Tableau8[[#This Row],[Action]],"Bêta"),"")</f>
        <v>0.96399999999999997</v>
      </c>
      <c r="P53" s="75" cm="1">
        <f t="array" aca="1" ref="P53" ca="1">_FV(Tableau8[[#This Row],[Action]],"Capitalisation boursière",TRUE)</f>
        <v>140682199851</v>
      </c>
      <c r="Q53" s="28" cm="1">
        <f t="array" aca="1" ref="Q53" ca="1">IFERROR(_FV(Tableau8[[#This Row],[Action]],"Année de constitution",TRUE),"")</f>
        <v>1952</v>
      </c>
    </row>
    <row r="54" spans="2:17" x14ac:dyDescent="0.25">
      <c r="B54" t="s">
        <v>183</v>
      </c>
      <c r="D54" t="e" vm="623">
        <v>#VALUE!</v>
      </c>
      <c r="E54" t="str" cm="1">
        <f t="array" aca="1" ref="E54" ca="1">_FV(Tableau8[[#This Row],[Action]],"Code mnémonique",TRUE)</f>
        <v>MZTI</v>
      </c>
      <c r="F54" t="str" cm="1">
        <f t="array" aca="1" ref="F54" ca="1">_FV(Tableau8[[#This Row],[Action]],"Change")</f>
        <v>Nasdaq Stock Market</v>
      </c>
      <c r="G54" s="26" t="str" cm="1">
        <f t="array" aca="1" ref="G54" ca="1">IFERROR(_FV(Tableau8[[#This Row],[Action]],"industrie"),"")</f>
        <v>Food &amp; Tobacco</v>
      </c>
      <c r="H54" s="12" t="str" cm="1">
        <f t="array" aca="1" ref="H54" ca="1">_FV(Tableau8[[#This Row],[Action]],"Devise")</f>
        <v>USD</v>
      </c>
      <c r="I54" s="41" cm="1">
        <f t="array" aca="1" ref="I54" ca="1">_FV(Tableau8[[#This Row],[Action]],"Prix")</f>
        <v>127.13</v>
      </c>
      <c r="J54" s="41"/>
      <c r="K54" s="50">
        <v>0.85</v>
      </c>
      <c r="L54" s="41">
        <f>4*Tableau8[[#This Row],[Dividende trimestriel]]</f>
        <v>3.4</v>
      </c>
      <c r="M54" s="22">
        <f ca="1">Tableau8[[#This Row],[Dividende annuel]]/Tableau8[[#This Row],[Prix actuel]]</f>
        <v>2.6744277511208999E-2</v>
      </c>
      <c r="N54" s="12">
        <v>59</v>
      </c>
      <c r="O54" s="74" cm="1">
        <f t="array" aca="1" ref="O54" ca="1">IFERROR(_FV(Tableau8[[#This Row],[Action]],"Bêta"),"")</f>
        <v>0.42459999999999998</v>
      </c>
      <c r="P54" s="75" cm="1">
        <f t="array" aca="1" ref="P54" ca="1">_FV(Tableau8[[#This Row],[Action]],"Capitalisation boursière",TRUE)</f>
        <v>3486285990</v>
      </c>
      <c r="Q54" s="28" cm="1">
        <f t="array" aca="1" ref="Q54" ca="1">IFERROR(_FV(Tableau8[[#This Row],[Action]],"Année de constitution",TRUE),"")</f>
        <v>1991</v>
      </c>
    </row>
    <row r="55" spans="2:17" x14ac:dyDescent="0.25">
      <c r="B55" t="s">
        <v>183</v>
      </c>
      <c r="D55" t="e" vm="624">
        <v>#VALUE!</v>
      </c>
      <c r="E55" t="str" cm="1">
        <f t="array" aca="1" ref="E55" ca="1">_FV(Tableau8[[#This Row],[Action]],"Code mnémonique",TRUE)</f>
        <v>CBSH</v>
      </c>
      <c r="F55" t="str" cm="1">
        <f t="array" aca="1" ref="F55" ca="1">_FV(Tableau8[[#This Row],[Action]],"Change")</f>
        <v>Nasdaq Stock Market</v>
      </c>
      <c r="G55" s="26" t="str" cm="1">
        <f t="array" aca="1" ref="G55" ca="1">IFERROR(_FV(Tableau8[[#This Row],[Action]],"industrie"),"")</f>
        <v>Banking Services</v>
      </c>
      <c r="H55" s="12" t="str" cm="1">
        <f t="array" aca="1" ref="H55" ca="1">_FV(Tableau8[[#This Row],[Action]],"Devise")</f>
        <v>USD</v>
      </c>
      <c r="I55" s="41" cm="1">
        <f t="array" aca="1" ref="I55" ca="1">_FV(Tableau8[[#This Row],[Action]],"Prix")</f>
        <v>50.59</v>
      </c>
      <c r="J55" s="41"/>
      <c r="K55" s="50">
        <v>0.26500000000000001</v>
      </c>
      <c r="L55" s="41">
        <f>4*Tableau8[[#This Row],[Dividende trimestriel]]</f>
        <v>1.06</v>
      </c>
      <c r="M55" s="22">
        <f ca="1">Tableau8[[#This Row],[Dividende annuel]]/Tableau8[[#This Row],[Prix actuel]]</f>
        <v>2.0952757461949002E-2</v>
      </c>
      <c r="N55" s="12">
        <v>9</v>
      </c>
      <c r="O55" s="74" cm="1">
        <f t="array" aca="1" ref="O55" ca="1">IFERROR(_FV(Tableau8[[#This Row],[Action]],"Bêta"),"")</f>
        <v>0.59650000000000003</v>
      </c>
      <c r="P55" s="75" cm="1">
        <f t="array" aca="1" ref="P55" ca="1">_FV(Tableau8[[#This Row],[Action]],"Capitalisation boursière",TRUE)</f>
        <v>7430623787</v>
      </c>
      <c r="Q55" s="28" cm="1">
        <f t="array" aca="1" ref="Q55" ca="1">IFERROR(_FV(Tableau8[[#This Row],[Action]],"Année de constitution",TRUE),"")</f>
        <v>1966</v>
      </c>
    </row>
    <row r="56" spans="2:17" x14ac:dyDescent="0.25">
      <c r="B56" t="s">
        <v>181</v>
      </c>
      <c r="D56" t="e" vm="625">
        <v>#VALUE!</v>
      </c>
      <c r="E56" t="str" cm="1">
        <f t="array" aca="1" ref="E56" ca="1">_FV(Tableau8[[#This Row],[Action]],"Code mnémonique",TRUE)</f>
        <v>ABM</v>
      </c>
      <c r="F56" t="str" cm="1">
        <f t="array" aca="1" ref="F56" ca="1">_FV(Tableau8[[#This Row],[Action]],"Change")</f>
        <v>New York Stock Exchange</v>
      </c>
      <c r="G56" s="26" t="str" cm="1">
        <f t="array" aca="1" ref="G56" ca="1">IFERROR(_FV(Tableau8[[#This Row],[Action]],"industrie"),"")</f>
        <v>Professional &amp; Commercial Services</v>
      </c>
      <c r="H56" s="12" t="str" cm="1">
        <f t="array" aca="1" ref="H56" ca="1">_FV(Tableau8[[#This Row],[Action]],"Devise")</f>
        <v>USD</v>
      </c>
      <c r="I56" s="41" cm="1">
        <f t="array" aca="1" ref="I56" ca="1">_FV(Tableau8[[#This Row],[Action]],"Prix")</f>
        <v>40.26</v>
      </c>
      <c r="J56" s="41"/>
      <c r="K56" s="50">
        <v>0.22</v>
      </c>
      <c r="L56" s="41">
        <f>4*Tableau8[[#This Row],[Dividende trimestriel]]</f>
        <v>0.88</v>
      </c>
      <c r="M56" s="22">
        <f ca="1">Tableau8[[#This Row],[Dividende annuel]]/Tableau8[[#This Row],[Prix actuel]]</f>
        <v>2.185792349726776E-2</v>
      </c>
      <c r="N56" s="12">
        <v>7</v>
      </c>
      <c r="O56" s="74" cm="1">
        <f t="array" aca="1" ref="O56" ca="1">IFERROR(_FV(Tableau8[[#This Row],[Action]],"Bêta"),"")</f>
        <v>0.73429999999999995</v>
      </c>
      <c r="P56" s="75" cm="1">
        <f t="array" aca="1" ref="P56" ca="1">_FV(Tableau8[[#This Row],[Action]],"Capitalisation boursière",TRUE)</f>
        <v>2356531333</v>
      </c>
      <c r="Q56" s="28" cm="1">
        <f t="array" aca="1" ref="Q56" ca="1">IFERROR(_FV(Tableau8[[#This Row],[Action]],"Année de constitution",TRUE),"")</f>
        <v>1985</v>
      </c>
    </row>
    <row r="57" spans="2:17" x14ac:dyDescent="0.25">
      <c r="B57" t="s">
        <v>183</v>
      </c>
      <c r="D57" t="e" vm="626">
        <v>#VALUE!</v>
      </c>
      <c r="E57" t="str" cm="1">
        <f t="array" aca="1" ref="E57" ca="1">_FV(Tableau8[[#This Row],[Action]],"Code mnémonique",TRUE)</f>
        <v>BDX</v>
      </c>
      <c r="F57" t="str" cm="1">
        <f t="array" aca="1" ref="F57" ca="1">_FV(Tableau8[[#This Row],[Action]],"Change")</f>
        <v>New York Stock Exchange</v>
      </c>
      <c r="G57" s="26" t="str" cm="1">
        <f t="array" aca="1" ref="G57" ca="1">IFERROR(_FV(Tableau8[[#This Row],[Action]],"industrie"),"")</f>
        <v>Healthcare Equipment &amp; Supplies</v>
      </c>
      <c r="H57" s="12" t="str" cm="1">
        <f t="array" aca="1" ref="H57" ca="1">_FV(Tableau8[[#This Row],[Action]],"Devise")</f>
        <v>USD</v>
      </c>
      <c r="I57" s="41" cm="1">
        <f t="array" aca="1" ref="I57" ca="1">_FV(Tableau8[[#This Row],[Action]],"Prix")</f>
        <v>156.74</v>
      </c>
      <c r="J57" s="41"/>
      <c r="K57" s="50">
        <v>0.91</v>
      </c>
      <c r="L57" s="41">
        <f>4*Tableau8[[#This Row],[Dividende trimestriel]]</f>
        <v>3.64</v>
      </c>
      <c r="M57" s="22">
        <f ca="1">Tableau8[[#This Row],[Dividende annuel]]/Tableau8[[#This Row],[Prix actuel]]</f>
        <v>2.322317213219344E-2</v>
      </c>
      <c r="N57" s="12">
        <v>50</v>
      </c>
      <c r="O57" s="74" cm="1">
        <f t="array" aca="1" ref="O57" ca="1">IFERROR(_FV(Tableau8[[#This Row],[Action]],"Bêta"),"")</f>
        <v>0.28139999999999998</v>
      </c>
      <c r="P57" s="75" cm="1">
        <f t="array" aca="1" ref="P57" ca="1">_FV(Tableau8[[#This Row],[Action]],"Capitalisation boursière",TRUE)</f>
        <v>44630429732</v>
      </c>
      <c r="Q57" s="28" cm="1">
        <f t="array" aca="1" ref="Q57" ca="1">IFERROR(_FV(Tableau8[[#This Row],[Action]],"Année de constitution",TRUE),"")</f>
        <v>1906</v>
      </c>
    </row>
    <row r="58" spans="2:17" x14ac:dyDescent="0.25">
      <c r="B58" t="s">
        <v>183</v>
      </c>
      <c r="D58" t="e" vm="627">
        <v>#VALUE!</v>
      </c>
      <c r="E58" t="str" cm="1">
        <f t="array" aca="1" ref="E58" ca="1">_FV(Tableau8[[#This Row],[Action]],"Code mnémonique",TRUE)</f>
        <v>NUE</v>
      </c>
      <c r="F58" t="str" cm="1">
        <f t="array" aca="1" ref="F58" ca="1">_FV(Tableau8[[#This Row],[Action]],"Change")</f>
        <v>New York Stock Exchange</v>
      </c>
      <c r="G58" s="26" t="str" cm="1">
        <f t="array" aca="1" ref="G58" ca="1">IFERROR(_FV(Tableau8[[#This Row],[Action]],"industrie"),"")</f>
        <v>Metals &amp; Mining</v>
      </c>
      <c r="H58" s="12" t="str" cm="1">
        <f t="array" aca="1" ref="H58" ca="1">_FV(Tableau8[[#This Row],[Action]],"Devise")</f>
        <v>USD</v>
      </c>
      <c r="I58" s="41" cm="1">
        <f t="array" aca="1" ref="I58" ca="1">_FV(Tableau8[[#This Row],[Action]],"Prix")</f>
        <v>208.12</v>
      </c>
      <c r="J58" s="41"/>
      <c r="K58" s="50">
        <v>0.51</v>
      </c>
      <c r="L58" s="41">
        <f>4*Tableau8[[#This Row],[Dividende trimestriel]]</f>
        <v>2.04</v>
      </c>
      <c r="M58" s="22">
        <f ca="1">Tableau8[[#This Row],[Dividende annuel]]/Tableau8[[#This Row],[Prix actuel]]</f>
        <v>9.8020372861810489E-3</v>
      </c>
      <c r="N58" s="12">
        <v>49</v>
      </c>
      <c r="O58" s="74" cm="1">
        <f t="array" aca="1" ref="O58" ca="1">IFERROR(_FV(Tableau8[[#This Row],[Action]],"Bêta"),"")</f>
        <v>1.7949999999999999</v>
      </c>
      <c r="P58" s="75" cm="1">
        <f t="array" aca="1" ref="P58" ca="1">_FV(Tableau8[[#This Row],[Action]],"Capitalisation boursière",TRUE)</f>
        <v>47396333072</v>
      </c>
      <c r="Q58" s="28" cm="1">
        <f t="array" aca="1" ref="Q58" ca="1">IFERROR(_FV(Tableau8[[#This Row],[Action]],"Année de constitution",TRUE),"")</f>
        <v>1958</v>
      </c>
    </row>
    <row r="59" spans="2:17" x14ac:dyDescent="0.25">
      <c r="B59" t="s">
        <v>194</v>
      </c>
      <c r="D59" t="e" vm="628">
        <v>#VALUE!</v>
      </c>
      <c r="E59" t="str" cm="1">
        <f t="array" aca="1" ref="E59" ca="1">_FV(Tableau8[[#This Row],[Action]],"Code mnémonique",TRUE)</f>
        <v>WFG</v>
      </c>
      <c r="F59" t="str" cm="1">
        <f t="array" aca="1" ref="F59" ca="1">_FV(Tableau8[[#This Row],[Action]],"Change")</f>
        <v>Toronto Stock Exchange</v>
      </c>
      <c r="G59" s="26" t="str" cm="1">
        <f t="array" aca="1" ref="G59" ca="1">IFERROR(_FV(Tableau8[[#This Row],[Action]],"industrie"),"")</f>
        <v>Paper &amp; Forest Products</v>
      </c>
      <c r="H59" s="12" t="str" cm="1">
        <f t="array" aca="1" ref="H59" ca="1">_FV(Tableau8[[#This Row],[Action]],"Devise")</f>
        <v>CAD</v>
      </c>
      <c r="I59" s="41" cm="1">
        <f t="array" aca="1" ref="I59" ca="1">_FV(Tableau8[[#This Row],[Action]],"Prix")</f>
        <v>90.79</v>
      </c>
      <c r="J59" s="41"/>
      <c r="K59" s="50">
        <v>0.40100000000000002</v>
      </c>
      <c r="L59" s="41">
        <f>4*Tableau8[[#This Row],[Dividende trimestriel]]</f>
        <v>1.6040000000000001</v>
      </c>
      <c r="M59" s="22">
        <f ca="1">Tableau8[[#This Row],[Dividende annuel]]/Tableau8[[#This Row],[Prix actuel]]</f>
        <v>1.7667143958585749E-2</v>
      </c>
      <c r="N59" s="12">
        <v>2</v>
      </c>
      <c r="O59" s="74" cm="1">
        <f t="array" aca="1" ref="O59" ca="1">IFERROR(_FV(Tableau8[[#This Row],[Action]],"Bêta"),"")</f>
        <v>1.0878000000000001</v>
      </c>
      <c r="P59" s="75" cm="1">
        <f t="array" aca="1" ref="P59" ca="1">_FV(Tableau8[[#This Row],[Action]],"Capitalisation boursière",TRUE)</f>
        <v>7109203817</v>
      </c>
      <c r="Q59" s="12" cm="1">
        <f t="array" aca="1" ref="Q59" ca="1">IFERROR(_FV(Tableau8[[#This Row],[Action]],"Année de constitution",TRUE),"")</f>
        <v>1954</v>
      </c>
    </row>
    <row r="60" spans="2:17" x14ac:dyDescent="0.25">
      <c r="B60" t="s">
        <v>194</v>
      </c>
      <c r="D60" t="e" vm="629">
        <v>#VALUE!</v>
      </c>
      <c r="E60" t="str" cm="1">
        <f t="array" aca="1" ref="E60" ca="1">_FV(Tableau8[[#This Row],[Action]],"Code mnémonique",TRUE)</f>
        <v>MRU</v>
      </c>
      <c r="F60" t="str" cm="1">
        <f t="array" aca="1" ref="F60" ca="1">_FV(Tableau8[[#This Row],[Action]],"Change")</f>
        <v>Toronto Stock Exchange</v>
      </c>
      <c r="G60" s="26" t="str" cm="1">
        <f t="array" aca="1" ref="G60" ca="1">IFERROR(_FV(Tableau8[[#This Row],[Action]],"industrie"),"")</f>
        <v>Food &amp; Drug Retailing</v>
      </c>
      <c r="H60" s="12" t="str" cm="1">
        <f t="array" aca="1" ref="H60" ca="1">_FV(Tableau8[[#This Row],[Action]],"Devise")</f>
        <v>CAD</v>
      </c>
      <c r="I60" s="41" cm="1">
        <f t="array" aca="1" ref="I60" ca="1">_FV(Tableau8[[#This Row],[Action]],"Prix")</f>
        <v>92.88</v>
      </c>
      <c r="J60" s="41"/>
      <c r="K60" s="50">
        <v>0.27500000000000002</v>
      </c>
      <c r="L60" s="41">
        <f>4*Tableau8[[#This Row],[Dividende trimestriel]]</f>
        <v>1.1000000000000001</v>
      </c>
      <c r="M60" s="22">
        <f ca="1">Tableau8[[#This Row],[Dividende annuel]]/Tableau8[[#This Row],[Prix actuel]]</f>
        <v>1.1843238587424636E-2</v>
      </c>
      <c r="N60" s="12">
        <v>7</v>
      </c>
      <c r="O60" s="74" cm="1">
        <f t="array" aca="1" ref="O60" ca="1">IFERROR(_FV(Tableau8[[#This Row],[Action]],"Bêta"),"")</f>
        <v>0.36649999999999999</v>
      </c>
      <c r="P60" s="75" cm="1">
        <f t="array" aca="1" ref="P60" ca="1">_FV(Tableau8[[#This Row],[Action]],"Capitalisation boursière",TRUE)</f>
        <v>19606698648</v>
      </c>
      <c r="Q60" s="12" cm="1">
        <f t="array" aca="1" ref="Q60" ca="1">IFERROR(_FV(Tableau8[[#This Row],[Action]],"Année de constitution",TRUE),"")</f>
        <v>1994</v>
      </c>
    </row>
    <row r="61" spans="2:17" x14ac:dyDescent="0.25">
      <c r="B61" t="s">
        <v>181</v>
      </c>
      <c r="D61" t="e" vm="630">
        <v>#VALUE!</v>
      </c>
      <c r="E61" t="str" cm="1">
        <f t="array" aca="1" ref="E61" ca="1">_FV(Tableau8[[#This Row],[Action]],"Code mnémonique",TRUE)</f>
        <v>VOO</v>
      </c>
      <c r="F61" t="str" cm="1">
        <f t="array" aca="1" ref="F61" ca="1">_FV(Tableau8[[#This Row],[Action]],"Change")</f>
        <v>NYSE Arca</v>
      </c>
      <c r="G61" s="26" t="str" cm="1">
        <f t="array" ref="G61">IFERROR(_FV(Tableau8[[#This Row],[Action]],"industrie"),"")</f>
        <v/>
      </c>
      <c r="H61" s="12" t="str" cm="1">
        <f t="array" aca="1" ref="H61" ca="1">_FV(Tableau8[[#This Row],[Action]],"Devise")</f>
        <v>USD</v>
      </c>
      <c r="I61" s="41" cm="1">
        <f t="array" aca="1" ref="I61" ca="1">_FV(Tableau8[[#This Row],[Action]],"Prix")</f>
        <v>647.29</v>
      </c>
      <c r="J61" s="41"/>
      <c r="K61" s="50">
        <v>1.6719999999999999</v>
      </c>
      <c r="L61" s="41">
        <f>4*Tableau8[[#This Row],[Dividende trimestriel]]</f>
        <v>6.6879999999999997</v>
      </c>
      <c r="M61" s="22">
        <f ca="1">Tableau8[[#This Row],[Dividende annuel]]/Tableau8[[#This Row],[Prix actuel]]</f>
        <v>1.0332308547946051E-2</v>
      </c>
      <c r="N61" s="12">
        <v>2</v>
      </c>
      <c r="O61" s="74" cm="1">
        <f t="array" aca="1" ref="O61" ca="1">IFERROR(_FV(Tableau8[[#This Row],[Action]],"Bêta"),"")</f>
        <v>1.0001</v>
      </c>
      <c r="P61" s="75" cm="1">
        <f t="array" aca="1" ref="P61" ca="1">_FV(Tableau8[[#This Row],[Action]],"Capitalisation boursière",TRUE)</f>
        <v>817465796475</v>
      </c>
      <c r="Q61" s="12" t="str" cm="1">
        <f t="array" ref="Q61">IFERROR(_FV(Tableau8[[#This Row],[Action]],"Année de constitution",TRUE),"")</f>
        <v/>
      </c>
    </row>
    <row r="62" spans="2:17" x14ac:dyDescent="0.25">
      <c r="B62" t="s">
        <v>194</v>
      </c>
      <c r="D62" t="e" vm="631">
        <v>#VALUE!</v>
      </c>
      <c r="E62" t="str" cm="1">
        <f t="array" aca="1" ref="E62" ca="1">_FV(Tableau8[[#This Row],[Action]],"Code mnémonique",TRUE)</f>
        <v>CCL.B</v>
      </c>
      <c r="F62" t="str" cm="1">
        <f t="array" aca="1" ref="F62" ca="1">_FV(Tableau8[[#This Row],[Action]],"Change")</f>
        <v>Toronto Stock Exchange</v>
      </c>
      <c r="G62" s="26" t="str" cm="1">
        <f t="array" aca="1" ref="G62" ca="1">IFERROR(_FV(Tableau8[[#This Row],[Action]],"industrie"),"")</f>
        <v>Containers &amp; Packaging</v>
      </c>
      <c r="H62" s="12" t="str" cm="1">
        <f t="array" aca="1" ref="H62" ca="1">_FV(Tableau8[[#This Row],[Action]],"Devise")</f>
        <v>CAD</v>
      </c>
      <c r="I62" s="41" cm="1">
        <f t="array" aca="1" ref="I62" ca="1">_FV(Tableau8[[#This Row],[Action]],"Prix")</f>
        <v>86.6</v>
      </c>
      <c r="J62" s="41"/>
      <c r="K62" s="50">
        <v>0.24</v>
      </c>
      <c r="L62" s="41">
        <f>4*Tableau8[[#This Row],[Dividende trimestriel]]</f>
        <v>0.96</v>
      </c>
      <c r="M62" s="22">
        <f ca="1">Tableau8[[#This Row],[Dividende annuel]]/Tableau8[[#This Row],[Prix actuel]]</f>
        <v>1.1085450346420323E-2</v>
      </c>
      <c r="N62" s="12">
        <v>4</v>
      </c>
      <c r="O62" s="74" cm="1">
        <f t="array" aca="1" ref="O62" ca="1">IFERROR(_FV(Tableau8[[#This Row],[Action]],"Bêta"),"")</f>
        <v>0.62429999999999997</v>
      </c>
      <c r="P62" s="75" cm="1">
        <f t="array" aca="1" ref="P62" ca="1">_FV(Tableau8[[#This Row],[Action]],"Capitalisation boursière",TRUE)</f>
        <v>14953239319</v>
      </c>
      <c r="Q62" s="12" cm="1">
        <f t="array" aca="1" ref="Q62" ca="1">IFERROR(_FV(Tableau8[[#This Row],[Action]],"Année de constitution",TRUE),"")</f>
        <v>1992</v>
      </c>
    </row>
    <row r="63" spans="2:17" x14ac:dyDescent="0.25">
      <c r="B63" t="s">
        <v>194</v>
      </c>
      <c r="D63" t="e" vm="532">
        <v>#VALUE!</v>
      </c>
      <c r="E63" t="str" cm="1">
        <f t="array" aca="1" ref="E63" ca="1">_FV(Tableau8[[#This Row],[Action]],"Code mnémonique",TRUE)</f>
        <v>WN</v>
      </c>
      <c r="F63" t="str" cm="1">
        <f t="array" aca="1" ref="F63" ca="1">_FV(Tableau8[[#This Row],[Action]],"Change")</f>
        <v>Toronto Stock Exchange</v>
      </c>
      <c r="G63" s="26" t="str" cm="1">
        <f t="array" aca="1" ref="G63" ca="1">IFERROR(_FV(Tableau8[[#This Row],[Action]],"industrie"),"")</f>
        <v>Food &amp; Drug Retailing</v>
      </c>
      <c r="H63" s="12" t="str" cm="1">
        <f t="array" aca="1" ref="H63" ca="1">_FV(Tableau8[[#This Row],[Action]],"Devise")</f>
        <v>CAD</v>
      </c>
      <c r="I63" s="41" cm="1">
        <f t="array" aca="1" ref="I63" ca="1">_FV(Tableau8[[#This Row],[Action]],"Prix")</f>
        <v>97.15</v>
      </c>
      <c r="J63" s="41"/>
      <c r="K63" s="50">
        <v>0.66</v>
      </c>
      <c r="L63" s="41">
        <f>4*Tableau8[[#This Row],[Dividende trimestriel]]</f>
        <v>2.64</v>
      </c>
      <c r="M63" s="22">
        <f ca="1">Tableau8[[#This Row],[Dividende annuel]]/Tableau8[[#This Row],[Prix actuel]]</f>
        <v>2.7174472465259909E-2</v>
      </c>
      <c r="N63" s="12">
        <v>11</v>
      </c>
      <c r="O63" s="74" cm="1">
        <f t="array" aca="1" ref="O63" ca="1">IFERROR(_FV(Tableau8[[#This Row],[Action]],"Bêta"),"")</f>
        <v>0.51459999999999995</v>
      </c>
      <c r="P63" s="75" cm="1">
        <f t="array" aca="1" ref="P63" ca="1">_FV(Tableau8[[#This Row],[Action]],"Capitalisation boursière",TRUE)</f>
        <v>36638849835</v>
      </c>
      <c r="Q63" s="12" cm="1">
        <f t="array" aca="1" ref="Q63" ca="1">IFERROR(_FV(Tableau8[[#This Row],[Action]],"Année de constitution",TRUE),"")</f>
        <v>2021</v>
      </c>
    </row>
    <row r="64" spans="2:17" x14ac:dyDescent="0.25">
      <c r="B64" t="s">
        <v>194</v>
      </c>
      <c r="D64" t="e" vm="632">
        <v>#VALUE!</v>
      </c>
      <c r="E64" t="str" cm="1">
        <f t="array" aca="1" ref="E64" ca="1">_FV(Tableau8[[#This Row],[Action]],"Code mnémonique",TRUE)</f>
        <v>TIH</v>
      </c>
      <c r="F64" t="str" cm="1">
        <f t="array" aca="1" ref="F64" ca="1">_FV(Tableau8[[#This Row],[Action]],"Change")</f>
        <v>Toronto Stock Exchange</v>
      </c>
      <c r="G64" s="26" t="str" cm="1">
        <f t="array" aca="1" ref="G64" ca="1">IFERROR(_FV(Tableau8[[#This Row],[Action]],"industrie"),"")</f>
        <v>Machinery, Equipment &amp; Components</v>
      </c>
      <c r="H64" s="12" t="str" cm="1">
        <f t="array" aca="1" ref="H64" ca="1">_FV(Tableau8[[#This Row],[Action]],"Devise")</f>
        <v>CAD</v>
      </c>
      <c r="I64" s="41" cm="1">
        <f t="array" aca="1" ref="I64" ca="1">_FV(Tableau8[[#This Row],[Action]],"Prix")</f>
        <v>205.37</v>
      </c>
      <c r="J64" s="41"/>
      <c r="K64" s="50">
        <v>0.39</v>
      </c>
      <c r="L64" s="41">
        <f>4*Tableau8[[#This Row],[Dividende trimestriel]]</f>
        <v>1.56</v>
      </c>
      <c r="M64" s="22">
        <f ca="1">Tableau8[[#This Row],[Dividende annuel]]/Tableau8[[#This Row],[Prix actuel]]</f>
        <v>7.5960461605882063E-3</v>
      </c>
      <c r="N64" s="12">
        <v>10</v>
      </c>
      <c r="O64" s="74" cm="1">
        <f t="array" aca="1" ref="O64" ca="1">IFERROR(_FV(Tableau8[[#This Row],[Action]],"Bêta"),"")</f>
        <v>0.97340000000000004</v>
      </c>
      <c r="P64" s="75" cm="1">
        <f t="array" aca="1" ref="P64" ca="1">_FV(Tableau8[[#This Row],[Action]],"Capitalisation boursière",TRUE)</f>
        <v>16744327471</v>
      </c>
      <c r="Q64" s="12" cm="1">
        <f t="array" aca="1" ref="Q64" ca="1">IFERROR(_FV(Tableau8[[#This Row],[Action]],"Année de constitution",TRUE),"")</f>
        <v>1997</v>
      </c>
    </row>
    <row r="65" spans="2:17" x14ac:dyDescent="0.25">
      <c r="B65" t="s">
        <v>183</v>
      </c>
      <c r="D65" t="e" vm="633">
        <v>#VALUE!</v>
      </c>
      <c r="E65" t="str" cm="1">
        <f t="array" aca="1" ref="E65" ca="1">_FV(Tableau8[[#This Row],[Action]],"Code mnémonique",TRUE)</f>
        <v>TR</v>
      </c>
      <c r="F65" t="str" cm="1">
        <f t="array" aca="1" ref="F65" ca="1">_FV(Tableau8[[#This Row],[Action]],"Change")</f>
        <v>New York Stock Exchange</v>
      </c>
      <c r="G65" s="26" t="str" cm="1">
        <f t="array" aca="1" ref="G65" ca="1">IFERROR(_FV(Tableau8[[#This Row],[Action]],"industrie"),"")</f>
        <v>Food &amp; Tobacco</v>
      </c>
      <c r="H65" s="12" t="str" cm="1">
        <f t="array" aca="1" ref="H65" ca="1">_FV(Tableau8[[#This Row],[Action]],"Devise")</f>
        <v>USD</v>
      </c>
      <c r="I65" s="41" cm="1">
        <f t="array" aca="1" ref="I65" ca="1">_FV(Tableau8[[#This Row],[Action]],"Prix")</f>
        <v>41.92</v>
      </c>
      <c r="J65" s="41"/>
      <c r="K65" s="50">
        <v>0.09</v>
      </c>
      <c r="L65" s="41">
        <f>4*Tableau8[[#This Row],[Dividende trimestriel]]</f>
        <v>0.36</v>
      </c>
      <c r="M65" s="22">
        <f ca="1">Tableau8[[#This Row],[Dividende annuel]]/Tableau8[[#This Row],[Prix actuel]]</f>
        <v>8.5877862595419834E-3</v>
      </c>
      <c r="N65" s="12">
        <v>6</v>
      </c>
      <c r="O65" s="74" cm="1">
        <f t="array" aca="1" ref="O65" ca="1">IFERROR(_FV(Tableau8[[#This Row],[Action]],"Bêta"),"")</f>
        <v>0.45810000000000001</v>
      </c>
      <c r="P65" s="75" cm="1">
        <f t="array" aca="1" ref="P65" ca="1">_FV(Tableau8[[#This Row],[Action]],"Capitalisation boursière",TRUE)</f>
        <v>3098881084</v>
      </c>
      <c r="Q65" s="28" cm="1">
        <f t="array" aca="1" ref="Q65" ca="1">IFERROR(_FV(Tableau8[[#This Row],[Action]],"Année de constitution",TRUE),"")</f>
        <v>1919</v>
      </c>
    </row>
    <row r="66" spans="2:17" x14ac:dyDescent="0.25">
      <c r="B66" t="s">
        <v>183</v>
      </c>
      <c r="D66" t="e" vm="634">
        <v>#VALUE!</v>
      </c>
      <c r="E66" t="str" cm="1">
        <f t="array" aca="1" ref="E66" ca="1">_FV(Tableau8[[#This Row],[Action]],"Code mnémonique",TRUE)</f>
        <v>TNC</v>
      </c>
      <c r="F66" t="str" cm="1">
        <f t="array" aca="1" ref="F66" ca="1">_FV(Tableau8[[#This Row],[Action]],"Change")</f>
        <v>New York Stock Exchange</v>
      </c>
      <c r="G66" s="26" t="str" cm="1">
        <f t="array" aca="1" ref="G66" ca="1">IFERROR(_FV(Tableau8[[#This Row],[Action]],"industrie"),"")</f>
        <v>Machinery, Equipment &amp; Components</v>
      </c>
      <c r="H66" s="12" t="str" cm="1">
        <f t="array" aca="1" ref="H66" ca="1">_FV(Tableau8[[#This Row],[Action]],"Devise")</f>
        <v>USD</v>
      </c>
      <c r="I66" s="41" cm="1">
        <f t="array" aca="1" ref="I66" ca="1">_FV(Tableau8[[#This Row],[Action]],"Prix")</f>
        <v>78.78</v>
      </c>
      <c r="J66" s="41"/>
      <c r="K66" s="50">
        <v>0.26500000000000001</v>
      </c>
      <c r="L66" s="41">
        <f>4*Tableau8[[#This Row],[Dividende trimestriel]]</f>
        <v>1.06</v>
      </c>
      <c r="M66" s="22">
        <f ca="1">Tableau8[[#This Row],[Dividende annuel]]/Tableau8[[#This Row],[Prix actuel]]</f>
        <v>1.3455191673013456E-2</v>
      </c>
      <c r="N66" s="12">
        <v>50</v>
      </c>
      <c r="O66" s="74" cm="1">
        <f t="array" aca="1" ref="O66" ca="1">IFERROR(_FV(Tableau8[[#This Row],[Action]],"Bêta"),"")</f>
        <v>1.0688</v>
      </c>
      <c r="P66" s="75" cm="1">
        <f t="array" aca="1" ref="P66" ca="1">_FV(Tableau8[[#This Row],[Action]],"Capitalisation boursière",TRUE)</f>
        <v>1418625335</v>
      </c>
      <c r="Q66" s="28" cm="1">
        <f t="array" aca="1" ref="Q66" ca="1">IFERROR(_FV(Tableau8[[#This Row],[Action]],"Année de constitution",TRUE),"")</f>
        <v>1909</v>
      </c>
    </row>
    <row r="67" spans="2:17" x14ac:dyDescent="0.25">
      <c r="B67" t="s">
        <v>183</v>
      </c>
      <c r="D67" t="e" vm="635">
        <v>#VALUE!</v>
      </c>
      <c r="E67" t="str" cm="1">
        <f t="array" aca="1" ref="E67" ca="1">_FV(Tableau8[[#This Row],[Action]],"Code mnémonique",TRUE)</f>
        <v>DOV</v>
      </c>
      <c r="F67" t="str" cm="1">
        <f t="array" aca="1" ref="F67" ca="1">_FV(Tableau8[[#This Row],[Action]],"Change")</f>
        <v>New York Stock Exchange</v>
      </c>
      <c r="G67" s="26" t="str" cm="1">
        <f t="array" aca="1" ref="G67" ca="1">IFERROR(_FV(Tableau8[[#This Row],[Action]],"industrie"),"")</f>
        <v>Machinery, Equipment &amp; Components</v>
      </c>
      <c r="H67" s="12" t="str" cm="1">
        <f t="array" aca="1" ref="H67" ca="1">_FV(Tableau8[[#This Row],[Action]],"Devise")</f>
        <v>USD</v>
      </c>
      <c r="I67" s="41" cm="1">
        <f t="array" aca="1" ref="I67" ca="1">_FV(Tableau8[[#This Row],[Action]],"Prix")</f>
        <v>220.25</v>
      </c>
      <c r="J67" s="41"/>
      <c r="K67" s="50">
        <v>0.505</v>
      </c>
      <c r="L67" s="41">
        <f>4*Tableau8[[#This Row],[Dividende trimestriel]]</f>
        <v>2.02</v>
      </c>
      <c r="M67" s="22">
        <f ca="1">Tableau8[[#This Row],[Dividende annuel]]/Tableau8[[#This Row],[Prix actuel]]</f>
        <v>9.1713961407491485E-3</v>
      </c>
      <c r="N67" s="12">
        <v>66</v>
      </c>
      <c r="O67" s="74" cm="1">
        <f t="array" aca="1" ref="O67" ca="1">IFERROR(_FV(Tableau8[[#This Row],[Action]],"Bêta"),"")</f>
        <v>1.2151000000000001</v>
      </c>
      <c r="P67" s="75" cm="1">
        <f t="array" aca="1" ref="P67" ca="1">_FV(Tableau8[[#This Row],[Action]],"Capitalisation boursière",TRUE)</f>
        <v>29688907100</v>
      </c>
      <c r="Q67" s="28" cm="1">
        <f t="array" aca="1" ref="Q67" ca="1">IFERROR(_FV(Tableau8[[#This Row],[Action]],"Année de constitution",TRUE),"")</f>
        <v>1947</v>
      </c>
    </row>
    <row r="68" spans="2:17" x14ac:dyDescent="0.25">
      <c r="B68" t="s">
        <v>183</v>
      </c>
      <c r="D68" t="e" vm="636">
        <v>#VALUE!</v>
      </c>
      <c r="E68" t="str" cm="1">
        <f t="array" aca="1" ref="E68" ca="1">_FV(Tableau8[[#This Row],[Action]],"Code mnémonique",TRUE)</f>
        <v>NDSN</v>
      </c>
      <c r="F68" t="str" cm="1">
        <f t="array" aca="1" ref="F68" ca="1">_FV(Tableau8[[#This Row],[Action]],"Change")</f>
        <v>Nasdaq Stock Market</v>
      </c>
      <c r="G68" s="26" t="str" cm="1">
        <f t="array" aca="1" ref="G68" ca="1">IFERROR(_FV(Tableau8[[#This Row],[Action]],"industrie"),"")</f>
        <v>Machinery, Equipment &amp; Components</v>
      </c>
      <c r="H68" s="12" t="str" cm="1">
        <f t="array" aca="1" ref="H68" ca="1">_FV(Tableau8[[#This Row],[Action]],"Devise")</f>
        <v>USD</v>
      </c>
      <c r="I68" s="41" cm="1">
        <f t="array" aca="1" ref="I68" ca="1">_FV(Tableau8[[#This Row],[Action]],"Prix")</f>
        <v>282.72000000000003</v>
      </c>
      <c r="J68" s="41"/>
      <c r="K68" s="50">
        <v>0.65</v>
      </c>
      <c r="L68" s="41">
        <f>4*Tableau8[[#This Row],[Dividende trimestriel]]</f>
        <v>2.6</v>
      </c>
      <c r="M68" s="22">
        <f ca="1">Tableau8[[#This Row],[Dividende annuel]]/Tableau8[[#This Row],[Prix actuel]]</f>
        <v>9.1963780418788908E-3</v>
      </c>
      <c r="N68" s="12">
        <v>25</v>
      </c>
      <c r="O68" s="74" cm="1">
        <f t="array" aca="1" ref="O68" ca="1">IFERROR(_FV(Tableau8[[#This Row],[Action]],"Bêta"),"")</f>
        <v>0.99150000000000005</v>
      </c>
      <c r="P68" s="75" cm="1">
        <f t="array" aca="1" ref="P68" ca="1">_FV(Tableau8[[#This Row],[Action]],"Capitalisation boursière",TRUE)</f>
        <v>15771139392</v>
      </c>
      <c r="Q68" s="28" cm="1">
        <f t="array" aca="1" ref="Q68" ca="1">IFERROR(_FV(Tableau8[[#This Row],[Action]],"Année de constitution",TRUE),"")</f>
        <v>1935</v>
      </c>
    </row>
    <row r="69" spans="2:17" x14ac:dyDescent="0.25">
      <c r="B69" t="s">
        <v>194</v>
      </c>
      <c r="D69" t="e" vm="637">
        <v>#VALUE!</v>
      </c>
      <c r="E69" t="str" cm="1">
        <f t="array" aca="1" ref="E69" ca="1">_FV(Tableau8[[#This Row],[Action]],"Code mnémonique",TRUE)</f>
        <v>TRI</v>
      </c>
      <c r="F69" t="str" cm="1">
        <f t="array" aca="1" ref="F69" ca="1">_FV(Tableau8[[#This Row],[Action]],"Change")</f>
        <v>Toronto Stock Exchange</v>
      </c>
      <c r="G69" s="26" t="str" cm="1">
        <f t="array" aca="1" ref="G69" ca="1">IFERROR(_FV(Tableau8[[#This Row],[Action]],"industrie"),"")</f>
        <v>Professional &amp; Commercial Services</v>
      </c>
      <c r="H69" s="12" t="str" cm="1">
        <f t="array" aca="1" ref="H69" ca="1">_FV(Tableau8[[#This Row],[Action]],"Devise")</f>
        <v>CAD</v>
      </c>
      <c r="I69" s="41" cm="1">
        <f t="array" aca="1" ref="I69" ca="1">_FV(Tableau8[[#This Row],[Action]],"Prix")</f>
        <v>132.44</v>
      </c>
      <c r="J69" s="41"/>
      <c r="K69" s="50">
        <v>0.60299999999999998</v>
      </c>
      <c r="L69" s="41">
        <f>4*Tableau8[[#This Row],[Dividende trimestriel]]</f>
        <v>2.4119999999999999</v>
      </c>
      <c r="M69" s="22">
        <f ca="1">Tableau8[[#This Row],[Dividende annuel]]/Tableau8[[#This Row],[Prix actuel]]</f>
        <v>1.8212020537601934E-2</v>
      </c>
      <c r="N69" s="12">
        <v>1</v>
      </c>
      <c r="O69" s="74" cm="1">
        <f t="array" aca="1" ref="O69" ca="1">IFERROR(_FV(Tableau8[[#This Row],[Action]],"Bêta"),"")</f>
        <v>0.21160000000000001</v>
      </c>
      <c r="P69" s="75" cm="1">
        <f t="array" aca="1" ref="P69" ca="1">_FV(Tableau8[[#This Row],[Action]],"Capitalisation boursière",TRUE)</f>
        <v>58665940256</v>
      </c>
      <c r="Q69" s="12" cm="1">
        <f t="array" aca="1" ref="Q69" ca="1">IFERROR(_FV(Tableau8[[#This Row],[Action]],"Année de constitution",TRUE),"")</f>
        <v>2010</v>
      </c>
    </row>
    <row r="70" spans="2:17" x14ac:dyDescent="0.25">
      <c r="B70" t="s">
        <v>183</v>
      </c>
      <c r="D70" t="e" vm="638">
        <v>#VALUE!</v>
      </c>
      <c r="E70" t="str" cm="1">
        <f t="array" aca="1" ref="E70" ca="1">_FV(Tableau8[[#This Row],[Action]],"Code mnémonique",TRUE)</f>
        <v>MSA</v>
      </c>
      <c r="F70" t="str" cm="1">
        <f t="array" aca="1" ref="F70" ca="1">_FV(Tableau8[[#This Row],[Action]],"Change")</f>
        <v>New York Stock Exchange</v>
      </c>
      <c r="G70" s="26" t="str" cm="1">
        <f t="array" aca="1" ref="G70" ca="1">IFERROR(_FV(Tableau8[[#This Row],[Action]],"industrie"),"")</f>
        <v>Professional &amp; Commercial Services</v>
      </c>
      <c r="H70" s="12" t="str" cm="1">
        <f t="array" aca="1" ref="H70" ca="1">_FV(Tableau8[[#This Row],[Action]],"Devise")</f>
        <v>USD</v>
      </c>
      <c r="I70" s="41" cm="1">
        <f t="array" aca="1" ref="I70" ca="1">_FV(Tableau8[[#This Row],[Action]],"Prix")</f>
        <v>171.76</v>
      </c>
      <c r="J70" s="41"/>
      <c r="K70" s="50">
        <v>0.46</v>
      </c>
      <c r="L70" s="41">
        <f>4*Tableau8[[#This Row],[Dividende trimestriel]]</f>
        <v>1.84</v>
      </c>
      <c r="M70" s="22">
        <f ca="1">Tableau8[[#This Row],[Dividende annuel]]/Tableau8[[#This Row],[Prix actuel]]</f>
        <v>1.0712622263623663E-2</v>
      </c>
      <c r="N70" s="12">
        <v>22</v>
      </c>
      <c r="O70" s="74" cm="1">
        <f t="array" aca="1" ref="O70" ca="1">IFERROR(_FV(Tableau8[[#This Row],[Action]],"Bêta"),"")</f>
        <v>1.0144</v>
      </c>
      <c r="P70" s="75" cm="1">
        <f t="array" aca="1" ref="P70" ca="1">_FV(Tableau8[[#This Row],[Action]],"Capitalisation boursière",TRUE)</f>
        <v>6663094268</v>
      </c>
      <c r="Q70" s="28" cm="1">
        <f t="array" aca="1" ref="Q70" ca="1">IFERROR(_FV(Tableau8[[#This Row],[Action]],"Année de constitution",TRUE),"")</f>
        <v>2013</v>
      </c>
    </row>
    <row r="71" spans="2:17" x14ac:dyDescent="0.25">
      <c r="B71" t="s">
        <v>194</v>
      </c>
      <c r="D71" t="e" vm="639">
        <v>#VALUE!</v>
      </c>
      <c r="E71" t="str" cm="1">
        <f t="array" aca="1" ref="E71" ca="1">_FV(Tableau8[[#This Row],[Action]],"Code mnémonique",TRUE)</f>
        <v>RBA</v>
      </c>
      <c r="F71" t="str" cm="1">
        <f t="array" aca="1" ref="F71" ca="1">_FV(Tableau8[[#This Row],[Action]],"Change")</f>
        <v>Toronto Stock Exchange</v>
      </c>
      <c r="G71" s="26" t="str" cm="1">
        <f t="array" aca="1" ref="G71" ca="1">IFERROR(_FV(Tableau8[[#This Row],[Action]],"industrie"),"")</f>
        <v>Professional &amp; Commercial Services</v>
      </c>
      <c r="H71" s="12" t="str" cm="1">
        <f t="array" aca="1" ref="H71" ca="1">_FV(Tableau8[[#This Row],[Action]],"Devise")</f>
        <v>CAD</v>
      </c>
      <c r="I71" s="41" cm="1">
        <f t="array" aca="1" ref="I71" ca="1">_FV(Tableau8[[#This Row],[Action]],"Prix")</f>
        <v>141.87</v>
      </c>
      <c r="J71" s="41"/>
      <c r="K71" s="50">
        <v>0.27</v>
      </c>
      <c r="L71" s="41">
        <f>4*Tableau8[[#This Row],[Dividende trimestriel]]</f>
        <v>1.08</v>
      </c>
      <c r="M71" s="22">
        <f ca="1">Tableau8[[#This Row],[Dividende annuel]]/Tableau8[[#This Row],[Prix actuel]]</f>
        <v>7.6126030873334746E-3</v>
      </c>
      <c r="N71" s="12">
        <v>13</v>
      </c>
      <c r="O71" s="74" cm="1">
        <f t="array" aca="1" ref="O71" ca="1">IFERROR(_FV(Tableau8[[#This Row],[Action]],"Bêta"),"")</f>
        <v>0.1145</v>
      </c>
      <c r="P71" s="75" cm="1">
        <f t="array" aca="1" ref="P71" ca="1">_FV(Tableau8[[#This Row],[Action]],"Capitalisation boursière",TRUE)</f>
        <v>26377165563</v>
      </c>
      <c r="Q71" s="12" cm="1">
        <f t="array" aca="1" ref="Q71" ca="1">IFERROR(_FV(Tableau8[[#This Row],[Action]],"Année de constitution",TRUE),"")</f>
        <v>1997</v>
      </c>
    </row>
    <row r="72" spans="2:17" x14ac:dyDescent="0.25">
      <c r="B72" t="s">
        <v>183</v>
      </c>
      <c r="D72" t="e" vm="640">
        <v>#VALUE!</v>
      </c>
      <c r="E72" t="str" cm="1">
        <f t="array" aca="1" ref="E72" ca="1">_FV(Tableau8[[#This Row],[Action]],"Code mnémonique",TRUE)</f>
        <v>FUL</v>
      </c>
      <c r="F72" t="str" cm="1">
        <f t="array" aca="1" ref="F72" ca="1">_FV(Tableau8[[#This Row],[Action]],"Change")</f>
        <v>New York Stock Exchange</v>
      </c>
      <c r="G72" s="26" t="str" cm="1">
        <f t="array" aca="1" ref="G72" ca="1">IFERROR(_FV(Tableau8[[#This Row],[Action]],"industrie"),"")</f>
        <v>Chemicals</v>
      </c>
      <c r="H72" s="12" t="str" cm="1">
        <f t="array" aca="1" ref="H72" ca="1">_FV(Tableau8[[#This Row],[Action]],"Devise")</f>
        <v>USD</v>
      </c>
      <c r="I72" s="41" cm="1">
        <f t="array" aca="1" ref="I72" ca="1">_FV(Tableau8[[#This Row],[Action]],"Prix")</f>
        <v>63.21</v>
      </c>
      <c r="J72" s="41"/>
      <c r="K72" s="50">
        <v>0.19</v>
      </c>
      <c r="L72" s="41">
        <f>4*Tableau8[[#This Row],[Dividende trimestriel]]</f>
        <v>0.76</v>
      </c>
      <c r="M72" s="22">
        <f ca="1">Tableau8[[#This Row],[Dividende annuel]]/Tableau8[[#This Row],[Prix actuel]]</f>
        <v>1.2023414016769499E-2</v>
      </c>
      <c r="N72" s="12">
        <v>3</v>
      </c>
      <c r="O72" s="74" cm="1">
        <f t="array" aca="1" ref="O72" ca="1">IFERROR(_FV(Tableau8[[#This Row],[Action]],"Bêta"),"")</f>
        <v>1.016</v>
      </c>
      <c r="P72" s="75" cm="1">
        <f t="array" aca="1" ref="P72" ca="1">_FV(Tableau8[[#This Row],[Action]],"Capitalisation boursière",TRUE)</f>
        <v>3444141600</v>
      </c>
      <c r="Q72" s="28" cm="1">
        <f t="array" aca="1" ref="Q72" ca="1">IFERROR(_FV(Tableau8[[#This Row],[Action]],"Année de constitution",TRUE),"")</f>
        <v>1915</v>
      </c>
    </row>
    <row r="73" spans="2:17" x14ac:dyDescent="0.25">
      <c r="B73" t="s">
        <v>183</v>
      </c>
      <c r="D73" t="e" vm="641">
        <v>#VALUE!</v>
      </c>
      <c r="E73" t="str" cm="1">
        <f t="array" aca="1" ref="E73" ca="1">_FV(Tableau8[[#This Row],[Action]],"Code mnémonique",TRUE)</f>
        <v>PH</v>
      </c>
      <c r="F73" t="str" cm="1">
        <f t="array" aca="1" ref="F73" ca="1">_FV(Tableau8[[#This Row],[Action]],"Change")</f>
        <v>New York Stock Exchange</v>
      </c>
      <c r="G73" s="26" t="str" cm="1">
        <f t="array" aca="1" ref="G73" ca="1">IFERROR(_FV(Tableau8[[#This Row],[Action]],"industrie"),"")</f>
        <v>Machinery, Equipment &amp; Components</v>
      </c>
      <c r="H73" s="12" t="str" cm="1">
        <f t="array" aca="1" ref="H73" ca="1">_FV(Tableau8[[#This Row],[Action]],"Devise")</f>
        <v>USD</v>
      </c>
      <c r="I73" s="41" cm="1">
        <f t="array" aca="1" ref="I73" ca="1">_FV(Tableau8[[#This Row],[Action]],"Prix")</f>
        <v>973.34</v>
      </c>
      <c r="J73" s="41"/>
      <c r="K73" s="50">
        <v>1.33</v>
      </c>
      <c r="L73" s="41">
        <f>4*Tableau8[[#This Row],[Dividende trimestriel]]</f>
        <v>5.32</v>
      </c>
      <c r="M73" s="22">
        <f ca="1">Tableau8[[#This Row],[Dividende annuel]]/Tableau8[[#This Row],[Prix actuel]]</f>
        <v>5.4657159882466558E-3</v>
      </c>
      <c r="N73" s="12">
        <v>6</v>
      </c>
      <c r="O73" s="74" cm="1">
        <f t="array" aca="1" ref="O73" ca="1">IFERROR(_FV(Tableau8[[#This Row],[Action]],"Bêta"),"")</f>
        <v>1.2742</v>
      </c>
      <c r="P73" s="75" cm="1">
        <f t="array" aca="1" ref="P73" ca="1">_FV(Tableau8[[#This Row],[Action]],"Capitalisation boursière",TRUE)</f>
        <v>122851568110</v>
      </c>
      <c r="Q73" s="28" cm="1">
        <f t="array" aca="1" ref="Q73" ca="1">IFERROR(_FV(Tableau8[[#This Row],[Action]],"Année de constitution",TRUE),"")</f>
        <v>1938</v>
      </c>
    </row>
    <row r="74" spans="2:17" x14ac:dyDescent="0.25">
      <c r="B74" t="s">
        <v>194</v>
      </c>
      <c r="D74" t="e" vm="642">
        <v>#VALUE!</v>
      </c>
      <c r="E74" t="str" cm="1">
        <f t="array" aca="1" ref="E74" ca="1">_FV(Tableau8[[#This Row],[Action]],"Code mnémonique",TRUE)</f>
        <v>TFII</v>
      </c>
      <c r="F74" t="str" cm="1">
        <f t="array" aca="1" ref="F74" ca="1">_FV(Tableau8[[#This Row],[Action]],"Change")</f>
        <v>Toronto Stock Exchange</v>
      </c>
      <c r="G74" s="26" t="str" cm="1">
        <f t="array" aca="1" ref="G74" ca="1">IFERROR(_FV(Tableau8[[#This Row],[Action]],"industrie"),"")</f>
        <v>Freight &amp; Logistics Services</v>
      </c>
      <c r="H74" s="12" t="str" cm="1">
        <f t="array" aca="1" ref="H74" ca="1">_FV(Tableau8[[#This Row],[Action]],"Devise")</f>
        <v>CAD</v>
      </c>
      <c r="I74" s="41" cm="1">
        <f t="array" aca="1" ref="I74" ca="1">_FV(Tableau8[[#This Row],[Action]],"Prix")</f>
        <v>184.95</v>
      </c>
      <c r="J74" s="41"/>
      <c r="K74" s="50">
        <v>0.46899999999999997</v>
      </c>
      <c r="L74" s="41">
        <f>4*Tableau8[[#This Row],[Dividende trimestriel]]</f>
        <v>1.8759999999999999</v>
      </c>
      <c r="M74" s="22">
        <f ca="1">Tableau8[[#This Row],[Dividende annuel]]/Tableau8[[#This Row],[Prix actuel]]</f>
        <v>1.0143281968099487E-2</v>
      </c>
      <c r="N74" s="12">
        <v>12</v>
      </c>
      <c r="O74" s="74" cm="1">
        <f t="array" aca="1" ref="O74" ca="1">IFERROR(_FV(Tableau8[[#This Row],[Action]],"Bêta"),"")</f>
        <v>1.4592000000000001</v>
      </c>
      <c r="P74" s="75" cm="1">
        <f t="array" aca="1" ref="P74" ca="1">_FV(Tableau8[[#This Row],[Action]],"Capitalisation boursière",TRUE)</f>
        <v>15200306248</v>
      </c>
      <c r="Q74" s="12" cm="1">
        <f t="array" aca="1" ref="Q74" ca="1">IFERROR(_FV(Tableau8[[#This Row],[Action]],"Année de constitution",TRUE),"")</f>
        <v>2008</v>
      </c>
    </row>
    <row r="75" spans="2:17" x14ac:dyDescent="0.25">
      <c r="B75" t="s">
        <v>183</v>
      </c>
      <c r="D75" t="e" vm="643">
        <v>#VALUE!</v>
      </c>
      <c r="E75" t="str" cm="1">
        <f t="array" aca="1" ref="E75" ca="1">_FV(Tableau8[[#This Row],[Action]],"Code mnémonique",TRUE)</f>
        <v>GWW</v>
      </c>
      <c r="F75" t="str" cm="1">
        <f t="array" aca="1" ref="F75" ca="1">_FV(Tableau8[[#This Row],[Action]],"Change")</f>
        <v>New York Stock Exchange</v>
      </c>
      <c r="G75" s="26" t="str" cm="1">
        <f t="array" aca="1" ref="G75" ca="1">IFERROR(_FV(Tableau8[[#This Row],[Action]],"industrie"),"")</f>
        <v>Machinery, Equipment &amp; Components</v>
      </c>
      <c r="H75" s="12" t="str" cm="1">
        <f t="array" aca="1" ref="H75" ca="1">_FV(Tableau8[[#This Row],[Action]],"Devise")</f>
        <v>USD</v>
      </c>
      <c r="I75" s="41" cm="1">
        <f t="array" aca="1" ref="I75" ca="1">_FV(Tableau8[[#This Row],[Action]],"Prix")</f>
        <v>1170.93</v>
      </c>
      <c r="J75" s="41"/>
      <c r="K75" s="50">
        <v>1.72</v>
      </c>
      <c r="L75" s="41">
        <f>4*Tableau8[[#This Row],[Dividende trimestriel]]</f>
        <v>6.88</v>
      </c>
      <c r="M75" s="22">
        <f ca="1">Tableau8[[#This Row],[Dividende annuel]]/Tableau8[[#This Row],[Prix actuel]]</f>
        <v>5.8756714748106204E-3</v>
      </c>
      <c r="N75" s="12">
        <v>51</v>
      </c>
      <c r="O75" s="74" cm="1">
        <f t="array" aca="1" ref="O75" ca="1">IFERROR(_FV(Tableau8[[#This Row],[Action]],"Bêta"),"")</f>
        <v>1.0602</v>
      </c>
      <c r="P75" s="75" cm="1">
        <f t="array" aca="1" ref="P75" ca="1">_FV(Tableau8[[#This Row],[Action]],"Capitalisation boursière",TRUE)</f>
        <v>55420105190</v>
      </c>
      <c r="Q75" s="28" cm="1">
        <f t="array" aca="1" ref="Q75" ca="1">IFERROR(_FV(Tableau8[[#This Row],[Action]],"Année de constitution",TRUE),"")</f>
        <v>1928</v>
      </c>
    </row>
    <row r="76" spans="2:17" x14ac:dyDescent="0.25">
      <c r="B76" t="s">
        <v>194</v>
      </c>
      <c r="D76" t="e" vm="644">
        <v>#VALUE!</v>
      </c>
      <c r="E76" t="str" cm="1">
        <f t="array" aca="1" ref="E76" ca="1">_FV(Tableau8[[#This Row],[Action]],"Code mnémonique",TRUE)</f>
        <v>CP</v>
      </c>
      <c r="F76" t="str" cm="1">
        <f t="array" aca="1" ref="F76" ca="1">_FV(Tableau8[[#This Row],[Action]],"Change")</f>
        <v>Toronto Stock Exchange</v>
      </c>
      <c r="G76" s="26" t="str" cm="1">
        <f t="array" aca="1" ref="G76" ca="1">IFERROR(_FV(Tableau8[[#This Row],[Action]],"industrie"),"")</f>
        <v>Freight &amp; Logistics Services</v>
      </c>
      <c r="H76" s="12" t="str" cm="1">
        <f t="array" aca="1" ref="H76" ca="1">_FV(Tableau8[[#This Row],[Action]],"Devise")</f>
        <v>CAD</v>
      </c>
      <c r="I76" s="41" cm="1">
        <f t="array" aca="1" ref="I76" ca="1">_FV(Tableau8[[#This Row],[Action]],"Prix")</f>
        <v>112.79</v>
      </c>
      <c r="J76" s="41"/>
      <c r="K76" s="50">
        <v>0.19</v>
      </c>
      <c r="L76" s="41">
        <f>4*Tableau8[[#This Row],[Dividende trimestriel]]</f>
        <v>0.76</v>
      </c>
      <c r="M76" s="22">
        <f ca="1">Tableau8[[#This Row],[Dividende annuel]]/Tableau8[[#This Row],[Prix actuel]]</f>
        <v>6.7381860093979956E-3</v>
      </c>
      <c r="N76" s="12">
        <v>0</v>
      </c>
      <c r="O76" s="74" cm="1">
        <f t="array" aca="1" ref="O76" ca="1">IFERROR(_FV(Tableau8[[#This Row],[Action]],"Bêta"),"")</f>
        <v>1.1837</v>
      </c>
      <c r="P76" s="75" cm="1">
        <f t="array" aca="1" ref="P76" ca="1">_FV(Tableau8[[#This Row],[Action]],"Capitalisation boursière",TRUE)</f>
        <v>101206884323</v>
      </c>
      <c r="Q76" s="12" cm="1">
        <f t="array" aca="1" ref="Q76" ca="1">IFERROR(_FV(Tableau8[[#This Row],[Action]],"Année de constitution",TRUE),"")</f>
        <v>2001</v>
      </c>
    </row>
    <row r="77" spans="2:17" x14ac:dyDescent="0.25">
      <c r="B77" t="s">
        <v>194</v>
      </c>
      <c r="D77" t="e" vm="645">
        <v>#VALUE!</v>
      </c>
      <c r="E77" t="str" cm="1">
        <f t="array" aca="1" ref="E77" ca="1">_FV(Tableau8[[#This Row],[Action]],"Code mnémonique",TRUE)</f>
        <v>ATD</v>
      </c>
      <c r="F77" t="str" cm="1">
        <f t="array" aca="1" ref="F77" ca="1">_FV(Tableau8[[#This Row],[Action]],"Change")</f>
        <v>Toronto Stock Exchange</v>
      </c>
      <c r="G77" s="26" t="str" cm="1">
        <f t="array" aca="1" ref="G77" ca="1">IFERROR(_FV(Tableau8[[#This Row],[Action]],"industrie"),"")</f>
        <v>Oil &amp; Gas</v>
      </c>
      <c r="H77" s="12" t="str" cm="1">
        <f t="array" aca="1" ref="H77" ca="1">_FV(Tableau8[[#This Row],[Action]],"Devise")</f>
        <v>CAD</v>
      </c>
      <c r="I77" s="41" cm="1">
        <f t="array" aca="1" ref="I77" ca="1">_FV(Tableau8[[#This Row],[Action]],"Prix")</f>
        <v>79.45</v>
      </c>
      <c r="J77" s="41"/>
      <c r="K77" s="50">
        <v>0.14000000000000001</v>
      </c>
      <c r="L77" s="41">
        <f>4*Tableau8[[#This Row],[Dividende trimestriel]]</f>
        <v>0.56000000000000005</v>
      </c>
      <c r="M77" s="22">
        <f ca="1">Tableau8[[#This Row],[Dividende annuel]]/Tableau8[[#This Row],[Prix actuel]]</f>
        <v>7.048458149779736E-3</v>
      </c>
      <c r="N77" s="12">
        <v>0</v>
      </c>
      <c r="O77" s="74" cm="1">
        <f t="array" aca="1" ref="O77" ca="1">IFERROR(_FV(Tableau8[[#This Row],[Action]],"Bêta"),"")</f>
        <v>0.75490000000000002</v>
      </c>
      <c r="P77" s="75" cm="1">
        <f t="array" aca="1" ref="P77" ca="1">_FV(Tableau8[[#This Row],[Action]],"Capitalisation boursière",TRUE)</f>
        <v>72953381445</v>
      </c>
      <c r="Q77" s="12" cm="1">
        <f t="array" aca="1" ref="Q77" ca="1">IFERROR(_FV(Tableau8[[#This Row],[Action]],"Année de constitution",TRUE),"")</f>
        <v>1994</v>
      </c>
    </row>
    <row r="78" spans="2:17" x14ac:dyDescent="0.25">
      <c r="B78" t="s">
        <v>194</v>
      </c>
      <c r="D78" t="e" vm="646">
        <v>#VALUE!</v>
      </c>
      <c r="E78" t="str" cm="1">
        <f t="array" aca="1" ref="E78" ca="1">_FV(Tableau8[[#This Row],[Action]],"Code mnémonique",TRUE)</f>
        <v>STN</v>
      </c>
      <c r="F78" t="str" cm="1">
        <f t="array" aca="1" ref="F78" ca="1">_FV(Tableau8[[#This Row],[Action]],"Change")</f>
        <v>Toronto Stock Exchange</v>
      </c>
      <c r="G78" s="26" t="str" cm="1">
        <f t="array" aca="1" ref="G78" ca="1">IFERROR(_FV(Tableau8[[#This Row],[Action]],"industrie"),"")</f>
        <v>Construction &amp; Engineering</v>
      </c>
      <c r="H78" s="12" t="str" cm="1">
        <f t="array" aca="1" ref="H78" ca="1">_FV(Tableau8[[#This Row],[Action]],"Devise")</f>
        <v>CAD</v>
      </c>
      <c r="I78" s="41" cm="1">
        <f t="array" aca="1" ref="I78" ca="1">_FV(Tableau8[[#This Row],[Action]],"Prix")</f>
        <v>123.51</v>
      </c>
      <c r="J78" s="41"/>
      <c r="K78" s="50">
        <v>0.18</v>
      </c>
      <c r="L78" s="41">
        <f>4*Tableau8[[#This Row],[Dividende trimestriel]]</f>
        <v>0.72</v>
      </c>
      <c r="M78" s="22">
        <f ca="1">Tableau8[[#This Row],[Dividende annuel]]/Tableau8[[#This Row],[Prix actuel]]</f>
        <v>5.8294874908914251E-3</v>
      </c>
      <c r="N78" s="12">
        <v>7</v>
      </c>
      <c r="O78" s="74" cm="1">
        <f t="array" aca="1" ref="O78" ca="1">IFERROR(_FV(Tableau8[[#This Row],[Action]],"Bêta"),"")</f>
        <v>0.72350000000000003</v>
      </c>
      <c r="P78" s="75" cm="1">
        <f t="array" aca="1" ref="P78" ca="1">_FV(Tableau8[[#This Row],[Action]],"Capitalisation boursière",TRUE)</f>
        <v>14088415170</v>
      </c>
      <c r="Q78" s="12" cm="1">
        <f t="array" aca="1" ref="Q78" ca="1">IFERROR(_FV(Tableau8[[#This Row],[Action]],"Année de constitution",TRUE),"")</f>
        <v>1994</v>
      </c>
    </row>
    <row r="79" spans="2:17" x14ac:dyDescent="0.25">
      <c r="B79" t="s">
        <v>194</v>
      </c>
      <c r="D79" t="e" vm="647">
        <v>#VALUE!</v>
      </c>
      <c r="E79" t="str" cm="1">
        <f t="array" aca="1" ref="E79" ca="1">_FV(Tableau8[[#This Row],[Action]],"Code mnémonique",TRUE)</f>
        <v>FSV</v>
      </c>
      <c r="F79" t="str" cm="1">
        <f t="array" aca="1" ref="F79" ca="1">_FV(Tableau8[[#This Row],[Action]],"Change")</f>
        <v>Toronto Stock Exchange</v>
      </c>
      <c r="G79" s="26" t="str" cm="1">
        <f t="array" aca="1" ref="G79" ca="1">IFERROR(_FV(Tableau8[[#This Row],[Action]],"industrie"),"")</f>
        <v>Real Estate Operations</v>
      </c>
      <c r="H79" s="12" t="str" cm="1">
        <f t="array" aca="1" ref="H79" ca="1">_FV(Tableau8[[#This Row],[Action]],"Devise")</f>
        <v>CAD</v>
      </c>
      <c r="I79" s="41" cm="1">
        <f t="array" aca="1" ref="I79" ca="1">_FV(Tableau8[[#This Row],[Action]],"Prix")</f>
        <v>200.63</v>
      </c>
      <c r="J79" s="41"/>
      <c r="K79" s="50">
        <v>0.27500000000000002</v>
      </c>
      <c r="L79" s="41">
        <f>4*Tableau8[[#This Row],[Dividende trimestriel]]</f>
        <v>1.1000000000000001</v>
      </c>
      <c r="M79" s="22">
        <f ca="1">Tableau8[[#This Row],[Dividende annuel]]/Tableau8[[#This Row],[Prix actuel]]</f>
        <v>5.4827294023824958E-3</v>
      </c>
      <c r="N79" s="12">
        <v>2</v>
      </c>
      <c r="O79" s="74" cm="1">
        <f t="array" aca="1" ref="O79" ca="1">IFERROR(_FV(Tableau8[[#This Row],[Action]],"Bêta"),"")</f>
        <v>0.95140000000000002</v>
      </c>
      <c r="P79" s="75" cm="1">
        <f t="array" aca="1" ref="P79" ca="1">_FV(Tableau8[[#This Row],[Action]],"Capitalisation boursière",TRUE)</f>
        <v>9225320508</v>
      </c>
      <c r="Q79" s="12" cm="1">
        <f t="array" aca="1" ref="Q79" ca="1">IFERROR(_FV(Tableau8[[#This Row],[Action]],"Année de constitution",TRUE),"")</f>
        <v>2014</v>
      </c>
    </row>
    <row r="80" spans="2:17" x14ac:dyDescent="0.25">
      <c r="B80" t="s">
        <v>194</v>
      </c>
      <c r="D80" t="e" vm="648">
        <v>#VALUE!</v>
      </c>
      <c r="E80" t="str" cm="1">
        <f t="array" aca="1" ref="E80" ca="1">_FV(Tableau8[[#This Row],[Action]],"Code mnémonique",TRUE)</f>
        <v>DOL</v>
      </c>
      <c r="F80" t="str" cm="1">
        <f t="array" aca="1" ref="F80" ca="1">_FV(Tableau8[[#This Row],[Action]],"Change")</f>
        <v>Toronto Stock Exchange</v>
      </c>
      <c r="G80" s="26" t="str" cm="1">
        <f t="array" aca="1" ref="G80" ca="1">IFERROR(_FV(Tableau8[[#This Row],[Action]],"industrie"),"")</f>
        <v>Diversified Retail</v>
      </c>
      <c r="H80" s="12" t="str" cm="1">
        <f t="array" aca="1" ref="H80" ca="1">_FV(Tableau8[[#This Row],[Action]],"Devise")</f>
        <v>CAD</v>
      </c>
      <c r="I80" s="41" cm="1">
        <f t="array" aca="1" ref="I80" ca="1">_FV(Tableau8[[#This Row],[Action]],"Prix")</f>
        <v>171.63</v>
      </c>
      <c r="J80" s="41"/>
      <c r="K80" s="50">
        <v>5.5E-2</v>
      </c>
      <c r="L80" s="41">
        <f>4*Tableau8[[#This Row],[Dividende trimestriel]]</f>
        <v>0.22</v>
      </c>
      <c r="M80" s="22">
        <f ca="1">Tableau8[[#This Row],[Dividende annuel]]/Tableau8[[#This Row],[Prix actuel]]</f>
        <v>1.281827186389326E-3</v>
      </c>
      <c r="N80" s="12">
        <v>3</v>
      </c>
      <c r="O80" s="74" cm="1">
        <f t="array" aca="1" ref="O80" ca="1">IFERROR(_FV(Tableau8[[#This Row],[Action]],"Bêta"),"")</f>
        <v>0.36830000000000002</v>
      </c>
      <c r="P80" s="75" cm="1">
        <f t="array" aca="1" ref="P80" ca="1">_FV(Tableau8[[#This Row],[Action]],"Capitalisation boursière",TRUE)</f>
        <v>46812700368</v>
      </c>
      <c r="Q80" s="12" cm="1">
        <f t="array" aca="1" ref="Q80" ca="1">IFERROR(_FV(Tableau8[[#This Row],[Action]],"Année de constitution",TRUE),"")</f>
        <v>2009</v>
      </c>
    </row>
  </sheetData>
  <conditionalFormatting sqref="M4:M80">
    <cfRule type="dataBar" priority="13">
      <dataBar>
        <cfvo type="min"/>
        <cfvo type="max"/>
        <color rgb="FF638EC6"/>
      </dataBar>
      <extLst>
        <ext xmlns:x14="http://schemas.microsoft.com/office/spreadsheetml/2009/9/main" uri="{B025F937-C7B1-47D3-B67F-A62EFF666E3E}">
          <x14:id>{B15CD0E9-8DFA-4A3E-9C9D-E9108B15B388}</x14:id>
        </ext>
      </extLst>
    </cfRule>
  </conditionalFormatting>
  <conditionalFormatting sqref="P4:P80">
    <cfRule type="dataBar" priority="15">
      <dataBar>
        <cfvo type="min"/>
        <cfvo type="max"/>
        <color rgb="FF638EC6"/>
      </dataBar>
      <extLst>
        <ext xmlns:x14="http://schemas.microsoft.com/office/spreadsheetml/2009/9/main" uri="{B025F937-C7B1-47D3-B67F-A62EFF666E3E}">
          <x14:id>{A6ADE05C-DEAC-4B28-9AE2-0E5720D01723}</x14:id>
        </ext>
      </extLst>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15CD0E9-8DFA-4A3E-9C9D-E9108B15B388}">
            <x14:dataBar minLength="0" maxLength="100" gradient="0">
              <x14:cfvo type="autoMin"/>
              <x14:cfvo type="autoMax"/>
              <x14:negativeFillColor rgb="FFFF0000"/>
              <x14:axisColor rgb="FF000000"/>
            </x14:dataBar>
          </x14:cfRule>
          <xm:sqref>M4:M80</xm:sqref>
        </x14:conditionalFormatting>
        <x14:conditionalFormatting xmlns:xm="http://schemas.microsoft.com/office/excel/2006/main">
          <x14:cfRule type="iconSet" priority="17" id="{99EA684E-496F-4329-8C6A-D02796E9653C}">
            <x14:iconSet iconSet="3Stars">
              <x14:cfvo type="percent">
                <xm:f>0</xm:f>
              </x14:cfvo>
              <x14:cfvo type="num">
                <xm:f>25</xm:f>
              </x14:cfvo>
              <x14:cfvo type="num">
                <xm:f>50</xm:f>
              </x14:cfvo>
            </x14:iconSet>
          </x14:cfRule>
          <xm:sqref>N4:N80</xm:sqref>
        </x14:conditionalFormatting>
        <x14:conditionalFormatting xmlns:xm="http://schemas.microsoft.com/office/excel/2006/main">
          <x14:cfRule type="dataBar" id="{A6ADE05C-DEAC-4B28-9AE2-0E5720D01723}">
            <x14:dataBar minLength="0" maxLength="100" gradient="0">
              <x14:cfvo type="autoMin"/>
              <x14:cfvo type="autoMax"/>
              <x14:negativeFillColor rgb="FFFF0000"/>
              <x14:axisColor rgb="FF000000"/>
            </x14:dataBar>
          </x14:cfRule>
          <xm:sqref>P4:P80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915C-6B5D-40C5-B5F9-D389F4B2AB9B}">
  <sheetPr codeName="Feuil5">
    <tabColor theme="8" tint="-0.499984740745262"/>
  </sheetPr>
  <dimension ref="B1:S544"/>
  <sheetViews>
    <sheetView workbookViewId="0">
      <pane ySplit="11" topLeftCell="A12" activePane="bottomLeft" state="frozen"/>
      <selection pane="bottomLeft" activeCell="K15" sqref="K15"/>
    </sheetView>
  </sheetViews>
  <sheetFormatPr baseColWidth="10" defaultColWidth="11.42578125" defaultRowHeight="15" x14ac:dyDescent="0.25"/>
  <cols>
    <col min="1" max="1" width="4" customWidth="1"/>
    <col min="2" max="4" width="11.42578125" style="12"/>
    <col min="5" max="5" width="12.140625" style="12" customWidth="1"/>
    <col min="6" max="7" width="11.42578125" style="12"/>
    <col min="8" max="8" width="13" style="12" bestFit="1" customWidth="1"/>
    <col min="9" max="9" width="11.42578125" style="12"/>
    <col min="10" max="10" width="16.140625" style="12" customWidth="1"/>
    <col min="11" max="11" width="6.85546875" style="12" customWidth="1"/>
    <col min="12" max="13" width="17.85546875" style="12" customWidth="1"/>
    <col min="14" max="14" width="6.85546875" style="12" customWidth="1"/>
    <col min="15" max="16" width="17.85546875" style="12" customWidth="1"/>
    <col min="17" max="17" width="6.85546875" style="12" customWidth="1"/>
    <col min="18" max="19" width="17.85546875" style="12" customWidth="1"/>
  </cols>
  <sheetData>
    <row r="1" spans="2:19" ht="22.5" x14ac:dyDescent="0.3">
      <c r="B1" s="102" t="s">
        <v>149</v>
      </c>
      <c r="C1" s="102"/>
      <c r="D1" s="102"/>
      <c r="E1" s="102"/>
      <c r="F1" s="102"/>
      <c r="G1" s="102"/>
      <c r="H1" s="102"/>
      <c r="I1" s="102"/>
      <c r="J1" s="102"/>
      <c r="K1" s="102"/>
      <c r="L1" s="102"/>
      <c r="M1" s="102"/>
      <c r="N1" s="102"/>
      <c r="O1" s="102"/>
      <c r="P1" s="102"/>
      <c r="Q1" s="102"/>
      <c r="R1" s="102"/>
      <c r="S1" s="102"/>
    </row>
    <row r="3" spans="2:19" x14ac:dyDescent="0.25">
      <c r="C3" s="183" t="s">
        <v>146</v>
      </c>
      <c r="D3" s="184"/>
      <c r="E3" s="184"/>
      <c r="F3" s="184"/>
      <c r="G3" s="184"/>
      <c r="H3" s="184"/>
      <c r="I3" s="184"/>
      <c r="J3" s="184"/>
      <c r="L3" s="183" t="s">
        <v>265</v>
      </c>
      <c r="M3" s="184"/>
      <c r="N3" s="184"/>
      <c r="O3" s="184"/>
      <c r="P3" s="184"/>
      <c r="Q3" s="184"/>
      <c r="R3" s="184"/>
      <c r="S3"/>
    </row>
    <row r="4" spans="2:19" s="8" customFormat="1" ht="60" x14ac:dyDescent="0.25">
      <c r="C4" s="59" t="s">
        <v>140</v>
      </c>
      <c r="D4" s="59" t="s">
        <v>141</v>
      </c>
      <c r="E4" s="59" t="s">
        <v>178</v>
      </c>
      <c r="F4" s="185" t="s">
        <v>144</v>
      </c>
      <c r="G4" s="185"/>
      <c r="H4" s="59" t="s">
        <v>142</v>
      </c>
      <c r="I4" s="59" t="s">
        <v>143</v>
      </c>
      <c r="J4" s="59" t="s">
        <v>177</v>
      </c>
      <c r="L4" s="59" t="s">
        <v>27</v>
      </c>
      <c r="M4" s="59" t="s">
        <v>261</v>
      </c>
      <c r="O4" s="59" t="s">
        <v>262</v>
      </c>
      <c r="P4" s="59" t="s">
        <v>263</v>
      </c>
      <c r="R4" s="59" t="s">
        <v>264</v>
      </c>
    </row>
    <row r="5" spans="2:19" x14ac:dyDescent="0.25">
      <c r="C5" s="43">
        <v>0.02</v>
      </c>
      <c r="D5" s="101">
        <f ca="1">Titres[[#Totals],[Prix actuel]]</f>
        <v>108.79137500000002</v>
      </c>
      <c r="E5" s="44">
        <v>3000</v>
      </c>
      <c r="F5" s="186" t="s">
        <v>145</v>
      </c>
      <c r="G5" s="186"/>
      <c r="H5" s="43">
        <v>0.01</v>
      </c>
      <c r="I5" s="43">
        <v>3.5000000000000003E-2</v>
      </c>
      <c r="J5" s="44">
        <f ca="1">'Tableau de bord - Portefeuille'!J3</f>
        <v>677602.58529500011</v>
      </c>
      <c r="L5" s="44">
        <f ca="1">'Tableau de bord - Portefeuille'!J3</f>
        <v>677602.58529500011</v>
      </c>
      <c r="M5" s="44">
        <v>40000</v>
      </c>
      <c r="O5" s="104">
        <f ca="1">'Tableau de bord - Portefeuille'!H36-(YEAR(TODAY())-1984)</f>
        <v>13</v>
      </c>
      <c r="P5" s="43">
        <f ca="1">Titres[[#Totals],[Rendement des dividendes]]</f>
        <v>2.7408204207499485E-2</v>
      </c>
      <c r="R5" s="105">
        <f ca="1">-FV(P5,O5,M5,L5)</f>
        <v>1577744.5024835109</v>
      </c>
    </row>
    <row r="7" spans="2:19" x14ac:dyDescent="0.25">
      <c r="H7" s="25"/>
    </row>
    <row r="10" spans="2:19" x14ac:dyDescent="0.25">
      <c r="B10" s="184" t="s">
        <v>133</v>
      </c>
      <c r="C10" s="184"/>
      <c r="D10" s="184"/>
      <c r="E10" s="184"/>
      <c r="F10" s="184"/>
      <c r="G10" s="184"/>
      <c r="H10" s="184"/>
      <c r="I10" s="184"/>
      <c r="J10" s="184"/>
      <c r="L10" s="184" t="s">
        <v>148</v>
      </c>
      <c r="M10" s="184"/>
      <c r="O10" s="184" t="s">
        <v>136</v>
      </c>
      <c r="P10" s="184"/>
      <c r="R10" s="184" t="s">
        <v>139</v>
      </c>
      <c r="S10" s="184"/>
    </row>
    <row r="11" spans="2:19" s="8" customFormat="1" ht="45" x14ac:dyDescent="0.25">
      <c r="B11" s="60" t="s">
        <v>125</v>
      </c>
      <c r="C11" s="60" t="s">
        <v>17</v>
      </c>
      <c r="D11" s="60" t="s">
        <v>126</v>
      </c>
      <c r="E11" s="60" t="s">
        <v>75</v>
      </c>
      <c r="F11" s="60" t="s">
        <v>127</v>
      </c>
      <c r="G11" s="60" t="s">
        <v>128</v>
      </c>
      <c r="H11" s="60" t="s">
        <v>129</v>
      </c>
      <c r="I11" s="60" t="s">
        <v>130</v>
      </c>
      <c r="J11" s="60" t="s">
        <v>147</v>
      </c>
      <c r="L11" s="60" t="s">
        <v>132</v>
      </c>
      <c r="M11" s="60" t="s">
        <v>131</v>
      </c>
      <c r="O11" s="60" t="s">
        <v>134</v>
      </c>
      <c r="P11" s="60" t="s">
        <v>135</v>
      </c>
      <c r="R11" s="60" t="s">
        <v>137</v>
      </c>
      <c r="S11" s="60" t="s">
        <v>138</v>
      </c>
    </row>
    <row r="12" spans="2:19" x14ac:dyDescent="0.25">
      <c r="B12" s="12">
        <f ca="1">ROUNDUP(MONTH(F12)/3,0)</f>
        <v>2</v>
      </c>
      <c r="C12" s="28">
        <f ca="1">YEAR(F12)-YEAR(TODAY())</f>
        <v>0</v>
      </c>
      <c r="D12" s="45">
        <f ca="1">D5</f>
        <v>108.79137500000002</v>
      </c>
      <c r="E12" s="46">
        <f ca="1">(G12*12)/D12</f>
        <v>3.5000000000000003E-2</v>
      </c>
      <c r="F12" s="21">
        <f ca="1">DATE(YEAR(TODAY()),MONTH(TODAY()),1)</f>
        <v>46113</v>
      </c>
      <c r="G12" s="47">
        <f ca="1">I5*D12/12</f>
        <v>0.31730817708333342</v>
      </c>
      <c r="H12" s="29">
        <f ca="1">J5</f>
        <v>677602.58529500011</v>
      </c>
      <c r="I12" s="42">
        <f ca="1">H12/D12</f>
        <v>6228.4586925663916</v>
      </c>
      <c r="J12" s="42">
        <f ca="1">H12/D12</f>
        <v>6228.4586925663916</v>
      </c>
      <c r="L12" s="29">
        <f ca="1">I12*G12</f>
        <v>1976.340873777084</v>
      </c>
      <c r="M12" s="29">
        <f ca="1">J12*G12</f>
        <v>1976.340873777084</v>
      </c>
      <c r="O12" s="29">
        <f ca="1">SUM($L$12:L12)</f>
        <v>1976.340873777084</v>
      </c>
      <c r="P12" s="29">
        <f ca="1">SUM($M$12:M12)</f>
        <v>1976.340873777084</v>
      </c>
      <c r="R12" s="29">
        <f ca="1">I12*D12</f>
        <v>677602.58529500011</v>
      </c>
      <c r="S12" s="29">
        <f ca="1">J12*D12</f>
        <v>677602.58529500011</v>
      </c>
    </row>
    <row r="13" spans="2:19" x14ac:dyDescent="0.25">
      <c r="B13" s="12">
        <f t="shared" ref="B13:B28" ca="1" si="0">ROUNDUP(MONTH(F13)/3,0)</f>
        <v>2</v>
      </c>
      <c r="C13" s="28">
        <f t="shared" ref="C13:C28" ca="1" si="1">YEAR(F13)-YEAR(TODAY())</f>
        <v>0</v>
      </c>
      <c r="D13" s="45">
        <f ca="1">D12*(1+($C$5/12))</f>
        <v>108.97269395833335</v>
      </c>
      <c r="E13" s="46">
        <f t="shared" ref="E13:E28" ca="1" si="2">(G13*12)/D13</f>
        <v>3.4970881863560732E-2</v>
      </c>
      <c r="F13" s="21">
        <f ca="1">EDATE(F12,1)</f>
        <v>46143</v>
      </c>
      <c r="G13" s="47">
        <f ca="1">($H$5/12)*G12+G12</f>
        <v>0.3175726005642362</v>
      </c>
      <c r="H13" s="29">
        <f>IF($F$5="Mensuel",$E$5,0)</f>
        <v>3000</v>
      </c>
      <c r="I13" s="42">
        <f ca="1">I12+H13/D13</f>
        <v>6255.9885249585968</v>
      </c>
      <c r="J13" s="42">
        <f ca="1">J12+(H13+G12*J12)/D13</f>
        <v>6274.1246359602465</v>
      </c>
      <c r="L13" s="29">
        <f ca="1">I13*G13</f>
        <v>1986.7305449711216</v>
      </c>
      <c r="M13" s="29">
        <f ca="1">J13*G13</f>
        <v>1992.4900769060371</v>
      </c>
      <c r="O13" s="29">
        <f ca="1">SUM($L$12:L13)</f>
        <v>3963.0714187482054</v>
      </c>
      <c r="P13" s="29">
        <f ca="1">SUM($M$12:M13)</f>
        <v>3968.830950683121</v>
      </c>
      <c r="R13" s="29">
        <f ca="1">I13*D13</f>
        <v>681731.9229371585</v>
      </c>
      <c r="S13" s="29">
        <f ca="1">J13*D13</f>
        <v>683708.26381093555</v>
      </c>
    </row>
    <row r="14" spans="2:19" x14ac:dyDescent="0.25">
      <c r="B14" s="12">
        <f t="shared" ca="1" si="0"/>
        <v>2</v>
      </c>
      <c r="C14" s="28">
        <f t="shared" ca="1" si="1"/>
        <v>0</v>
      </c>
      <c r="D14" s="45">
        <f t="shared" ref="D14:D28" ca="1" si="3">D13*(1+($C$5/12))</f>
        <v>109.15431511493058</v>
      </c>
      <c r="E14" s="46">
        <f t="shared" ca="1" si="2"/>
        <v>3.4941787951860599E-2</v>
      </c>
      <c r="F14" s="21">
        <f t="shared" ref="F14:F28" ca="1" si="4">EDATE(F13,1)</f>
        <v>46174</v>
      </c>
      <c r="G14" s="47">
        <f t="shared" ref="G14:G28" ca="1" si="5">($H$5/12)*G13+G13</f>
        <v>0.31783724439803973</v>
      </c>
      <c r="H14" s="29">
        <f t="shared" ref="H14:H77" si="6">IF($F$5="Mensuel",$E$5,0)</f>
        <v>3000</v>
      </c>
      <c r="I14" s="42">
        <f t="shared" ref="I14:I28" ca="1" si="7">I13+H14/D14</f>
        <v>6283.4725506413306</v>
      </c>
      <c r="J14" s="42">
        <f ca="1">J13+(H14+G13*J13)/D14</f>
        <v>6319.8625444584068</v>
      </c>
      <c r="L14" s="29">
        <f t="shared" ref="L14:L77" ca="1" si="8">I14*G14</f>
        <v>1997.1216007465628</v>
      </c>
      <c r="M14" s="29">
        <f t="shared" ref="M14:M77" ca="1" si="9">J14*G14</f>
        <v>2008.6876961050439</v>
      </c>
      <c r="O14" s="29">
        <f ca="1">SUM($L$12:L14)</f>
        <v>5960.1930194947681</v>
      </c>
      <c r="P14" s="29">
        <f ca="1">SUM($M$12:M14)</f>
        <v>5977.5186467881649</v>
      </c>
      <c r="R14" s="29">
        <f t="shared" ref="R14:R28" ca="1" si="10">I14*D14</f>
        <v>685868.14280872047</v>
      </c>
      <c r="S14" s="29">
        <f t="shared" ref="S14:S28" ca="1" si="11">J14*D14</f>
        <v>689840.26766085997</v>
      </c>
    </row>
    <row r="15" spans="2:19" x14ac:dyDescent="0.25">
      <c r="B15" s="12">
        <f t="shared" ca="1" si="0"/>
        <v>3</v>
      </c>
      <c r="C15" s="28">
        <f t="shared" ca="1" si="1"/>
        <v>0</v>
      </c>
      <c r="D15" s="45">
        <f t="shared" ca="1" si="3"/>
        <v>109.33623897345547</v>
      </c>
      <c r="E15" s="46">
        <f t="shared" ca="1" si="2"/>
        <v>3.4912718244745906E-2</v>
      </c>
      <c r="F15" s="21">
        <f t="shared" ca="1" si="4"/>
        <v>46204</v>
      </c>
      <c r="G15" s="47">
        <f t="shared" ca="1" si="5"/>
        <v>0.31810210876837142</v>
      </c>
      <c r="H15" s="29">
        <f t="shared" si="6"/>
        <v>3000</v>
      </c>
      <c r="I15" s="42">
        <f t="shared" ca="1" si="7"/>
        <v>6310.9108458320798</v>
      </c>
      <c r="J15" s="42">
        <f t="shared" ref="J15:J28" ca="1" si="12">J14+(H15+G14*J14)/D15</f>
        <v>6365.6724949664085</v>
      </c>
      <c r="L15" s="29">
        <f t="shared" ca="1" si="8"/>
        <v>2007.514048308371</v>
      </c>
      <c r="M15" s="29">
        <f t="shared" ca="1" si="9"/>
        <v>2024.9338443776348</v>
      </c>
      <c r="O15" s="29">
        <f ca="1">SUM($L$12:L15)</f>
        <v>7967.7070678031396</v>
      </c>
      <c r="P15" s="29">
        <f ca="1">SUM($M$12:M15)</f>
        <v>8002.4524911658</v>
      </c>
      <c r="R15" s="29">
        <f t="shared" ca="1" si="10"/>
        <v>690011.25638006825</v>
      </c>
      <c r="S15" s="29">
        <f t="shared" ca="1" si="11"/>
        <v>695998.68913639977</v>
      </c>
    </row>
    <row r="16" spans="2:19" x14ac:dyDescent="0.25">
      <c r="B16" s="12">
        <f t="shared" ca="1" si="0"/>
        <v>3</v>
      </c>
      <c r="C16" s="28">
        <f t="shared" ca="1" si="1"/>
        <v>0</v>
      </c>
      <c r="D16" s="45">
        <f t="shared" ca="1" si="3"/>
        <v>109.51846603841123</v>
      </c>
      <c r="E16" s="46">
        <f t="shared" ca="1" si="2"/>
        <v>3.4883672722079727E-2</v>
      </c>
      <c r="F16" s="21">
        <f t="shared" ca="1" si="4"/>
        <v>46235</v>
      </c>
      <c r="G16" s="47">
        <f t="shared" ca="1" si="5"/>
        <v>0.31836719385901174</v>
      </c>
      <c r="H16" s="29">
        <f t="shared" si="6"/>
        <v>3000</v>
      </c>
      <c r="I16" s="42">
        <f t="shared" ca="1" si="7"/>
        <v>6338.3034866215139</v>
      </c>
      <c r="J16" s="42">
        <f t="shared" ca="1" si="12"/>
        <v>6411.5545642296438</v>
      </c>
      <c r="L16" s="29">
        <f t="shared" ca="1" si="8"/>
        <v>2017.9078948624815</v>
      </c>
      <c r="M16" s="29">
        <f t="shared" ca="1" si="9"/>
        <v>2041.2286348877305</v>
      </c>
      <c r="O16" s="29">
        <f ca="1">SUM($L$12:L16)</f>
        <v>9985.6149626656206</v>
      </c>
      <c r="P16" s="29">
        <f ca="1">SUM($M$12:M16)</f>
        <v>10043.681126053531</v>
      </c>
      <c r="R16" s="29">
        <f t="shared" ca="1" si="10"/>
        <v>694161.27514070179</v>
      </c>
      <c r="S16" s="29">
        <f t="shared" ca="1" si="11"/>
        <v>702183.62079600478</v>
      </c>
    </row>
    <row r="17" spans="2:19" x14ac:dyDescent="0.25">
      <c r="B17" s="12">
        <f t="shared" ca="1" si="0"/>
        <v>3</v>
      </c>
      <c r="C17" s="28">
        <f t="shared" ca="1" si="1"/>
        <v>0</v>
      </c>
      <c r="D17" s="45">
        <f t="shared" ca="1" si="3"/>
        <v>109.70099681514192</v>
      </c>
      <c r="E17" s="46">
        <f t="shared" ca="1" si="2"/>
        <v>3.4854651363741884E-2</v>
      </c>
      <c r="F17" s="21">
        <f t="shared" ca="1" si="4"/>
        <v>46266</v>
      </c>
      <c r="G17" s="47">
        <f t="shared" ca="1" si="5"/>
        <v>0.31863249985389425</v>
      </c>
      <c r="H17" s="29">
        <f t="shared" si="6"/>
        <v>3000</v>
      </c>
      <c r="I17" s="42">
        <f t="shared" ca="1" si="7"/>
        <v>6365.6505489736937</v>
      </c>
      <c r="J17" s="42">
        <f t="shared" ca="1" si="12"/>
        <v>6457.5088288329343</v>
      </c>
      <c r="L17" s="29">
        <f t="shared" ca="1" si="8"/>
        <v>2028.3031476158023</v>
      </c>
      <c r="M17" s="29">
        <f t="shared" ca="1" si="9"/>
        <v>2057.5721809596307</v>
      </c>
      <c r="O17" s="29">
        <f ca="1">SUM($L$12:L17)</f>
        <v>12013.918110281424</v>
      </c>
      <c r="P17" s="29">
        <f ca="1">SUM($M$12:M17)</f>
        <v>12101.253307013161</v>
      </c>
      <c r="R17" s="29">
        <f t="shared" ca="1" si="10"/>
        <v>698318.2105992696</v>
      </c>
      <c r="S17" s="29">
        <f t="shared" ca="1" si="11"/>
        <v>708395.15546555258</v>
      </c>
    </row>
    <row r="18" spans="2:19" x14ac:dyDescent="0.25">
      <c r="B18" s="12">
        <f t="shared" ca="1" si="0"/>
        <v>4</v>
      </c>
      <c r="C18" s="28">
        <f t="shared" ca="1" si="1"/>
        <v>0</v>
      </c>
      <c r="D18" s="45">
        <f t="shared" ca="1" si="3"/>
        <v>109.88383180983382</v>
      </c>
      <c r="E18" s="46">
        <f t="shared" ca="1" si="2"/>
        <v>3.482565414962896E-2</v>
      </c>
      <c r="F18" s="21">
        <f t="shared" ca="1" si="4"/>
        <v>46296</v>
      </c>
      <c r="G18" s="47">
        <f t="shared" ca="1" si="5"/>
        <v>0.31889802693710584</v>
      </c>
      <c r="H18" s="29">
        <f t="shared" si="6"/>
        <v>3000</v>
      </c>
      <c r="I18" s="42">
        <f t="shared" ca="1" si="7"/>
        <v>6392.9521087262865</v>
      </c>
      <c r="J18" s="42">
        <f t="shared" ca="1" si="12"/>
        <v>6503.5353652001077</v>
      </c>
      <c r="L18" s="29">
        <f t="shared" ca="1" si="8"/>
        <v>2038.699813776223</v>
      </c>
      <c r="M18" s="29">
        <f t="shared" ca="1" si="9"/>
        <v>2073.9645960780044</v>
      </c>
      <c r="O18" s="29">
        <f ca="1">SUM($L$12:L18)</f>
        <v>14052.617924057646</v>
      </c>
      <c r="P18" s="29">
        <f ca="1">SUM($M$12:M18)</f>
        <v>14175.217903091165</v>
      </c>
      <c r="R18" s="29">
        <f t="shared" ca="1" si="10"/>
        <v>702482.07428360172</v>
      </c>
      <c r="S18" s="29">
        <f t="shared" ca="1" si="11"/>
        <v>714633.38623895484</v>
      </c>
    </row>
    <row r="19" spans="2:19" x14ac:dyDescent="0.25">
      <c r="B19" s="12">
        <f t="shared" ca="1" si="0"/>
        <v>4</v>
      </c>
      <c r="C19" s="28">
        <f t="shared" ca="1" si="1"/>
        <v>0</v>
      </c>
      <c r="D19" s="45">
        <f t="shared" ca="1" si="3"/>
        <v>110.06697152951688</v>
      </c>
      <c r="E19" s="46">
        <f t="shared" ca="1" si="2"/>
        <v>3.4796681059654229E-2</v>
      </c>
      <c r="F19" s="21">
        <f t="shared" ca="1" si="4"/>
        <v>46327</v>
      </c>
      <c r="G19" s="47">
        <f t="shared" ca="1" si="5"/>
        <v>0.31916377529288675</v>
      </c>
      <c r="H19" s="29">
        <f t="shared" si="6"/>
        <v>3000</v>
      </c>
      <c r="I19" s="42">
        <f t="shared" ca="1" si="7"/>
        <v>6420.2082415907716</v>
      </c>
      <c r="J19" s="42">
        <f t="shared" ca="1" si="12"/>
        <v>6549.6342495935723</v>
      </c>
      <c r="L19" s="29">
        <f t="shared" ca="1" si="8"/>
        <v>2049.0979005526165</v>
      </c>
      <c r="M19" s="29">
        <f t="shared" ca="1" si="9"/>
        <v>2090.4059938878777</v>
      </c>
      <c r="O19" s="29">
        <f ca="1">SUM($L$12:L19)</f>
        <v>16101.715824610263</v>
      </c>
      <c r="P19" s="29">
        <f ca="1">SUM($M$12:M19)</f>
        <v>16265.623896979043</v>
      </c>
      <c r="R19" s="29">
        <f t="shared" ca="1" si="10"/>
        <v>706652.87774074113</v>
      </c>
      <c r="S19" s="29">
        <f t="shared" ca="1" si="11"/>
        <v>720898.40647876437</v>
      </c>
    </row>
    <row r="20" spans="2:19" x14ac:dyDescent="0.25">
      <c r="B20" s="12">
        <f t="shared" ca="1" si="0"/>
        <v>4</v>
      </c>
      <c r="C20" s="28">
        <f t="shared" ca="1" si="1"/>
        <v>0</v>
      </c>
      <c r="D20" s="45">
        <f t="shared" ca="1" si="3"/>
        <v>110.25041648206607</v>
      </c>
      <c r="E20" s="46">
        <f t="shared" ca="1" si="2"/>
        <v>3.4767732073747691E-2</v>
      </c>
      <c r="F20" s="21">
        <f t="shared" ca="1" si="4"/>
        <v>46357</v>
      </c>
      <c r="G20" s="47">
        <f t="shared" ca="1" si="5"/>
        <v>0.31942974510563082</v>
      </c>
      <c r="H20" s="29">
        <f t="shared" si="6"/>
        <v>3000</v>
      </c>
      <c r="I20" s="42">
        <f t="shared" ca="1" si="7"/>
        <v>6447.4190231526536</v>
      </c>
      <c r="J20" s="42">
        <f t="shared" ca="1" si="12"/>
        <v>6595.8055581138979</v>
      </c>
      <c r="L20" s="29">
        <f t="shared" ca="1" si="8"/>
        <v>2059.4974151548472</v>
      </c>
      <c r="M20" s="29">
        <f t="shared" ca="1" si="9"/>
        <v>2106.8964881946254</v>
      </c>
      <c r="O20" s="29">
        <f ca="1">SUM($L$12:L20)</f>
        <v>18161.213239765111</v>
      </c>
      <c r="P20" s="29">
        <f ca="1">SUM($M$12:M20)</f>
        <v>18372.52038517367</v>
      </c>
      <c r="R20" s="29">
        <f t="shared" ca="1" si="10"/>
        <v>710830.63253697567</v>
      </c>
      <c r="S20" s="29">
        <f t="shared" ca="1" si="11"/>
        <v>727190.30981678353</v>
      </c>
    </row>
    <row r="21" spans="2:19" x14ac:dyDescent="0.25">
      <c r="B21" s="12">
        <f t="shared" ca="1" si="0"/>
        <v>1</v>
      </c>
      <c r="C21" s="28">
        <f t="shared" ca="1" si="1"/>
        <v>1</v>
      </c>
      <c r="D21" s="45">
        <f t="shared" ca="1" si="3"/>
        <v>110.43416717620285</v>
      </c>
      <c r="E21" s="46">
        <f t="shared" ca="1" si="2"/>
        <v>3.4738807171856061E-2</v>
      </c>
      <c r="F21" s="21">
        <f t="shared" ca="1" si="4"/>
        <v>46388</v>
      </c>
      <c r="G21" s="47">
        <f t="shared" ca="1" si="5"/>
        <v>0.31969593655988554</v>
      </c>
      <c r="H21" s="29">
        <f t="shared" si="6"/>
        <v>3000</v>
      </c>
      <c r="I21" s="42">
        <f t="shared" ca="1" si="7"/>
        <v>6474.58452887167</v>
      </c>
      <c r="J21" s="42">
        <f t="shared" ca="1" si="12"/>
        <v>6642.0493666993907</v>
      </c>
      <c r="L21" s="29">
        <f t="shared" ca="1" si="8"/>
        <v>2069.8983647937739</v>
      </c>
      <c r="M21" s="29">
        <f t="shared" ca="1" si="9"/>
        <v>2123.4361929639563</v>
      </c>
      <c r="O21" s="29">
        <f ca="1">SUM($L$12:L21)</f>
        <v>20231.111604558886</v>
      </c>
      <c r="P21" s="29">
        <f ca="1">SUM($M$12:M21)</f>
        <v>20495.956578137626</v>
      </c>
      <c r="R21" s="29">
        <f t="shared" ca="1" si="10"/>
        <v>715015.35025787062</v>
      </c>
      <c r="S21" s="29">
        <f t="shared" ca="1" si="11"/>
        <v>733509.19015467272</v>
      </c>
    </row>
    <row r="22" spans="2:19" x14ac:dyDescent="0.25">
      <c r="B22" s="12">
        <f t="shared" ca="1" si="0"/>
        <v>1</v>
      </c>
      <c r="C22" s="28">
        <f t="shared" ca="1" si="1"/>
        <v>1</v>
      </c>
      <c r="D22" s="45">
        <f t="shared" ca="1" si="3"/>
        <v>110.61822412149652</v>
      </c>
      <c r="E22" s="46">
        <f t="shared" ca="1" si="2"/>
        <v>3.4709906333942699E-2</v>
      </c>
      <c r="F22" s="21">
        <f t="shared" ca="1" si="4"/>
        <v>46419</v>
      </c>
      <c r="G22" s="47">
        <f t="shared" ca="1" si="5"/>
        <v>0.3199623498403521</v>
      </c>
      <c r="H22" s="29">
        <f t="shared" si="6"/>
        <v>3000</v>
      </c>
      <c r="I22" s="42">
        <f t="shared" ca="1" si="7"/>
        <v>6501.7048340820029</v>
      </c>
      <c r="J22" s="42">
        <f t="shared" ca="1" si="12"/>
        <v>6688.3657511256733</v>
      </c>
      <c r="L22" s="29">
        <f t="shared" ca="1" si="8"/>
        <v>2080.3007566812544</v>
      </c>
      <c r="M22" s="29">
        <f t="shared" ca="1" si="9"/>
        <v>2140.0252223219022</v>
      </c>
      <c r="O22" s="29">
        <f ca="1">SUM($L$12:L22)</f>
        <v>22311.412361240142</v>
      </c>
      <c r="P22" s="29">
        <f ca="1">SUM($M$12:M22)</f>
        <v>22635.981800459529</v>
      </c>
      <c r="R22" s="29">
        <f t="shared" ca="1" si="10"/>
        <v>719207.04250830039</v>
      </c>
      <c r="S22" s="29">
        <f t="shared" ca="1" si="11"/>
        <v>739855.14166456123</v>
      </c>
    </row>
    <row r="23" spans="2:19" x14ac:dyDescent="0.25">
      <c r="B23" s="12">
        <f t="shared" ca="1" si="0"/>
        <v>1</v>
      </c>
      <c r="C23" s="28">
        <f t="shared" ca="1" si="1"/>
        <v>1</v>
      </c>
      <c r="D23" s="45">
        <f t="shared" ca="1" si="3"/>
        <v>110.80258782836569</v>
      </c>
      <c r="E23" s="46">
        <f t="shared" ca="1" si="2"/>
        <v>3.4681029539987668E-2</v>
      </c>
      <c r="F23" s="21">
        <f t="shared" ca="1" si="4"/>
        <v>46447</v>
      </c>
      <c r="G23" s="47">
        <f t="shared" ca="1" si="5"/>
        <v>0.32022898513188575</v>
      </c>
      <c r="H23" s="29">
        <f t="shared" si="6"/>
        <v>3000</v>
      </c>
      <c r="I23" s="42">
        <f t="shared" ca="1" si="7"/>
        <v>6528.7800139924848</v>
      </c>
      <c r="J23" s="42">
        <f t="shared" ca="1" si="12"/>
        <v>6734.7547870052667</v>
      </c>
      <c r="L23" s="29">
        <f t="shared" ca="1" si="8"/>
        <v>2090.7045980301523</v>
      </c>
      <c r="M23" s="29">
        <f t="shared" ca="1" si="9"/>
        <v>2156.6636905548057</v>
      </c>
      <c r="O23" s="29">
        <f ca="1">SUM($L$12:L23)</f>
        <v>24402.116959270294</v>
      </c>
      <c r="P23" s="29">
        <f ca="1">SUM($M$12:M23)</f>
        <v>24792.645491014337</v>
      </c>
      <c r="R23" s="29">
        <f t="shared" ca="1" si="10"/>
        <v>723405.72091248084</v>
      </c>
      <c r="S23" s="29">
        <f t="shared" ca="1" si="11"/>
        <v>746228.25878965727</v>
      </c>
    </row>
    <row r="24" spans="2:19" x14ac:dyDescent="0.25">
      <c r="B24" s="12">
        <f t="shared" ca="1" si="0"/>
        <v>2</v>
      </c>
      <c r="C24" s="28">
        <f t="shared" ca="1" si="1"/>
        <v>1</v>
      </c>
      <c r="D24" s="45">
        <f t="shared" ca="1" si="3"/>
        <v>110.98725880807963</v>
      </c>
      <c r="E24" s="46">
        <f t="shared" ca="1" si="2"/>
        <v>3.4652176769987678E-2</v>
      </c>
      <c r="F24" s="21">
        <f t="shared" ca="1" si="4"/>
        <v>46478</v>
      </c>
      <c r="G24" s="47">
        <f t="shared" ca="1" si="5"/>
        <v>0.32049584261949565</v>
      </c>
      <c r="H24" s="29">
        <f t="shared" si="6"/>
        <v>3000</v>
      </c>
      <c r="I24" s="42">
        <f t="shared" ca="1" si="7"/>
        <v>6555.8101436868101</v>
      </c>
      <c r="J24" s="42">
        <f t="shared" ca="1" si="12"/>
        <v>6781.2165497871711</v>
      </c>
      <c r="L24" s="29">
        <f t="shared" ca="1" si="8"/>
        <v>2101.1098960543409</v>
      </c>
      <c r="M24" s="29">
        <f t="shared" ca="1" si="9"/>
        <v>2173.3517121093087</v>
      </c>
      <c r="O24" s="29">
        <f ca="1">SUM($L$12:L24)</f>
        <v>26503.226855324636</v>
      </c>
      <c r="P24" s="29">
        <f ca="1">SUM($M$12:M24)</f>
        <v>26965.997203123647</v>
      </c>
      <c r="R24" s="29">
        <f t="shared" ca="1" si="10"/>
        <v>727611.39711400168</v>
      </c>
      <c r="S24" s="29">
        <f t="shared" ca="1" si="11"/>
        <v>752628.63624486153</v>
      </c>
    </row>
    <row r="25" spans="2:19" x14ac:dyDescent="0.25">
      <c r="B25" s="12">
        <f t="shared" ca="1" si="0"/>
        <v>2</v>
      </c>
      <c r="C25" s="28">
        <f t="shared" ca="1" si="1"/>
        <v>1</v>
      </c>
      <c r="D25" s="45">
        <f t="shared" ca="1" si="3"/>
        <v>111.17223757275977</v>
      </c>
      <c r="E25" s="46">
        <f t="shared" ca="1" si="2"/>
        <v>3.4623348003956084E-2</v>
      </c>
      <c r="F25" s="21">
        <f t="shared" ca="1" si="4"/>
        <v>46508</v>
      </c>
      <c r="G25" s="47">
        <f t="shared" ca="1" si="5"/>
        <v>0.32076292248834526</v>
      </c>
      <c r="H25" s="29">
        <f t="shared" si="6"/>
        <v>3000</v>
      </c>
      <c r="I25" s="42">
        <f t="shared" ca="1" si="7"/>
        <v>6582.7952981237404</v>
      </c>
      <c r="J25" s="42">
        <f t="shared" ca="1" si="12"/>
        <v>6827.7511147564464</v>
      </c>
      <c r="L25" s="29">
        <f t="shared" ca="1" si="8"/>
        <v>2111.5166579687088</v>
      </c>
      <c r="M25" s="29">
        <f t="shared" ca="1" si="9"/>
        <v>2190.089401592335</v>
      </c>
      <c r="O25" s="29">
        <f ca="1">SUM($L$12:L25)</f>
        <v>28614.743513293346</v>
      </c>
      <c r="P25" s="29">
        <f ca="1">SUM($M$12:M25)</f>
        <v>29156.08660471598</v>
      </c>
      <c r="R25" s="29">
        <f t="shared" ca="1" si="10"/>
        <v>731824.08277585846</v>
      </c>
      <c r="S25" s="29">
        <f t="shared" ca="1" si="11"/>
        <v>759056.36901737901</v>
      </c>
    </row>
    <row r="26" spans="2:19" x14ac:dyDescent="0.25">
      <c r="B26" s="12">
        <f t="shared" ca="1" si="0"/>
        <v>2</v>
      </c>
      <c r="C26" s="28">
        <f t="shared" ca="1" si="1"/>
        <v>1</v>
      </c>
      <c r="D26" s="45">
        <f t="shared" ca="1" si="3"/>
        <v>111.35752463538104</v>
      </c>
      <c r="E26" s="46">
        <f t="shared" ca="1" si="2"/>
        <v>3.459454322192284E-2</v>
      </c>
      <c r="F26" s="21">
        <f t="shared" ca="1" si="4"/>
        <v>46539</v>
      </c>
      <c r="G26" s="47">
        <f t="shared" ca="1" si="5"/>
        <v>0.32103022492375222</v>
      </c>
      <c r="H26" s="29">
        <f t="shared" si="6"/>
        <v>3000</v>
      </c>
      <c r="I26" s="42">
        <f t="shared" ca="1" si="7"/>
        <v>6609.7355521373147</v>
      </c>
      <c r="J26" s="42">
        <f t="shared" ca="1" si="12"/>
        <v>6874.3585570337982</v>
      </c>
      <c r="L26" s="29">
        <f t="shared" ca="1" si="8"/>
        <v>2121.9248909891635</v>
      </c>
      <c r="M26" s="29">
        <f t="shared" ca="1" si="9"/>
        <v>2206.8768737710811</v>
      </c>
      <c r="O26" s="29">
        <f ca="1">SUM($L$12:L26)</f>
        <v>30736.668404282511</v>
      </c>
      <c r="P26" s="29">
        <f ca="1">SUM($M$12:M26)</f>
        <v>31362.963478487061</v>
      </c>
      <c r="R26" s="29">
        <f t="shared" ca="1" si="10"/>
        <v>736043.78958048497</v>
      </c>
      <c r="S26" s="29">
        <f t="shared" ca="1" si="11"/>
        <v>765511.55236733367</v>
      </c>
    </row>
    <row r="27" spans="2:19" x14ac:dyDescent="0.25">
      <c r="B27" s="12">
        <f t="shared" ca="1" si="0"/>
        <v>3</v>
      </c>
      <c r="C27" s="28">
        <f t="shared" ca="1" si="1"/>
        <v>1</v>
      </c>
      <c r="D27" s="45">
        <f t="shared" ca="1" si="3"/>
        <v>111.54312050977335</v>
      </c>
      <c r="E27" s="46">
        <f t="shared" ca="1" si="2"/>
        <v>3.4565762403934545E-2</v>
      </c>
      <c r="F27" s="21">
        <f t="shared" ca="1" si="4"/>
        <v>46569</v>
      </c>
      <c r="G27" s="47">
        <f t="shared" ca="1" si="5"/>
        <v>0.32129775011118866</v>
      </c>
      <c r="H27" s="29">
        <f t="shared" si="6"/>
        <v>3000</v>
      </c>
      <c r="I27" s="42">
        <f t="shared" ca="1" si="7"/>
        <v>6636.6309804370558</v>
      </c>
      <c r="J27" s="42">
        <f t="shared" ca="1" si="12"/>
        <v>6921.0389515751622</v>
      </c>
      <c r="L27" s="29">
        <f t="shared" ca="1" si="8"/>
        <v>2132.334602332638</v>
      </c>
      <c r="M27" s="29">
        <f t="shared" ca="1" si="9"/>
        <v>2223.7142435729997</v>
      </c>
      <c r="O27" s="29">
        <f ca="1">SUM($L$12:L27)</f>
        <v>32869.003006615152</v>
      </c>
      <c r="P27" s="29">
        <f ca="1">SUM($M$12:M27)</f>
        <v>33586.677722060063</v>
      </c>
      <c r="R27" s="29">
        <f t="shared" ca="1" si="10"/>
        <v>740270.52922978578</v>
      </c>
      <c r="S27" s="29">
        <f t="shared" ca="1" si="11"/>
        <v>771994.28182838368</v>
      </c>
    </row>
    <row r="28" spans="2:19" x14ac:dyDescent="0.25">
      <c r="B28" s="12">
        <f t="shared" ca="1" si="0"/>
        <v>3</v>
      </c>
      <c r="C28" s="28">
        <f t="shared" ca="1" si="1"/>
        <v>1</v>
      </c>
      <c r="D28" s="45">
        <f t="shared" ca="1" si="3"/>
        <v>111.72902571062298</v>
      </c>
      <c r="E28" s="46">
        <f t="shared" ca="1" si="2"/>
        <v>3.4537005530054399E-2</v>
      </c>
      <c r="F28" s="21">
        <f t="shared" ca="1" si="4"/>
        <v>46600</v>
      </c>
      <c r="G28" s="47">
        <f t="shared" ca="1" si="5"/>
        <v>0.32156549823628133</v>
      </c>
      <c r="H28" s="29">
        <f t="shared" si="6"/>
        <v>3000</v>
      </c>
      <c r="I28" s="42">
        <f t="shared" ca="1" si="7"/>
        <v>6663.4816576081785</v>
      </c>
      <c r="J28" s="42">
        <f t="shared" ca="1" si="12"/>
        <v>6967.7923731712872</v>
      </c>
      <c r="L28" s="29">
        <f t="shared" ca="1" si="8"/>
        <v>2142.7457992170957</v>
      </c>
      <c r="M28" s="29">
        <f t="shared" ca="1" si="9"/>
        <v>2240.6016260857859</v>
      </c>
      <c r="O28" s="29">
        <f ca="1">SUM($L$12:L28)</f>
        <v>35011.748805832249</v>
      </c>
      <c r="P28" s="29">
        <f ca="1">SUM($M$12:M28)</f>
        <v>35827.27934814585</v>
      </c>
      <c r="R28" s="29">
        <f t="shared" ca="1" si="10"/>
        <v>744504.31344516878</v>
      </c>
      <c r="S28" s="29">
        <f t="shared" ca="1" si="11"/>
        <v>778504.65320833749</v>
      </c>
    </row>
    <row r="29" spans="2:19" x14ac:dyDescent="0.25">
      <c r="B29" s="12">
        <f t="shared" ref="B29:B92" ca="1" si="13">ROUNDUP(MONTH(F29)/3,0)</f>
        <v>3</v>
      </c>
      <c r="C29" s="28">
        <f t="shared" ref="C29:C92" ca="1" si="14">YEAR(F29)-YEAR(TODAY())</f>
        <v>1</v>
      </c>
      <c r="D29" s="45">
        <f t="shared" ref="D29:D92" ca="1" si="15">D28*(1+($C$5/12))</f>
        <v>111.91524075347402</v>
      </c>
      <c r="E29" s="46">
        <f t="shared" ref="E29:E92" ca="1" si="16">(G29*12)/D29</f>
        <v>3.4508272580362175E-2</v>
      </c>
      <c r="F29" s="21">
        <f t="shared" ref="F29:F92" ca="1" si="17">EDATE(F28,1)</f>
        <v>46631</v>
      </c>
      <c r="G29" s="47">
        <f t="shared" ref="G29:G92" ca="1" si="18">($H$5/12)*G28+G28</f>
        <v>0.32183346948481156</v>
      </c>
      <c r="H29" s="29">
        <f t="shared" si="6"/>
        <v>3000</v>
      </c>
      <c r="I29" s="42">
        <f t="shared" ref="I29:I92" ca="1" si="19">I28+H29/D29</f>
        <v>6690.2876581117953</v>
      </c>
      <c r="J29" s="42">
        <f t="shared" ref="J29:J92" ca="1" si="20">J28+(H29+G28*J28)/D29</f>
        <v>7014.618896447324</v>
      </c>
      <c r="L29" s="29">
        <f t="shared" ca="1" si="8"/>
        <v>2153.1584888615339</v>
      </c>
      <c r="M29" s="29">
        <f t="shared" ca="1" si="9"/>
        <v>2257.5391365573623</v>
      </c>
      <c r="O29" s="29">
        <f ca="1">SUM($L$12:L29)</f>
        <v>37164.907294693781</v>
      </c>
      <c r="P29" s="29">
        <f ca="1">SUM($M$12:M29)</f>
        <v>38084.81848470321</v>
      </c>
      <c r="R29" s="29">
        <f t="shared" ref="R29:R92" ca="1" si="21">I29*D29</f>
        <v>748745.1539675775</v>
      </c>
      <c r="S29" s="29">
        <f t="shared" ref="S29:S92" ca="1" si="22">J29*D29</f>
        <v>785042.76258977049</v>
      </c>
    </row>
    <row r="30" spans="2:19" x14ac:dyDescent="0.25">
      <c r="B30" s="12">
        <f t="shared" ca="1" si="13"/>
        <v>4</v>
      </c>
      <c r="C30" s="28">
        <f t="shared" ca="1" si="14"/>
        <v>1</v>
      </c>
      <c r="D30" s="45">
        <f t="shared" ca="1" si="15"/>
        <v>112.10176615472982</v>
      </c>
      <c r="E30" s="46">
        <f t="shared" ca="1" si="16"/>
        <v>3.4479563534954218E-2</v>
      </c>
      <c r="F30" s="21">
        <f t="shared" ca="1" si="17"/>
        <v>46661</v>
      </c>
      <c r="G30" s="47">
        <f t="shared" ca="1" si="18"/>
        <v>0.32210166404271556</v>
      </c>
      <c r="H30" s="29">
        <f t="shared" si="6"/>
        <v>3000</v>
      </c>
      <c r="I30" s="42">
        <f t="shared" ca="1" si="19"/>
        <v>6717.0490562851228</v>
      </c>
      <c r="J30" s="42">
        <f t="shared" ca="1" si="20"/>
        <v>7061.5185958624124</v>
      </c>
      <c r="L30" s="29">
        <f t="shared" ca="1" si="8"/>
        <v>2163.5726784859903</v>
      </c>
      <c r="M30" s="29">
        <f t="shared" ca="1" si="9"/>
        <v>2274.5268903958631</v>
      </c>
      <c r="O30" s="29">
        <f ca="1">SUM($L$12:L30)</f>
        <v>39328.479973179768</v>
      </c>
      <c r="P30" s="29">
        <f ca="1">SUM($M$12:M30)</f>
        <v>40359.345375099074</v>
      </c>
      <c r="R30" s="29">
        <f t="shared" ca="1" si="21"/>
        <v>752993.06255752337</v>
      </c>
      <c r="S30" s="29">
        <f t="shared" ca="1" si="22"/>
        <v>791608.7063306442</v>
      </c>
    </row>
    <row r="31" spans="2:19" x14ac:dyDescent="0.25">
      <c r="B31" s="12">
        <f t="shared" ca="1" si="13"/>
        <v>4</v>
      </c>
      <c r="C31" s="28">
        <f t="shared" ca="1" si="14"/>
        <v>1</v>
      </c>
      <c r="D31" s="45">
        <f t="shared" ca="1" si="15"/>
        <v>112.28860243165437</v>
      </c>
      <c r="E31" s="46">
        <f t="shared" ca="1" si="16"/>
        <v>3.4450878373943436E-2</v>
      </c>
      <c r="F31" s="21">
        <f t="shared" ca="1" si="17"/>
        <v>46692</v>
      </c>
      <c r="G31" s="47">
        <f t="shared" ca="1" si="18"/>
        <v>0.32237008209608448</v>
      </c>
      <c r="H31" s="29">
        <f t="shared" si="6"/>
        <v>3000</v>
      </c>
      <c r="I31" s="42">
        <f t="shared" ca="1" si="19"/>
        <v>6743.7659263416899</v>
      </c>
      <c r="J31" s="42">
        <f t="shared" ca="1" si="20"/>
        <v>7108.4915457092702</v>
      </c>
      <c r="L31" s="29">
        <f t="shared" ca="1" si="8"/>
        <v>2173.9883753115478</v>
      </c>
      <c r="M31" s="29">
        <f t="shared" ca="1" si="9"/>
        <v>2291.56500316962</v>
      </c>
      <c r="O31" s="29">
        <f ca="1">SUM($L$12:L31)</f>
        <v>41502.468348491318</v>
      </c>
      <c r="P31" s="29">
        <f ca="1">SUM($M$12:M31)</f>
        <v>42650.910378268694</v>
      </c>
      <c r="R31" s="29">
        <f t="shared" ca="1" si="21"/>
        <v>757248.05099511938</v>
      </c>
      <c r="S31" s="29">
        <f t="shared" ca="1" si="22"/>
        <v>798202.58106492448</v>
      </c>
    </row>
    <row r="32" spans="2:19" x14ac:dyDescent="0.25">
      <c r="B32" s="12">
        <f t="shared" ca="1" si="13"/>
        <v>4</v>
      </c>
      <c r="C32" s="28">
        <f t="shared" ca="1" si="14"/>
        <v>1</v>
      </c>
      <c r="D32" s="45">
        <f t="shared" ca="1" si="15"/>
        <v>112.47575010237379</v>
      </c>
      <c r="E32" s="46">
        <f t="shared" ca="1" si="16"/>
        <v>3.4422217077459287E-2</v>
      </c>
      <c r="F32" s="21">
        <f t="shared" ca="1" si="17"/>
        <v>46722</v>
      </c>
      <c r="G32" s="47">
        <f t="shared" ca="1" si="18"/>
        <v>0.32263872383116454</v>
      </c>
      <c r="H32" s="29">
        <f t="shared" si="6"/>
        <v>3000</v>
      </c>
      <c r="I32" s="42">
        <f t="shared" ca="1" si="19"/>
        <v>6770.4383423715399</v>
      </c>
      <c r="J32" s="42">
        <f t="shared" ca="1" si="20"/>
        <v>7155.5378201137828</v>
      </c>
      <c r="L32" s="29">
        <f t="shared" ca="1" si="8"/>
        <v>2184.4055865603386</v>
      </c>
      <c r="M32" s="29">
        <f t="shared" ca="1" si="9"/>
        <v>2308.653590607144</v>
      </c>
      <c r="O32" s="29">
        <f ca="1">SUM($L$12:L32)</f>
        <v>43686.873935051655</v>
      </c>
      <c r="P32" s="29">
        <f ca="1">SUM($M$12:M32)</f>
        <v>44959.563968875838</v>
      </c>
      <c r="R32" s="29">
        <f t="shared" ca="1" si="21"/>
        <v>761510.13108011114</v>
      </c>
      <c r="S32" s="29">
        <f t="shared" ca="1" si="22"/>
        <v>804824.48370320234</v>
      </c>
    </row>
    <row r="33" spans="2:19" x14ac:dyDescent="0.25">
      <c r="B33" s="12">
        <f t="shared" ca="1" si="13"/>
        <v>1</v>
      </c>
      <c r="C33" s="28">
        <f t="shared" ca="1" si="14"/>
        <v>2</v>
      </c>
      <c r="D33" s="45">
        <f t="shared" ca="1" si="15"/>
        <v>112.66320968587776</v>
      </c>
      <c r="E33" s="46">
        <f t="shared" ca="1" si="16"/>
        <v>3.4393579625647749E-2</v>
      </c>
      <c r="F33" s="21">
        <f t="shared" ca="1" si="17"/>
        <v>46753</v>
      </c>
      <c r="G33" s="47">
        <f t="shared" ca="1" si="18"/>
        <v>0.32290758943435716</v>
      </c>
      <c r="H33" s="29">
        <f t="shared" si="6"/>
        <v>3000</v>
      </c>
      <c r="I33" s="42">
        <f t="shared" ca="1" si="19"/>
        <v>6797.0663783414402</v>
      </c>
      <c r="J33" s="42">
        <f t="shared" ca="1" si="20"/>
        <v>7202.6574930345923</v>
      </c>
      <c r="L33" s="29">
        <f t="shared" ca="1" si="8"/>
        <v>2194.8243194555507</v>
      </c>
      <c r="M33" s="29">
        <f t="shared" ca="1" si="9"/>
        <v>2325.7927685971104</v>
      </c>
      <c r="O33" s="29">
        <f ca="1">SUM($L$12:L33)</f>
        <v>45881.69825450721</v>
      </c>
      <c r="P33" s="29">
        <f ca="1">SUM($M$12:M33)</f>
        <v>47285.356737472946</v>
      </c>
      <c r="R33" s="29">
        <f t="shared" ca="1" si="21"/>
        <v>765779.31463191146</v>
      </c>
      <c r="S33" s="29">
        <f t="shared" ca="1" si="22"/>
        <v>811474.51143331488</v>
      </c>
    </row>
    <row r="34" spans="2:19" x14ac:dyDescent="0.25">
      <c r="B34" s="12">
        <f t="shared" ca="1" si="13"/>
        <v>1</v>
      </c>
      <c r="C34" s="28">
        <f t="shared" ca="1" si="14"/>
        <v>2</v>
      </c>
      <c r="D34" s="45">
        <f t="shared" ca="1" si="15"/>
        <v>112.85098170202089</v>
      </c>
      <c r="E34" s="46">
        <f t="shared" ca="1" si="16"/>
        <v>3.4364965998671344E-2</v>
      </c>
      <c r="F34" s="21">
        <f t="shared" ca="1" si="17"/>
        <v>46784</v>
      </c>
      <c r="G34" s="47">
        <f t="shared" ca="1" si="18"/>
        <v>0.32317667909221914</v>
      </c>
      <c r="H34" s="29">
        <f t="shared" si="6"/>
        <v>3000</v>
      </c>
      <c r="I34" s="42">
        <f t="shared" ca="1" si="19"/>
        <v>6823.6501080950848</v>
      </c>
      <c r="J34" s="42">
        <f t="shared" ca="1" si="20"/>
        <v>7249.850638262692</v>
      </c>
      <c r="L34" s="29">
        <f t="shared" ca="1" si="8"/>
        <v>2205.2445812214319</v>
      </c>
      <c r="M34" s="29">
        <f t="shared" ca="1" si="9"/>
        <v>2342.9826531883423</v>
      </c>
      <c r="O34" s="29">
        <f ca="1">SUM($L$12:L34)</f>
        <v>48086.942835728638</v>
      </c>
      <c r="P34" s="29">
        <f ca="1">SUM($M$12:M34)</f>
        <v>49628.339390661291</v>
      </c>
      <c r="R34" s="29">
        <f t="shared" ca="1" si="21"/>
        <v>770055.61348963121</v>
      </c>
      <c r="S34" s="29">
        <f t="shared" ca="1" si="22"/>
        <v>818152.76172096748</v>
      </c>
    </row>
    <row r="35" spans="2:19" x14ac:dyDescent="0.25">
      <c r="B35" s="12">
        <f t="shared" ca="1" si="13"/>
        <v>1</v>
      </c>
      <c r="C35" s="28">
        <f t="shared" ca="1" si="14"/>
        <v>2</v>
      </c>
      <c r="D35" s="45">
        <f t="shared" ca="1" si="15"/>
        <v>113.03906667152427</v>
      </c>
      <c r="E35" s="46">
        <f t="shared" ca="1" si="16"/>
        <v>3.4336376176709052E-2</v>
      </c>
      <c r="F35" s="21">
        <f t="shared" ca="1" si="17"/>
        <v>46813</v>
      </c>
      <c r="G35" s="47">
        <f t="shared" ca="1" si="18"/>
        <v>0.32344599299146265</v>
      </c>
      <c r="H35" s="29">
        <f t="shared" si="6"/>
        <v>3000</v>
      </c>
      <c r="I35" s="42">
        <f t="shared" ca="1" si="19"/>
        <v>6850.1896053532992</v>
      </c>
      <c r="J35" s="42">
        <f t="shared" ca="1" si="20"/>
        <v>7297.1173294210175</v>
      </c>
      <c r="L35" s="29">
        <f t="shared" ca="1" si="8"/>
        <v>2215.6663790832936</v>
      </c>
      <c r="M35" s="29">
        <f t="shared" ca="1" si="9"/>
        <v>2360.2233605897909</v>
      </c>
      <c r="O35" s="29">
        <f ca="1">SUM($L$12:L35)</f>
        <v>50302.609214811935</v>
      </c>
      <c r="P35" s="29">
        <f ca="1">SUM($M$12:M35)</f>
        <v>51988.562751251084</v>
      </c>
      <c r="R35" s="29">
        <f t="shared" ca="1" si="21"/>
        <v>774339.03951211413</v>
      </c>
      <c r="S35" s="29">
        <f t="shared" ca="1" si="22"/>
        <v>824859.33231035748</v>
      </c>
    </row>
    <row r="36" spans="2:19" x14ac:dyDescent="0.25">
      <c r="B36" s="12">
        <f t="shared" ca="1" si="13"/>
        <v>2</v>
      </c>
      <c r="C36" s="28">
        <f t="shared" ca="1" si="14"/>
        <v>2</v>
      </c>
      <c r="D36" s="45">
        <f t="shared" ca="1" si="15"/>
        <v>113.22746511597681</v>
      </c>
      <c r="E36" s="46">
        <f t="shared" ca="1" si="16"/>
        <v>3.4307810139956381E-2</v>
      </c>
      <c r="F36" s="21">
        <f t="shared" ca="1" si="17"/>
        <v>46844</v>
      </c>
      <c r="G36" s="47">
        <f t="shared" ca="1" si="18"/>
        <v>0.32371553131895553</v>
      </c>
      <c r="H36" s="29">
        <f t="shared" si="6"/>
        <v>3000</v>
      </c>
      <c r="I36" s="42">
        <f t="shared" ca="1" si="19"/>
        <v>6876.6849437142446</v>
      </c>
      <c r="J36" s="42">
        <f t="shared" ca="1" si="20"/>
        <v>7344.4576399640418</v>
      </c>
      <c r="L36" s="29">
        <f t="shared" ca="1" si="8"/>
        <v>2226.0897202675183</v>
      </c>
      <c r="M36" s="29">
        <f t="shared" ca="1" si="9"/>
        <v>2377.515007170522</v>
      </c>
      <c r="O36" s="29">
        <f ca="1">SUM($L$12:L36)</f>
        <v>52528.698935079454</v>
      </c>
      <c r="P36" s="29">
        <f ca="1">SUM($M$12:M36)</f>
        <v>54366.077758421605</v>
      </c>
      <c r="R36" s="29">
        <f t="shared" ca="1" si="21"/>
        <v>778629.60457796755</v>
      </c>
      <c r="S36" s="29">
        <f t="shared" ca="1" si="22"/>
        <v>831594.32122479798</v>
      </c>
    </row>
    <row r="37" spans="2:19" x14ac:dyDescent="0.25">
      <c r="B37" s="12">
        <f t="shared" ca="1" si="13"/>
        <v>2</v>
      </c>
      <c r="C37" s="28">
        <f t="shared" ca="1" si="14"/>
        <v>2</v>
      </c>
      <c r="D37" s="45">
        <f t="shared" ca="1" si="15"/>
        <v>113.41617755783678</v>
      </c>
      <c r="E37" s="46">
        <f t="shared" ca="1" si="16"/>
        <v>3.4279267868625299E-2</v>
      </c>
      <c r="F37" s="21">
        <f t="shared" ca="1" si="17"/>
        <v>46874</v>
      </c>
      <c r="G37" s="47">
        <f t="shared" ca="1" si="18"/>
        <v>0.32398529426172135</v>
      </c>
      <c r="H37" s="29">
        <f t="shared" si="6"/>
        <v>3000</v>
      </c>
      <c r="I37" s="42">
        <f t="shared" ca="1" si="19"/>
        <v>6903.1361966536251</v>
      </c>
      <c r="J37" s="42">
        <f t="shared" ca="1" si="20"/>
        <v>7391.8716431773692</v>
      </c>
      <c r="L37" s="29">
        <f t="shared" ca="1" si="8"/>
        <v>2236.5146120015647</v>
      </c>
      <c r="M37" s="29">
        <f t="shared" ca="1" si="9"/>
        <v>2394.8577094596935</v>
      </c>
      <c r="O37" s="29">
        <f ca="1">SUM($L$12:L37)</f>
        <v>54765.213547081017</v>
      </c>
      <c r="P37" s="29">
        <f ca="1">SUM($M$12:M37)</f>
        <v>56760.935467881296</v>
      </c>
      <c r="R37" s="29">
        <f t="shared" ca="1" si="21"/>
        <v>782927.32058559754</v>
      </c>
      <c r="S37" s="29">
        <f t="shared" ca="1" si="22"/>
        <v>838357.82676734321</v>
      </c>
    </row>
    <row r="38" spans="2:19" x14ac:dyDescent="0.25">
      <c r="B38" s="12">
        <f t="shared" ca="1" si="13"/>
        <v>2</v>
      </c>
      <c r="C38" s="28">
        <f t="shared" ca="1" si="14"/>
        <v>2</v>
      </c>
      <c r="D38" s="45">
        <f t="shared" ca="1" si="15"/>
        <v>113.60520452043318</v>
      </c>
      <c r="E38" s="46">
        <f t="shared" ca="1" si="16"/>
        <v>3.4250749342944246E-2</v>
      </c>
      <c r="F38" s="21">
        <f t="shared" ca="1" si="17"/>
        <v>46905</v>
      </c>
      <c r="G38" s="47">
        <f t="shared" ca="1" si="18"/>
        <v>0.32425528200693943</v>
      </c>
      <c r="H38" s="29">
        <f t="shared" si="6"/>
        <v>3000</v>
      </c>
      <c r="I38" s="42">
        <f t="shared" ca="1" si="19"/>
        <v>6929.5434375248869</v>
      </c>
      <c r="J38" s="42">
        <f t="shared" ca="1" si="20"/>
        <v>7439.3594121773303</v>
      </c>
      <c r="L38" s="29">
        <f t="shared" ca="1" si="8"/>
        <v>2246.9410615139686</v>
      </c>
      <c r="M38" s="29">
        <f t="shared" ca="1" si="9"/>
        <v>2412.2515841465392</v>
      </c>
      <c r="O38" s="29">
        <f ca="1">SUM($L$12:L38)</f>
        <v>57012.154608594989</v>
      </c>
      <c r="P38" s="29">
        <f ca="1">SUM($M$12:M38)</f>
        <v>59173.187052027832</v>
      </c>
      <c r="R38" s="29">
        <f t="shared" ca="1" si="21"/>
        <v>787232.19945324038</v>
      </c>
      <c r="S38" s="29">
        <f t="shared" ca="1" si="22"/>
        <v>845149.94752141519</v>
      </c>
    </row>
    <row r="39" spans="2:19" x14ac:dyDescent="0.25">
      <c r="B39" s="12">
        <f t="shared" ca="1" si="13"/>
        <v>3</v>
      </c>
      <c r="C39" s="28">
        <f t="shared" ca="1" si="14"/>
        <v>2</v>
      </c>
      <c r="D39" s="45">
        <f t="shared" ca="1" si="15"/>
        <v>113.79454652796724</v>
      </c>
      <c r="E39" s="46">
        <f t="shared" ca="1" si="16"/>
        <v>3.4222254543158095E-2</v>
      </c>
      <c r="F39" s="21">
        <f t="shared" ca="1" si="17"/>
        <v>46935</v>
      </c>
      <c r="G39" s="47">
        <f t="shared" ca="1" si="18"/>
        <v>0.3245254947419452</v>
      </c>
      <c r="H39" s="29">
        <f t="shared" si="6"/>
        <v>3000</v>
      </c>
      <c r="I39" s="42">
        <f t="shared" ca="1" si="19"/>
        <v>6955.9067395594238</v>
      </c>
      <c r="J39" s="42">
        <f t="shared" ca="1" si="20"/>
        <v>7486.9210199105828</v>
      </c>
      <c r="L39" s="29">
        <f t="shared" ca="1" si="8"/>
        <v>2257.3690760343529</v>
      </c>
      <c r="M39" s="29">
        <f t="shared" ca="1" si="9"/>
        <v>2429.696748080351</v>
      </c>
      <c r="O39" s="29">
        <f ca="1">SUM($L$12:L39)</f>
        <v>59269.523684629341</v>
      </c>
      <c r="P39" s="29">
        <f ca="1">SUM($M$12:M39)</f>
        <v>61602.883800108182</v>
      </c>
      <c r="R39" s="29">
        <f t="shared" ca="1" si="21"/>
        <v>791544.25311899581</v>
      </c>
      <c r="S39" s="29">
        <f t="shared" ca="1" si="22"/>
        <v>851970.78235143074</v>
      </c>
    </row>
    <row r="40" spans="2:19" x14ac:dyDescent="0.25">
      <c r="B40" s="12">
        <f t="shared" ca="1" si="13"/>
        <v>3</v>
      </c>
      <c r="C40" s="28">
        <f t="shared" ca="1" si="14"/>
        <v>2</v>
      </c>
      <c r="D40" s="45">
        <f t="shared" ca="1" si="15"/>
        <v>113.98420410551385</v>
      </c>
      <c r="E40" s="46">
        <f t="shared" ca="1" si="16"/>
        <v>3.4193783449528184E-2</v>
      </c>
      <c r="F40" s="21">
        <f t="shared" ca="1" si="17"/>
        <v>46966</v>
      </c>
      <c r="G40" s="47">
        <f t="shared" ca="1" si="18"/>
        <v>0.32479593265423018</v>
      </c>
      <c r="H40" s="29">
        <f t="shared" si="6"/>
        <v>3000</v>
      </c>
      <c r="I40" s="42">
        <f t="shared" ca="1" si="19"/>
        <v>6982.2261758667819</v>
      </c>
      <c r="J40" s="42">
        <f t="shared" ca="1" si="20"/>
        <v>7534.5565391537066</v>
      </c>
      <c r="L40" s="29">
        <f t="shared" ca="1" si="8"/>
        <v>2267.7986627934306</v>
      </c>
      <c r="M40" s="29">
        <f t="shared" ca="1" si="9"/>
        <v>2447.193318270457</v>
      </c>
      <c r="O40" s="29">
        <f ca="1">SUM($L$12:L40)</f>
        <v>61537.322347422771</v>
      </c>
      <c r="P40" s="29">
        <f ca="1">SUM($M$12:M40)</f>
        <v>64050.077118378642</v>
      </c>
      <c r="R40" s="29">
        <f t="shared" ca="1" si="21"/>
        <v>795863.49354086071</v>
      </c>
      <c r="S40" s="29">
        <f t="shared" ca="1" si="22"/>
        <v>858820.43040343013</v>
      </c>
    </row>
    <row r="41" spans="2:19" x14ac:dyDescent="0.25">
      <c r="B41" s="12">
        <f t="shared" ca="1" si="13"/>
        <v>3</v>
      </c>
      <c r="C41" s="28">
        <f t="shared" ca="1" si="14"/>
        <v>2</v>
      </c>
      <c r="D41" s="45">
        <f t="shared" ca="1" si="15"/>
        <v>114.17417777902305</v>
      </c>
      <c r="E41" s="46">
        <f t="shared" ca="1" si="16"/>
        <v>3.4165336042332232E-2</v>
      </c>
      <c r="F41" s="21">
        <f t="shared" ca="1" si="17"/>
        <v>46997</v>
      </c>
      <c r="G41" s="47">
        <f t="shared" ca="1" si="18"/>
        <v>0.32506659593144205</v>
      </c>
      <c r="H41" s="29">
        <f t="shared" si="6"/>
        <v>3000</v>
      </c>
      <c r="I41" s="42">
        <f t="shared" ca="1" si="19"/>
        <v>7008.5018194348604</v>
      </c>
      <c r="J41" s="42">
        <f t="shared" ca="1" si="20"/>
        <v>7582.2660425128033</v>
      </c>
      <c r="L41" s="29">
        <f t="shared" ca="1" si="8"/>
        <v>2278.2298290230083</v>
      </c>
      <c r="M41" s="29">
        <f t="shared" ca="1" si="9"/>
        <v>2464.7414118862034</v>
      </c>
      <c r="O41" s="29">
        <f ca="1">SUM($L$12:L41)</f>
        <v>63815.552176445781</v>
      </c>
      <c r="P41" s="29">
        <f ca="1">SUM($M$12:M41)</f>
        <v>66514.818530264849</v>
      </c>
      <c r="R41" s="29">
        <f t="shared" ca="1" si="21"/>
        <v>800189.93269676226</v>
      </c>
      <c r="S41" s="29">
        <f t="shared" ca="1" si="22"/>
        <v>865698.99110570643</v>
      </c>
    </row>
    <row r="42" spans="2:19" x14ac:dyDescent="0.25">
      <c r="B42" s="12">
        <f t="shared" ca="1" si="13"/>
        <v>4</v>
      </c>
      <c r="C42" s="28">
        <f t="shared" ca="1" si="14"/>
        <v>2</v>
      </c>
      <c r="D42" s="45">
        <f t="shared" ca="1" si="15"/>
        <v>114.36446807532143</v>
      </c>
      <c r="E42" s="46">
        <f t="shared" ca="1" si="16"/>
        <v>3.4136912301864407E-2</v>
      </c>
      <c r="F42" s="21">
        <f t="shared" ca="1" si="17"/>
        <v>47027</v>
      </c>
      <c r="G42" s="47">
        <f t="shared" ca="1" si="18"/>
        <v>0.32533748476138491</v>
      </c>
      <c r="H42" s="29">
        <f t="shared" si="6"/>
        <v>3000</v>
      </c>
      <c r="I42" s="42">
        <f t="shared" ca="1" si="19"/>
        <v>7034.733743130113</v>
      </c>
      <c r="J42" s="42">
        <f t="shared" ca="1" si="20"/>
        <v>7630.0496024230988</v>
      </c>
      <c r="L42" s="29">
        <f t="shared" ca="1" si="8"/>
        <v>2288.6625819559936</v>
      </c>
      <c r="M42" s="29">
        <f t="shared" ca="1" si="9"/>
        <v>2482.3411462569361</v>
      </c>
      <c r="O42" s="29">
        <f ca="1">SUM($L$12:L42)</f>
        <v>66104.21475840178</v>
      </c>
      <c r="P42" s="29">
        <f ca="1">SUM($M$12:M42)</f>
        <v>68997.159676521784</v>
      </c>
      <c r="R42" s="29">
        <f t="shared" ca="1" si="21"/>
        <v>804523.58258459019</v>
      </c>
      <c r="S42" s="29">
        <f t="shared" ca="1" si="22"/>
        <v>872606.56416943541</v>
      </c>
    </row>
    <row r="43" spans="2:19" x14ac:dyDescent="0.25">
      <c r="B43" s="12">
        <f t="shared" ca="1" si="13"/>
        <v>4</v>
      </c>
      <c r="C43" s="28">
        <f t="shared" ca="1" si="14"/>
        <v>2</v>
      </c>
      <c r="D43" s="45">
        <f t="shared" ca="1" si="15"/>
        <v>114.55507552211364</v>
      </c>
      <c r="E43" s="46">
        <f t="shared" ca="1" si="16"/>
        <v>3.4108512208435228E-2</v>
      </c>
      <c r="F43" s="21">
        <f t="shared" ca="1" si="17"/>
        <v>47058</v>
      </c>
      <c r="G43" s="47">
        <f t="shared" ca="1" si="18"/>
        <v>0.32560859933201941</v>
      </c>
      <c r="H43" s="29">
        <f t="shared" si="6"/>
        <v>3000</v>
      </c>
      <c r="I43" s="42">
        <f t="shared" ca="1" si="19"/>
        <v>7060.9220196977531</v>
      </c>
      <c r="J43" s="42">
        <f t="shared" ca="1" si="20"/>
        <v>7677.9072911485418</v>
      </c>
      <c r="L43" s="29">
        <f t="shared" ca="1" si="8"/>
        <v>2299.0969288263991</v>
      </c>
      <c r="M43" s="29">
        <f t="shared" ca="1" si="9"/>
        <v>2499.9926388719759</v>
      </c>
      <c r="O43" s="29">
        <f ca="1">SUM($L$12:L43)</f>
        <v>68403.311687228183</v>
      </c>
      <c r="P43" s="29">
        <f ca="1">SUM($M$12:M43)</f>
        <v>71497.15231539376</v>
      </c>
      <c r="R43" s="29">
        <f t="shared" ca="1" si="21"/>
        <v>808864.45522223122</v>
      </c>
      <c r="S43" s="29">
        <f t="shared" ca="1" si="22"/>
        <v>879543.24958930817</v>
      </c>
    </row>
    <row r="44" spans="2:19" x14ac:dyDescent="0.25">
      <c r="B44" s="12">
        <f t="shared" ca="1" si="13"/>
        <v>4</v>
      </c>
      <c r="C44" s="28">
        <f t="shared" ca="1" si="14"/>
        <v>2</v>
      </c>
      <c r="D44" s="45">
        <f t="shared" ca="1" si="15"/>
        <v>114.74600064798383</v>
      </c>
      <c r="E44" s="46">
        <f t="shared" ca="1" si="16"/>
        <v>3.4080135742371641E-2</v>
      </c>
      <c r="F44" s="21">
        <f t="shared" ca="1" si="17"/>
        <v>47088</v>
      </c>
      <c r="G44" s="47">
        <f t="shared" ca="1" si="18"/>
        <v>0.32587993983146274</v>
      </c>
      <c r="H44" s="29">
        <f t="shared" si="6"/>
        <v>3000</v>
      </c>
      <c r="I44" s="42">
        <f t="shared" ca="1" si="19"/>
        <v>7087.066721761953</v>
      </c>
      <c r="J44" s="42">
        <f t="shared" ca="1" si="20"/>
        <v>7725.8391807814078</v>
      </c>
      <c r="L44" s="29">
        <f t="shared" ca="1" si="8"/>
        <v>2309.5328768693471</v>
      </c>
      <c r="M44" s="29">
        <f t="shared" ca="1" si="9"/>
        <v>2517.6960073806026</v>
      </c>
      <c r="O44" s="29">
        <f ca="1">SUM($L$12:L44)</f>
        <v>70712.844564097526</v>
      </c>
      <c r="P44" s="29">
        <f ca="1">SUM($M$12:M44)</f>
        <v>74014.848322774356</v>
      </c>
      <c r="R44" s="29">
        <f t="shared" ca="1" si="21"/>
        <v>813212.56264760171</v>
      </c>
      <c r="S44" s="29">
        <f t="shared" ca="1" si="22"/>
        <v>886509.14764416229</v>
      </c>
    </row>
    <row r="45" spans="2:19" x14ac:dyDescent="0.25">
      <c r="B45" s="12">
        <f t="shared" ca="1" si="13"/>
        <v>1</v>
      </c>
      <c r="C45" s="28">
        <f t="shared" ca="1" si="14"/>
        <v>3</v>
      </c>
      <c r="D45" s="45">
        <f t="shared" ca="1" si="15"/>
        <v>114.93724398239715</v>
      </c>
      <c r="E45" s="46">
        <f t="shared" ca="1" si="16"/>
        <v>3.4051782884016918E-2</v>
      </c>
      <c r="F45" s="21">
        <f t="shared" ca="1" si="17"/>
        <v>47119</v>
      </c>
      <c r="G45" s="47">
        <f t="shared" ca="1" si="18"/>
        <v>0.32615150644798896</v>
      </c>
      <c r="H45" s="29">
        <f t="shared" si="6"/>
        <v>3000</v>
      </c>
      <c r="I45" s="42">
        <f t="shared" ca="1" si="19"/>
        <v>7113.167921826046</v>
      </c>
      <c r="J45" s="42">
        <f t="shared" ca="1" si="20"/>
        <v>7773.8453432419037</v>
      </c>
      <c r="L45" s="29">
        <f t="shared" ca="1" si="8"/>
        <v>2319.9704333210757</v>
      </c>
      <c r="M45" s="29">
        <f t="shared" ca="1" si="9"/>
        <v>2535.4513695920309</v>
      </c>
      <c r="O45" s="29">
        <f ca="1">SUM($L$12:L45)</f>
        <v>73032.814997418609</v>
      </c>
      <c r="P45" s="29">
        <f ca="1">SUM($M$12:M45)</f>
        <v>76550.299692366389</v>
      </c>
      <c r="R45" s="29">
        <f t="shared" ca="1" si="21"/>
        <v>817567.91691868112</v>
      </c>
      <c r="S45" s="29">
        <f t="shared" ca="1" si="22"/>
        <v>893504.35889761662</v>
      </c>
    </row>
    <row r="46" spans="2:19" x14ac:dyDescent="0.25">
      <c r="B46" s="12">
        <f t="shared" ca="1" si="13"/>
        <v>1</v>
      </c>
      <c r="C46" s="28">
        <f t="shared" ca="1" si="14"/>
        <v>3</v>
      </c>
      <c r="D46" s="45">
        <f t="shared" ca="1" si="15"/>
        <v>115.12880605570115</v>
      </c>
      <c r="E46" s="46">
        <f t="shared" ca="1" si="16"/>
        <v>3.4023453613730714E-2</v>
      </c>
      <c r="F46" s="21">
        <f t="shared" ca="1" si="17"/>
        <v>47150</v>
      </c>
      <c r="G46" s="47">
        <f t="shared" ca="1" si="18"/>
        <v>0.32642329937002895</v>
      </c>
      <c r="H46" s="29">
        <f t="shared" si="6"/>
        <v>3000</v>
      </c>
      <c r="I46" s="42">
        <f t="shared" ca="1" si="19"/>
        <v>7139.2256922727274</v>
      </c>
      <c r="J46" s="42">
        <f t="shared" ca="1" si="20"/>
        <v>7821.9258502777702</v>
      </c>
      <c r="L46" s="29">
        <f t="shared" ca="1" si="8"/>
        <v>2330.4096054189426</v>
      </c>
      <c r="M46" s="29">
        <f t="shared" ca="1" si="9"/>
        <v>2553.2588434753889</v>
      </c>
      <c r="O46" s="29">
        <f ca="1">SUM($L$12:L46)</f>
        <v>75363.224602837552</v>
      </c>
      <c r="P46" s="29">
        <f ca="1">SUM($M$12:M46)</f>
        <v>79103.558535841774</v>
      </c>
      <c r="R46" s="29">
        <f t="shared" ca="1" si="21"/>
        <v>821930.5301135456</v>
      </c>
      <c r="S46" s="29">
        <f t="shared" ca="1" si="22"/>
        <v>900528.98419870471</v>
      </c>
    </row>
    <row r="47" spans="2:19" x14ac:dyDescent="0.25">
      <c r="B47" s="12">
        <f t="shared" ca="1" si="13"/>
        <v>1</v>
      </c>
      <c r="C47" s="28">
        <f t="shared" ca="1" si="14"/>
        <v>3</v>
      </c>
      <c r="D47" s="45">
        <f t="shared" ca="1" si="15"/>
        <v>115.32068739912732</v>
      </c>
      <c r="E47" s="46">
        <f t="shared" ca="1" si="16"/>
        <v>3.3995147911889005E-2</v>
      </c>
      <c r="F47" s="21">
        <f t="shared" ca="1" si="17"/>
        <v>47178</v>
      </c>
      <c r="G47" s="47">
        <f t="shared" ca="1" si="18"/>
        <v>0.32669531878617064</v>
      </c>
      <c r="H47" s="29">
        <f t="shared" si="6"/>
        <v>3000</v>
      </c>
      <c r="I47" s="42">
        <f t="shared" ca="1" si="19"/>
        <v>7165.240105364257</v>
      </c>
      <c r="J47" s="42">
        <f t="shared" ca="1" si="20"/>
        <v>7870.0807734638893</v>
      </c>
      <c r="L47" s="29">
        <f t="shared" ca="1" si="8"/>
        <v>2340.8504004014308</v>
      </c>
      <c r="M47" s="29">
        <f t="shared" ca="1" si="9"/>
        <v>2571.1185471596978</v>
      </c>
      <c r="O47" s="29">
        <f ca="1">SUM($L$12:L47)</f>
        <v>77704.075003238977</v>
      </c>
      <c r="P47" s="29">
        <f ca="1">SUM($M$12:M47)</f>
        <v>81674.677083001472</v>
      </c>
      <c r="R47" s="29">
        <f t="shared" ca="1" si="21"/>
        <v>826300.41433040157</v>
      </c>
      <c r="S47" s="29">
        <f t="shared" ca="1" si="22"/>
        <v>907583.12468251132</v>
      </c>
    </row>
    <row r="48" spans="2:19" x14ac:dyDescent="0.25">
      <c r="B48" s="12">
        <f t="shared" ca="1" si="13"/>
        <v>2</v>
      </c>
      <c r="C48" s="28">
        <f t="shared" ca="1" si="14"/>
        <v>3</v>
      </c>
      <c r="D48" s="45">
        <f t="shared" ca="1" si="15"/>
        <v>115.51288854479255</v>
      </c>
      <c r="E48" s="46">
        <f t="shared" ca="1" si="16"/>
        <v>3.39668657588841E-2</v>
      </c>
      <c r="F48" s="21">
        <f t="shared" ca="1" si="17"/>
        <v>47209</v>
      </c>
      <c r="G48" s="47">
        <f t="shared" ca="1" si="18"/>
        <v>0.3269675648851591</v>
      </c>
      <c r="H48" s="29">
        <f t="shared" si="6"/>
        <v>3000</v>
      </c>
      <c r="I48" s="42">
        <f t="shared" ca="1" si="19"/>
        <v>7191.2112332426559</v>
      </c>
      <c r="J48" s="42">
        <f t="shared" ca="1" si="20"/>
        <v>7918.3101842018896</v>
      </c>
      <c r="L48" s="29">
        <f t="shared" ca="1" si="8"/>
        <v>2351.2928255081529</v>
      </c>
      <c r="M48" s="29">
        <f t="shared" ca="1" si="9"/>
        <v>2589.0305989338476</v>
      </c>
      <c r="O48" s="29">
        <f ca="1">SUM($L$12:L48)</f>
        <v>80055.367828747127</v>
      </c>
      <c r="P48" s="29">
        <f ca="1">SUM($M$12:M48)</f>
        <v>84263.707681935324</v>
      </c>
      <c r="R48" s="29">
        <f t="shared" ca="1" si="21"/>
        <v>830677.58168761909</v>
      </c>
      <c r="S48" s="29">
        <f t="shared" ca="1" si="22"/>
        <v>914666.8817708086</v>
      </c>
    </row>
    <row r="49" spans="2:19" x14ac:dyDescent="0.25">
      <c r="B49" s="12">
        <f t="shared" ca="1" si="13"/>
        <v>2</v>
      </c>
      <c r="C49" s="28">
        <f t="shared" ca="1" si="14"/>
        <v>3</v>
      </c>
      <c r="D49" s="45">
        <f t="shared" ca="1" si="15"/>
        <v>115.70541002570054</v>
      </c>
      <c r="E49" s="46">
        <f t="shared" ca="1" si="16"/>
        <v>3.3938607135124622E-2</v>
      </c>
      <c r="F49" s="21">
        <f t="shared" ca="1" si="17"/>
        <v>47239</v>
      </c>
      <c r="G49" s="47">
        <f t="shared" ca="1" si="18"/>
        <v>0.32724003785589673</v>
      </c>
      <c r="H49" s="29">
        <f t="shared" si="6"/>
        <v>3000</v>
      </c>
      <c r="I49" s="42">
        <f t="shared" ca="1" si="19"/>
        <v>7217.1391479299091</v>
      </c>
      <c r="J49" s="42">
        <f t="shared" ca="1" si="20"/>
        <v>7966.6141537197573</v>
      </c>
      <c r="L49" s="29">
        <f t="shared" ca="1" si="8"/>
        <v>2361.7368879798578</v>
      </c>
      <c r="M49" s="29">
        <f t="shared" ca="1" si="9"/>
        <v>2606.9951172465762</v>
      </c>
      <c r="O49" s="29">
        <f ca="1">SUM($L$12:L49)</f>
        <v>82417.104716726986</v>
      </c>
      <c r="P49" s="29">
        <f ca="1">SUM($M$12:M49)</f>
        <v>86870.702799181905</v>
      </c>
      <c r="R49" s="29">
        <f t="shared" ca="1" si="21"/>
        <v>835062.04432376521</v>
      </c>
      <c r="S49" s="29">
        <f t="shared" ca="1" si="22"/>
        <v>921780.35717269382</v>
      </c>
    </row>
    <row r="50" spans="2:19" x14ac:dyDescent="0.25">
      <c r="B50" s="12">
        <f t="shared" ca="1" si="13"/>
        <v>2</v>
      </c>
      <c r="C50" s="28">
        <f t="shared" ca="1" si="14"/>
        <v>3</v>
      </c>
      <c r="D50" s="45">
        <f t="shared" ca="1" si="15"/>
        <v>115.89825237574338</v>
      </c>
      <c r="E50" s="46">
        <f t="shared" ca="1" si="16"/>
        <v>3.3910372021035501E-2</v>
      </c>
      <c r="F50" s="21">
        <f t="shared" ca="1" si="17"/>
        <v>47270</v>
      </c>
      <c r="G50" s="47">
        <f t="shared" ca="1" si="18"/>
        <v>0.32751273788744328</v>
      </c>
      <c r="H50" s="29">
        <f t="shared" si="6"/>
        <v>3000</v>
      </c>
      <c r="I50" s="42">
        <f t="shared" ca="1" si="19"/>
        <v>7243.0239213281648</v>
      </c>
      <c r="J50" s="42">
        <f t="shared" ca="1" si="20"/>
        <v>8014.9927530714422</v>
      </c>
      <c r="L50" s="29">
        <f t="shared" ca="1" si="8"/>
        <v>2372.182595058433</v>
      </c>
      <c r="M50" s="29">
        <f t="shared" ca="1" si="9"/>
        <v>2625.0122207064446</v>
      </c>
      <c r="O50" s="29">
        <f ca="1">SUM($L$12:L50)</f>
        <v>84789.287311785418</v>
      </c>
      <c r="P50" s="29">
        <f ca="1">SUM($M$12:M50)</f>
        <v>89495.715019888346</v>
      </c>
      <c r="R50" s="29">
        <f t="shared" ca="1" si="21"/>
        <v>839453.81439763808</v>
      </c>
      <c r="S50" s="29">
        <f t="shared" ca="1" si="22"/>
        <v>928923.65288522828</v>
      </c>
    </row>
    <row r="51" spans="2:19" x14ac:dyDescent="0.25">
      <c r="B51" s="12">
        <f t="shared" ca="1" si="13"/>
        <v>3</v>
      </c>
      <c r="C51" s="28">
        <f t="shared" ca="1" si="14"/>
        <v>3</v>
      </c>
      <c r="D51" s="45">
        <f t="shared" ca="1" si="15"/>
        <v>116.09141612970296</v>
      </c>
      <c r="E51" s="46">
        <f t="shared" ca="1" si="16"/>
        <v>3.388216039705793E-2</v>
      </c>
      <c r="F51" s="21">
        <f t="shared" ca="1" si="17"/>
        <v>47300</v>
      </c>
      <c r="G51" s="47">
        <f t="shared" ca="1" si="18"/>
        <v>0.32778566516901614</v>
      </c>
      <c r="H51" s="29">
        <f t="shared" si="6"/>
        <v>3000</v>
      </c>
      <c r="I51" s="42">
        <f t="shared" ca="1" si="19"/>
        <v>7268.8656252199344</v>
      </c>
      <c r="J51" s="42">
        <f t="shared" ca="1" si="20"/>
        <v>8063.4460531364693</v>
      </c>
      <c r="L51" s="29">
        <f t="shared" ca="1" si="8"/>
        <v>2382.6299539869124</v>
      </c>
      <c r="M51" s="29">
        <f t="shared" ca="1" si="9"/>
        <v>2643.0820280818157</v>
      </c>
      <c r="O51" s="29">
        <f ca="1">SUM($L$12:L51)</f>
        <v>87171.917265772325</v>
      </c>
      <c r="P51" s="29">
        <f ca="1">SUM($M$12:M51)</f>
        <v>92138.797047970162</v>
      </c>
      <c r="R51" s="29">
        <f t="shared" ca="1" si="21"/>
        <v>843852.90408830089</v>
      </c>
      <c r="S51" s="29">
        <f t="shared" ca="1" si="22"/>
        <v>936096.87119407684</v>
      </c>
    </row>
    <row r="52" spans="2:19" x14ac:dyDescent="0.25">
      <c r="B52" s="12">
        <f t="shared" ca="1" si="13"/>
        <v>3</v>
      </c>
      <c r="C52" s="28">
        <f t="shared" ca="1" si="14"/>
        <v>3</v>
      </c>
      <c r="D52" s="45">
        <f t="shared" ca="1" si="15"/>
        <v>116.28490182325247</v>
      </c>
      <c r="E52" s="46">
        <f t="shared" ca="1" si="16"/>
        <v>3.3853972243649395E-2</v>
      </c>
      <c r="F52" s="21">
        <f t="shared" ca="1" si="17"/>
        <v>47331</v>
      </c>
      <c r="G52" s="47">
        <f t="shared" ca="1" si="18"/>
        <v>0.32805881988999031</v>
      </c>
      <c r="H52" s="29">
        <f t="shared" si="6"/>
        <v>3000</v>
      </c>
      <c r="I52" s="42">
        <f t="shared" ca="1" si="19"/>
        <v>7294.66433126829</v>
      </c>
      <c r="J52" s="42">
        <f t="shared" ca="1" si="20"/>
        <v>8111.9741246195499</v>
      </c>
      <c r="L52" s="29">
        <f t="shared" ca="1" si="8"/>
        <v>2393.0789720094804</v>
      </c>
      <c r="M52" s="29">
        <f t="shared" ca="1" si="9"/>
        <v>2661.2046583008268</v>
      </c>
      <c r="O52" s="29">
        <f ca="1">SUM($L$12:L52)</f>
        <v>89564.996237781801</v>
      </c>
      <c r="P52" s="29">
        <f ca="1">SUM($M$12:M52)</f>
        <v>94800.001706270996</v>
      </c>
      <c r="R52" s="29">
        <f t="shared" ca="1" si="21"/>
        <v>848259.32559511473</v>
      </c>
      <c r="S52" s="29">
        <f t="shared" ca="1" si="22"/>
        <v>943300.11467414873</v>
      </c>
    </row>
    <row r="53" spans="2:19" x14ac:dyDescent="0.25">
      <c r="B53" s="12">
        <f t="shared" ca="1" si="13"/>
        <v>3</v>
      </c>
      <c r="C53" s="28">
        <f t="shared" ca="1" si="14"/>
        <v>3</v>
      </c>
      <c r="D53" s="45">
        <f t="shared" ca="1" si="15"/>
        <v>116.47870999295789</v>
      </c>
      <c r="E53" s="46">
        <f t="shared" ca="1" si="16"/>
        <v>3.3825807541283621E-2</v>
      </c>
      <c r="F53" s="21">
        <f t="shared" ca="1" si="17"/>
        <v>47362</v>
      </c>
      <c r="G53" s="47">
        <f t="shared" ca="1" si="18"/>
        <v>0.32833220223989862</v>
      </c>
      <c r="H53" s="29">
        <f t="shared" si="6"/>
        <v>3000</v>
      </c>
      <c r="I53" s="42">
        <f t="shared" ca="1" si="19"/>
        <v>7320.4201110170643</v>
      </c>
      <c r="J53" s="42">
        <f t="shared" ca="1" si="20"/>
        <v>8160.5770380501936</v>
      </c>
      <c r="L53" s="29">
        <f t="shared" ca="1" si="8"/>
        <v>2403.529656371476</v>
      </c>
      <c r="M53" s="29">
        <f t="shared" ca="1" si="9"/>
        <v>2679.3802304513688</v>
      </c>
      <c r="O53" s="29">
        <f ca="1">SUM($L$12:L53)</f>
        <v>91968.525894153281</v>
      </c>
      <c r="P53" s="29">
        <f ca="1">SUM($M$12:M53)</f>
        <v>97479.381936722362</v>
      </c>
      <c r="R53" s="29">
        <f t="shared" ca="1" si="21"/>
        <v>852673.09113777324</v>
      </c>
      <c r="S53" s="29">
        <f t="shared" ca="1" si="22"/>
        <v>950533.48619023978</v>
      </c>
    </row>
    <row r="54" spans="2:19" x14ac:dyDescent="0.25">
      <c r="B54" s="12">
        <f t="shared" ca="1" si="13"/>
        <v>4</v>
      </c>
      <c r="C54" s="28">
        <f t="shared" ca="1" si="14"/>
        <v>3</v>
      </c>
      <c r="D54" s="45">
        <f t="shared" ca="1" si="15"/>
        <v>116.67284117627949</v>
      </c>
      <c r="E54" s="46">
        <f t="shared" ca="1" si="16"/>
        <v>3.3797666270450603E-2</v>
      </c>
      <c r="F54" s="21">
        <f t="shared" ca="1" si="17"/>
        <v>47392</v>
      </c>
      <c r="G54" s="47">
        <f t="shared" ca="1" si="18"/>
        <v>0.32860581240843184</v>
      </c>
      <c r="H54" s="29">
        <f t="shared" si="6"/>
        <v>3000</v>
      </c>
      <c r="I54" s="42">
        <f t="shared" ca="1" si="19"/>
        <v>7346.1330358910491</v>
      </c>
      <c r="J54" s="42">
        <f t="shared" ca="1" si="20"/>
        <v>8209.2548637823238</v>
      </c>
      <c r="L54" s="29">
        <f t="shared" ca="1" si="8"/>
        <v>2413.9820143193979</v>
      </c>
      <c r="M54" s="29">
        <f t="shared" ca="1" si="9"/>
        <v>2697.6088637810608</v>
      </c>
      <c r="O54" s="29">
        <f ca="1">SUM($L$12:L54)</f>
        <v>94382.507908472675</v>
      </c>
      <c r="P54" s="29">
        <f ca="1">SUM($M$12:M54)</f>
        <v>100176.99080050342</v>
      </c>
      <c r="R54" s="29">
        <f t="shared" ca="1" si="21"/>
        <v>857094.21295633621</v>
      </c>
      <c r="S54" s="29">
        <f t="shared" ca="1" si="22"/>
        <v>957797.08889767504</v>
      </c>
    </row>
    <row r="55" spans="2:19" x14ac:dyDescent="0.25">
      <c r="B55" s="12">
        <f t="shared" ca="1" si="13"/>
        <v>4</v>
      </c>
      <c r="C55" s="28">
        <f t="shared" ca="1" si="14"/>
        <v>3</v>
      </c>
      <c r="D55" s="45">
        <f t="shared" ca="1" si="15"/>
        <v>116.86729591157329</v>
      </c>
      <c r="E55" s="46">
        <f t="shared" ca="1" si="16"/>
        <v>3.3769548411656559E-2</v>
      </c>
      <c r="F55" s="21">
        <f t="shared" ca="1" si="17"/>
        <v>47423</v>
      </c>
      <c r="G55" s="47">
        <f t="shared" ca="1" si="18"/>
        <v>0.32887965058543889</v>
      </c>
      <c r="H55" s="29">
        <f t="shared" si="6"/>
        <v>3000</v>
      </c>
      <c r="I55" s="42">
        <f t="shared" ca="1" si="19"/>
        <v>7371.8031771961914</v>
      </c>
      <c r="J55" s="42">
        <f t="shared" ca="1" si="20"/>
        <v>8258.0076719938879</v>
      </c>
      <c r="L55" s="29">
        <f t="shared" ca="1" si="8"/>
        <v>2424.4360531009115</v>
      </c>
      <c r="M55" s="29">
        <f t="shared" ca="1" si="9"/>
        <v>2715.8906776972235</v>
      </c>
      <c r="O55" s="29">
        <f ca="1">SUM($L$12:L55)</f>
        <v>96806.94396157359</v>
      </c>
      <c r="P55" s="29">
        <f ca="1">SUM($M$12:M55)</f>
        <v>102892.88147820065</v>
      </c>
      <c r="R55" s="29">
        <f t="shared" ca="1" si="21"/>
        <v>861522.70331126347</v>
      </c>
      <c r="S55" s="29">
        <f t="shared" ca="1" si="22"/>
        <v>965091.02624295221</v>
      </c>
    </row>
    <row r="56" spans="2:19" x14ac:dyDescent="0.25">
      <c r="B56" s="12">
        <f t="shared" ca="1" si="13"/>
        <v>4</v>
      </c>
      <c r="C56" s="28">
        <f t="shared" ca="1" si="14"/>
        <v>3</v>
      </c>
      <c r="D56" s="45">
        <f t="shared" ca="1" si="15"/>
        <v>117.06207473809259</v>
      </c>
      <c r="E56" s="46">
        <f t="shared" ca="1" si="16"/>
        <v>3.3741453945423897E-2</v>
      </c>
      <c r="F56" s="21">
        <f t="shared" ca="1" si="17"/>
        <v>47453</v>
      </c>
      <c r="G56" s="47">
        <f t="shared" ca="1" si="18"/>
        <v>0.32915371696092677</v>
      </c>
      <c r="H56" s="29">
        <f t="shared" si="6"/>
        <v>3000</v>
      </c>
      <c r="I56" s="42">
        <f t="shared" ca="1" si="19"/>
        <v>7397.4306061197949</v>
      </c>
      <c r="J56" s="42">
        <f t="shared" ca="1" si="20"/>
        <v>8306.8355326864785</v>
      </c>
      <c r="L56" s="29">
        <f t="shared" ca="1" si="8"/>
        <v>2434.891779964852</v>
      </c>
      <c r="M56" s="29">
        <f t="shared" ca="1" si="9"/>
        <v>2734.2257917668544</v>
      </c>
      <c r="O56" s="29">
        <f ca="1">SUM($L$12:L56)</f>
        <v>99241.835741538438</v>
      </c>
      <c r="P56" s="29">
        <f ca="1">SUM($M$12:M56)</f>
        <v>105627.10726996751</v>
      </c>
      <c r="R56" s="29">
        <f t="shared" ca="1" si="21"/>
        <v>865958.57448344899</v>
      </c>
      <c r="S56" s="29">
        <f t="shared" ca="1" si="22"/>
        <v>972415.40196438774</v>
      </c>
    </row>
    <row r="57" spans="2:19" x14ac:dyDescent="0.25">
      <c r="B57" s="12">
        <f t="shared" ca="1" si="13"/>
        <v>1</v>
      </c>
      <c r="C57" s="28">
        <f t="shared" ca="1" si="14"/>
        <v>4</v>
      </c>
      <c r="D57" s="45">
        <f t="shared" ca="1" si="15"/>
        <v>117.25717819598941</v>
      </c>
      <c r="E57" s="46">
        <f t="shared" ca="1" si="16"/>
        <v>3.3713382852291265E-2</v>
      </c>
      <c r="F57" s="21">
        <f t="shared" ca="1" si="17"/>
        <v>47484</v>
      </c>
      <c r="G57" s="47">
        <f t="shared" ca="1" si="18"/>
        <v>0.32942801172506087</v>
      </c>
      <c r="H57" s="29">
        <f t="shared" si="6"/>
        <v>3000</v>
      </c>
      <c r="I57" s="42">
        <f t="shared" ca="1" si="19"/>
        <v>7423.0153937307132</v>
      </c>
      <c r="J57" s="42">
        <f t="shared" ca="1" si="20"/>
        <v>8355.7385156849468</v>
      </c>
      <c r="L57" s="29">
        <f t="shared" ca="1" si="8"/>
        <v>2445.3492021612287</v>
      </c>
      <c r="M57" s="29">
        <f t="shared" ca="1" si="9"/>
        <v>2752.6143257166032</v>
      </c>
      <c r="O57" s="29">
        <f ca="1">SUM($L$12:L57)</f>
        <v>101687.18494369967</v>
      </c>
      <c r="P57" s="29">
        <f ca="1">SUM($M$12:M57)</f>
        <v>108379.72159568411</v>
      </c>
      <c r="R57" s="29">
        <f t="shared" ca="1" si="21"/>
        <v>870401.83877425478</v>
      </c>
      <c r="S57" s="29">
        <f t="shared" ca="1" si="22"/>
        <v>979770.32009276189</v>
      </c>
    </row>
    <row r="58" spans="2:19" x14ac:dyDescent="0.25">
      <c r="B58" s="12">
        <f t="shared" ca="1" si="13"/>
        <v>1</v>
      </c>
      <c r="C58" s="28">
        <f t="shared" ca="1" si="14"/>
        <v>4</v>
      </c>
      <c r="D58" s="45">
        <f t="shared" ca="1" si="15"/>
        <v>117.45260682631607</v>
      </c>
      <c r="E58" s="46">
        <f t="shared" ca="1" si="16"/>
        <v>3.3685335112813485E-2</v>
      </c>
      <c r="F58" s="21">
        <f t="shared" ca="1" si="17"/>
        <v>47515</v>
      </c>
      <c r="G58" s="47">
        <f t="shared" ca="1" si="18"/>
        <v>0.3297025350681651</v>
      </c>
      <c r="H58" s="29">
        <f t="shared" si="6"/>
        <v>3000</v>
      </c>
      <c r="I58" s="42">
        <f t="shared" ca="1" si="19"/>
        <v>7448.5576109795502</v>
      </c>
      <c r="J58" s="42">
        <f t="shared" ca="1" si="20"/>
        <v>8404.7166906370221</v>
      </c>
      <c r="L58" s="29">
        <f t="shared" ca="1" si="8"/>
        <v>2455.8083269412332</v>
      </c>
      <c r="M58" s="29">
        <f t="shared" ca="1" si="9"/>
        <v>2771.0563994327454</v>
      </c>
      <c r="O58" s="29">
        <f ca="1">SUM($L$12:L58)</f>
        <v>104142.9932706409</v>
      </c>
      <c r="P58" s="29">
        <f ca="1">SUM($M$12:M58)</f>
        <v>111150.77799511685</v>
      </c>
      <c r="R58" s="29">
        <f t="shared" ca="1" si="21"/>
        <v>874852.50850554521</v>
      </c>
      <c r="S58" s="29">
        <f t="shared" ca="1" si="22"/>
        <v>987155.88495196647</v>
      </c>
    </row>
    <row r="59" spans="2:19" x14ac:dyDescent="0.25">
      <c r="B59" s="12">
        <f t="shared" ca="1" si="13"/>
        <v>1</v>
      </c>
      <c r="C59" s="28">
        <f t="shared" ca="1" si="14"/>
        <v>4</v>
      </c>
      <c r="D59" s="45">
        <f t="shared" ca="1" si="15"/>
        <v>117.64836117102661</v>
      </c>
      <c r="E59" s="46">
        <f t="shared" ca="1" si="16"/>
        <v>3.3657310707561554E-2</v>
      </c>
      <c r="F59" s="21">
        <f t="shared" ca="1" si="17"/>
        <v>47543</v>
      </c>
      <c r="G59" s="47">
        <f t="shared" ca="1" si="18"/>
        <v>0.32997728718072189</v>
      </c>
      <c r="H59" s="29">
        <f t="shared" si="6"/>
        <v>3000</v>
      </c>
      <c r="I59" s="42">
        <f t="shared" ca="1" si="19"/>
        <v>7474.0573286988547</v>
      </c>
      <c r="J59" s="42">
        <f t="shared" ca="1" si="20"/>
        <v>8453.7701270129292</v>
      </c>
      <c r="L59" s="29">
        <f t="shared" ca="1" si="8"/>
        <v>2466.2691615572412</v>
      </c>
      <c r="M59" s="29">
        <f t="shared" ca="1" si="9"/>
        <v>2789.5521329611529</v>
      </c>
      <c r="O59" s="29">
        <f ca="1">SUM($L$12:L59)</f>
        <v>106609.26243219814</v>
      </c>
      <c r="P59" s="29">
        <f ca="1">SUM($M$12:M59)</f>
        <v>113940.330128078</v>
      </c>
      <c r="R59" s="29">
        <f t="shared" ca="1" si="21"/>
        <v>879310.59601972124</v>
      </c>
      <c r="S59" s="29">
        <f t="shared" ca="1" si="22"/>
        <v>994572.20115965256</v>
      </c>
    </row>
    <row r="60" spans="2:19" x14ac:dyDescent="0.25">
      <c r="B60" s="12">
        <f t="shared" ca="1" si="13"/>
        <v>2</v>
      </c>
      <c r="C60" s="28">
        <f t="shared" ca="1" si="14"/>
        <v>4</v>
      </c>
      <c r="D60" s="45">
        <f t="shared" ca="1" si="15"/>
        <v>117.84444177297833</v>
      </c>
      <c r="E60" s="46">
        <f t="shared" ca="1" si="16"/>
        <v>3.3629309617122648E-2</v>
      </c>
      <c r="F60" s="21">
        <f t="shared" ca="1" si="17"/>
        <v>47574</v>
      </c>
      <c r="G60" s="47">
        <f t="shared" ca="1" si="18"/>
        <v>0.33025226825337251</v>
      </c>
      <c r="H60" s="29">
        <f t="shared" si="6"/>
        <v>3000</v>
      </c>
      <c r="I60" s="42">
        <f t="shared" ca="1" si="19"/>
        <v>7499.5146176033186</v>
      </c>
      <c r="J60" s="42">
        <f t="shared" ca="1" si="20"/>
        <v>8502.898894105012</v>
      </c>
      <c r="L60" s="29">
        <f t="shared" ca="1" si="8"/>
        <v>2476.7317132628195</v>
      </c>
      <c r="M60" s="29">
        <f t="shared" ca="1" si="9"/>
        <v>2808.101646507273</v>
      </c>
      <c r="O60" s="29">
        <f ca="1">SUM($L$12:L60)</f>
        <v>109085.99414546097</v>
      </c>
      <c r="P60" s="29">
        <f ca="1">SUM($M$12:M60)</f>
        <v>116748.43177458527</v>
      </c>
      <c r="R60" s="29">
        <f t="shared" ca="1" si="21"/>
        <v>883776.11367975408</v>
      </c>
      <c r="S60" s="29">
        <f t="shared" ca="1" si="22"/>
        <v>1002019.3736278799</v>
      </c>
    </row>
    <row r="61" spans="2:19" x14ac:dyDescent="0.25">
      <c r="B61" s="12">
        <f t="shared" ca="1" si="13"/>
        <v>2</v>
      </c>
      <c r="C61" s="28">
        <f t="shared" ca="1" si="14"/>
        <v>4</v>
      </c>
      <c r="D61" s="45">
        <f t="shared" ca="1" si="15"/>
        <v>118.0408491759333</v>
      </c>
      <c r="E61" s="46">
        <f t="shared" ca="1" si="16"/>
        <v>3.3601331822100081E-2</v>
      </c>
      <c r="F61" s="21">
        <f t="shared" ca="1" si="17"/>
        <v>47604</v>
      </c>
      <c r="G61" s="47">
        <f t="shared" ca="1" si="18"/>
        <v>0.33052747847691699</v>
      </c>
      <c r="H61" s="29">
        <f t="shared" si="6"/>
        <v>3000</v>
      </c>
      <c r="I61" s="42">
        <f t="shared" ca="1" si="19"/>
        <v>7524.9295482899715</v>
      </c>
      <c r="J61" s="42">
        <f t="shared" ca="1" si="20"/>
        <v>8552.1030610273519</v>
      </c>
      <c r="L61" s="29">
        <f t="shared" ca="1" si="8"/>
        <v>2487.1959893127305</v>
      </c>
      <c r="M61" s="29">
        <f t="shared" ca="1" si="9"/>
        <v>2826.7050604360938</v>
      </c>
      <c r="O61" s="29">
        <f ca="1">SUM($L$12:L61)</f>
        <v>111573.1901347737</v>
      </c>
      <c r="P61" s="29">
        <f ca="1">SUM($M$12:M61)</f>
        <v>119575.13683502137</v>
      </c>
      <c r="R61" s="29">
        <f t="shared" ca="1" si="21"/>
        <v>888249.07386922045</v>
      </c>
      <c r="S61" s="29">
        <f t="shared" ca="1" si="22"/>
        <v>1009497.5075637671</v>
      </c>
    </row>
    <row r="62" spans="2:19" x14ac:dyDescent="0.25">
      <c r="B62" s="12">
        <f t="shared" ca="1" si="13"/>
        <v>2</v>
      </c>
      <c r="C62" s="28">
        <f t="shared" ca="1" si="14"/>
        <v>4</v>
      </c>
      <c r="D62" s="45">
        <f t="shared" ca="1" si="15"/>
        <v>118.23758392455986</v>
      </c>
      <c r="E62" s="46">
        <f t="shared" ca="1" si="16"/>
        <v>3.3573377303113314E-2</v>
      </c>
      <c r="F62" s="21">
        <f t="shared" ca="1" si="17"/>
        <v>47635</v>
      </c>
      <c r="G62" s="47">
        <f t="shared" ca="1" si="18"/>
        <v>0.33080291804231443</v>
      </c>
      <c r="H62" s="29">
        <f t="shared" si="6"/>
        <v>3000</v>
      </c>
      <c r="I62" s="42">
        <f t="shared" ca="1" si="19"/>
        <v>7550.3021912383774</v>
      </c>
      <c r="J62" s="42">
        <f t="shared" ca="1" si="20"/>
        <v>8601.3826967153891</v>
      </c>
      <c r="L62" s="29">
        <f t="shared" ca="1" si="8"/>
        <v>2497.661996962936</v>
      </c>
      <c r="M62" s="29">
        <f t="shared" ca="1" si="9"/>
        <v>2845.3624952721225</v>
      </c>
      <c r="O62" s="29">
        <f ca="1">SUM($L$12:L62)</f>
        <v>114070.85213173664</v>
      </c>
      <c r="P62" s="29">
        <f ca="1">SUM($M$12:M62)</f>
        <v>122420.4993302935</v>
      </c>
      <c r="R62" s="29">
        <f t="shared" ca="1" si="21"/>
        <v>892729.48899233586</v>
      </c>
      <c r="S62" s="29">
        <f t="shared" ca="1" si="22"/>
        <v>1017006.7084701428</v>
      </c>
    </row>
    <row r="63" spans="2:19" x14ac:dyDescent="0.25">
      <c r="B63" s="12">
        <f t="shared" ca="1" si="13"/>
        <v>3</v>
      </c>
      <c r="C63" s="28">
        <f t="shared" ca="1" si="14"/>
        <v>4</v>
      </c>
      <c r="D63" s="45">
        <f t="shared" ca="1" si="15"/>
        <v>118.43464656443413</v>
      </c>
      <c r="E63" s="46">
        <f t="shared" ca="1" si="16"/>
        <v>3.3545446040797906E-2</v>
      </c>
      <c r="F63" s="21">
        <f t="shared" ca="1" si="17"/>
        <v>47665</v>
      </c>
      <c r="G63" s="47">
        <f t="shared" ca="1" si="18"/>
        <v>0.331078587140683</v>
      </c>
      <c r="H63" s="29">
        <f t="shared" si="6"/>
        <v>3000</v>
      </c>
      <c r="I63" s="42">
        <f t="shared" ca="1" si="19"/>
        <v>7575.6326168108289</v>
      </c>
      <c r="J63" s="42">
        <f t="shared" ca="1" si="20"/>
        <v>8650.7378699255532</v>
      </c>
      <c r="L63" s="29">
        <f t="shared" ca="1" si="8"/>
        <v>2508.1297434706044</v>
      </c>
      <c r="M63" s="29">
        <f t="shared" ca="1" si="9"/>
        <v>2864.0740716993537</v>
      </c>
      <c r="O63" s="29">
        <f ca="1">SUM($L$12:L63)</f>
        <v>116578.98187520725</v>
      </c>
      <c r="P63" s="29">
        <f ca="1">SUM($M$12:M63)</f>
        <v>125284.57340199286</v>
      </c>
      <c r="R63" s="29">
        <f t="shared" ca="1" si="21"/>
        <v>897217.3714739898</v>
      </c>
      <c r="S63" s="29">
        <f t="shared" ca="1" si="22"/>
        <v>1024547.0821461987</v>
      </c>
    </row>
    <row r="64" spans="2:19" x14ac:dyDescent="0.25">
      <c r="B64" s="12">
        <f t="shared" ca="1" si="13"/>
        <v>3</v>
      </c>
      <c r="C64" s="28">
        <f t="shared" ca="1" si="14"/>
        <v>4</v>
      </c>
      <c r="D64" s="45">
        <f t="shared" ca="1" si="15"/>
        <v>118.63203764204152</v>
      </c>
      <c r="E64" s="46">
        <f t="shared" ca="1" si="16"/>
        <v>3.3517538015805565E-2</v>
      </c>
      <c r="F64" s="21">
        <f t="shared" ca="1" si="17"/>
        <v>47696</v>
      </c>
      <c r="G64" s="47">
        <f t="shared" ca="1" si="18"/>
        <v>0.33135448596330025</v>
      </c>
      <c r="H64" s="29">
        <f t="shared" si="6"/>
        <v>3000</v>
      </c>
      <c r="I64" s="42">
        <f t="shared" ca="1" si="19"/>
        <v>7600.9208952525441</v>
      </c>
      <c r="J64" s="42">
        <f t="shared" ca="1" si="20"/>
        <v>8700.1686492348781</v>
      </c>
      <c r="L64" s="29">
        <f t="shared" ca="1" si="8"/>
        <v>2518.5992360941145</v>
      </c>
      <c r="M64" s="29">
        <f t="shared" ca="1" si="9"/>
        <v>2882.8399105612434</v>
      </c>
      <c r="O64" s="29">
        <f ca="1">SUM($L$12:L64)</f>
        <v>119097.58111130136</v>
      </c>
      <c r="P64" s="29">
        <f ca="1">SUM($M$12:M64)</f>
        <v>128167.41331255411</v>
      </c>
      <c r="R64" s="29">
        <f t="shared" ca="1" si="21"/>
        <v>901712.73375977983</v>
      </c>
      <c r="S64" s="29">
        <f t="shared" ca="1" si="22"/>
        <v>1032118.7346881416</v>
      </c>
    </row>
    <row r="65" spans="2:19" x14ac:dyDescent="0.25">
      <c r="B65" s="12">
        <f t="shared" ca="1" si="13"/>
        <v>3</v>
      </c>
      <c r="C65" s="28">
        <f t="shared" ca="1" si="14"/>
        <v>4</v>
      </c>
      <c r="D65" s="45">
        <f t="shared" ca="1" si="15"/>
        <v>118.82975770477826</v>
      </c>
      <c r="E65" s="46">
        <f t="shared" ca="1" si="16"/>
        <v>3.3489653208804059E-2</v>
      </c>
      <c r="F65" s="21">
        <f t="shared" ca="1" si="17"/>
        <v>47727</v>
      </c>
      <c r="G65" s="47">
        <f t="shared" ca="1" si="18"/>
        <v>0.33163061470160299</v>
      </c>
      <c r="H65" s="29">
        <f t="shared" si="6"/>
        <v>3000</v>
      </c>
      <c r="I65" s="42">
        <f t="shared" ca="1" si="19"/>
        <v>7626.1670966918609</v>
      </c>
      <c r="J65" s="42">
        <f t="shared" ca="1" si="20"/>
        <v>8749.6751030406376</v>
      </c>
      <c r="L65" s="29">
        <f t="shared" ca="1" si="8"/>
        <v>2529.0704820930609</v>
      </c>
      <c r="M65" s="29">
        <f t="shared" ca="1" si="9"/>
        <v>2901.660132860678</v>
      </c>
      <c r="O65" s="29">
        <f ca="1">SUM($L$12:L65)</f>
        <v>121626.65159339442</v>
      </c>
      <c r="P65" s="29">
        <f ca="1">SUM($M$12:M65)</f>
        <v>131069.07344541479</v>
      </c>
      <c r="R65" s="29">
        <f t="shared" ca="1" si="21"/>
        <v>906215.58831604617</v>
      </c>
      <c r="S65" s="29">
        <f t="shared" ca="1" si="22"/>
        <v>1039721.7724898497</v>
      </c>
    </row>
    <row r="66" spans="2:19" x14ac:dyDescent="0.25">
      <c r="B66" s="12">
        <f t="shared" ca="1" si="13"/>
        <v>4</v>
      </c>
      <c r="C66" s="28">
        <f t="shared" ca="1" si="14"/>
        <v>4</v>
      </c>
      <c r="D66" s="45">
        <f t="shared" ca="1" si="15"/>
        <v>119.0278073009529</v>
      </c>
      <c r="E66" s="46">
        <f t="shared" ca="1" si="16"/>
        <v>3.3461791600477263E-2</v>
      </c>
      <c r="F66" s="21">
        <f t="shared" ca="1" si="17"/>
        <v>47757</v>
      </c>
      <c r="G66" s="47">
        <f t="shared" ca="1" si="18"/>
        <v>0.33190697354718768</v>
      </c>
      <c r="H66" s="29">
        <f t="shared" si="6"/>
        <v>3000</v>
      </c>
      <c r="I66" s="42">
        <f t="shared" ca="1" si="19"/>
        <v>7651.37129114043</v>
      </c>
      <c r="J66" s="42">
        <f t="shared" ca="1" si="20"/>
        <v>8799.2572995599676</v>
      </c>
      <c r="L66" s="29">
        <f t="shared" ca="1" si="8"/>
        <v>2539.5434887282581</v>
      </c>
      <c r="M66" s="29">
        <f t="shared" ca="1" si="9"/>
        <v>2920.5348597599482</v>
      </c>
      <c r="O66" s="29">
        <f ca="1">SUM($L$12:L66)</f>
        <v>124166.19508212268</v>
      </c>
      <c r="P66" s="29">
        <f ca="1">SUM($M$12:M66)</f>
        <v>133989.60830517474</v>
      </c>
      <c r="R66" s="29">
        <f t="shared" ca="1" si="21"/>
        <v>910725.94762990635</v>
      </c>
      <c r="S66" s="29">
        <f t="shared" ca="1" si="22"/>
        <v>1047356.302243527</v>
      </c>
    </row>
    <row r="67" spans="2:19" x14ac:dyDescent="0.25">
      <c r="B67" s="12">
        <f t="shared" ca="1" si="13"/>
        <v>4</v>
      </c>
      <c r="C67" s="28">
        <f t="shared" ca="1" si="14"/>
        <v>4</v>
      </c>
      <c r="D67" s="45">
        <f t="shared" ca="1" si="15"/>
        <v>119.22618697978783</v>
      </c>
      <c r="E67" s="46">
        <f t="shared" ca="1" si="16"/>
        <v>3.3433953171525116E-2</v>
      </c>
      <c r="F67" s="21">
        <f t="shared" ca="1" si="17"/>
        <v>47788</v>
      </c>
      <c r="G67" s="47">
        <f t="shared" ca="1" si="18"/>
        <v>0.33218356269181032</v>
      </c>
      <c r="H67" s="29">
        <f t="shared" si="6"/>
        <v>3000</v>
      </c>
      <c r="I67" s="42">
        <f t="shared" ca="1" si="19"/>
        <v>7676.5335484934103</v>
      </c>
      <c r="J67" s="42">
        <f t="shared" ca="1" si="20"/>
        <v>8848.9153068294909</v>
      </c>
      <c r="L67" s="29">
        <f t="shared" ca="1" si="8"/>
        <v>2550.0182632617457</v>
      </c>
      <c r="M67" s="29">
        <f t="shared" ca="1" si="9"/>
        <v>2939.464212580714</v>
      </c>
      <c r="O67" s="29">
        <f ca="1">SUM($L$12:L67)</f>
        <v>126716.21334538443</v>
      </c>
      <c r="P67" s="29">
        <f ca="1">SUM($M$12:M67)</f>
        <v>136929.07251775544</v>
      </c>
      <c r="R67" s="29">
        <f t="shared" ca="1" si="21"/>
        <v>915243.82420928951</v>
      </c>
      <c r="S67" s="29">
        <f t="shared" ca="1" si="22"/>
        <v>1055022.4309403594</v>
      </c>
    </row>
    <row r="68" spans="2:19" x14ac:dyDescent="0.25">
      <c r="B68" s="12">
        <f t="shared" ca="1" si="13"/>
        <v>4</v>
      </c>
      <c r="C68" s="28">
        <f t="shared" ca="1" si="14"/>
        <v>4</v>
      </c>
      <c r="D68" s="45">
        <f t="shared" ca="1" si="15"/>
        <v>119.42489729142081</v>
      </c>
      <c r="E68" s="46">
        <f t="shared" ca="1" si="16"/>
        <v>3.340613790266362E-2</v>
      </c>
      <c r="F68" s="21">
        <f t="shared" ca="1" si="17"/>
        <v>47818</v>
      </c>
      <c r="G68" s="47">
        <f t="shared" ca="1" si="18"/>
        <v>0.33246038232738684</v>
      </c>
      <c r="H68" s="29">
        <f t="shared" si="6"/>
        <v>3000</v>
      </c>
      <c r="I68" s="42">
        <f t="shared" ca="1" si="19"/>
        <v>7701.6539385296637</v>
      </c>
      <c r="J68" s="42">
        <f t="shared" ca="1" si="20"/>
        <v>8898.6491927049556</v>
      </c>
      <c r="L68" s="29">
        <f t="shared" ca="1" si="8"/>
        <v>2560.4948129567965</v>
      </c>
      <c r="M68" s="29">
        <f t="shared" ca="1" si="9"/>
        <v>2958.4483128039819</v>
      </c>
      <c r="O68" s="29">
        <f ca="1">SUM($L$12:L68)</f>
        <v>129276.70815834122</v>
      </c>
      <c r="P68" s="29">
        <f ca="1">SUM($M$12:M68)</f>
        <v>139887.52083055943</v>
      </c>
      <c r="R68" s="29">
        <f t="shared" ca="1" si="21"/>
        <v>919769.23058297159</v>
      </c>
      <c r="S68" s="29">
        <f t="shared" ca="1" si="22"/>
        <v>1062720.2658711739</v>
      </c>
    </row>
    <row r="69" spans="2:19" x14ac:dyDescent="0.25">
      <c r="B69" s="12">
        <f t="shared" ca="1" si="13"/>
        <v>1</v>
      </c>
      <c r="C69" s="28">
        <f t="shared" ca="1" si="14"/>
        <v>5</v>
      </c>
      <c r="D69" s="45">
        <f t="shared" ca="1" si="15"/>
        <v>119.62393878690651</v>
      </c>
      <c r="E69" s="46">
        <f t="shared" ca="1" si="16"/>
        <v>3.3378345774624792E-2</v>
      </c>
      <c r="F69" s="21">
        <f t="shared" ca="1" si="17"/>
        <v>47849</v>
      </c>
      <c r="G69" s="47">
        <f t="shared" ca="1" si="18"/>
        <v>0.33273743264599298</v>
      </c>
      <c r="H69" s="29">
        <f t="shared" si="6"/>
        <v>3000</v>
      </c>
      <c r="I69" s="42">
        <f t="shared" ca="1" si="19"/>
        <v>7726.7325309119469</v>
      </c>
      <c r="J69" s="42">
        <f t="shared" ca="1" si="20"/>
        <v>8948.4590248608602</v>
      </c>
      <c r="L69" s="29">
        <f t="shared" ca="1" si="8"/>
        <v>2570.9731450779168</v>
      </c>
      <c r="M69" s="29">
        <f t="shared" ca="1" si="9"/>
        <v>2977.4872820700684</v>
      </c>
      <c r="O69" s="29">
        <f ca="1">SUM($L$12:L69)</f>
        <v>131847.68130341914</v>
      </c>
      <c r="P69" s="29">
        <f ca="1">SUM($M$12:M69)</f>
        <v>142865.0081126295</v>
      </c>
      <c r="R69" s="29">
        <f t="shared" ca="1" si="21"/>
        <v>924302.17930060998</v>
      </c>
      <c r="S69" s="29">
        <f t="shared" ca="1" si="22"/>
        <v>1070449.9146270966</v>
      </c>
    </row>
    <row r="70" spans="2:19" x14ac:dyDescent="0.25">
      <c r="B70" s="12">
        <f t="shared" ca="1" si="13"/>
        <v>1</v>
      </c>
      <c r="C70" s="28">
        <f t="shared" ca="1" si="14"/>
        <v>5</v>
      </c>
      <c r="D70" s="45">
        <f t="shared" ca="1" si="15"/>
        <v>119.82331201821802</v>
      </c>
      <c r="E70" s="46">
        <f t="shared" ca="1" si="16"/>
        <v>3.3350576768156719E-2</v>
      </c>
      <c r="F70" s="21">
        <f t="shared" ca="1" si="17"/>
        <v>47880</v>
      </c>
      <c r="G70" s="47">
        <f t="shared" ca="1" si="18"/>
        <v>0.33301471383986464</v>
      </c>
      <c r="H70" s="29">
        <f t="shared" si="6"/>
        <v>3000</v>
      </c>
      <c r="I70" s="42">
        <f t="shared" ca="1" si="19"/>
        <v>7751.7693951871042</v>
      </c>
      <c r="J70" s="42">
        <f t="shared" ca="1" si="20"/>
        <v>8998.3448707900825</v>
      </c>
      <c r="L70" s="29">
        <f t="shared" ca="1" si="8"/>
        <v>2581.4532668908541</v>
      </c>
      <c r="M70" s="29">
        <f t="shared" ca="1" si="9"/>
        <v>2996.5812421785731</v>
      </c>
      <c r="O70" s="29">
        <f ca="1">SUM($L$12:L70)</f>
        <v>134429.13457031001</v>
      </c>
      <c r="P70" s="29">
        <f ca="1">SUM($M$12:M70)</f>
        <v>145861.58935480806</v>
      </c>
      <c r="R70" s="29">
        <f t="shared" ca="1" si="21"/>
        <v>928842.68293277756</v>
      </c>
      <c r="S70" s="29">
        <f t="shared" ca="1" si="22"/>
        <v>1078211.4851002118</v>
      </c>
    </row>
    <row r="71" spans="2:19" x14ac:dyDescent="0.25">
      <c r="B71" s="12">
        <f t="shared" ca="1" si="13"/>
        <v>1</v>
      </c>
      <c r="C71" s="28">
        <f t="shared" ca="1" si="14"/>
        <v>5</v>
      </c>
      <c r="D71" s="45">
        <f t="shared" ca="1" si="15"/>
        <v>120.02301753824838</v>
      </c>
      <c r="E71" s="46">
        <f t="shared" ca="1" si="16"/>
        <v>3.3322830864023475E-2</v>
      </c>
      <c r="F71" s="21">
        <f t="shared" ca="1" si="17"/>
        <v>47908</v>
      </c>
      <c r="G71" s="47">
        <f t="shared" ca="1" si="18"/>
        <v>0.33329222610139786</v>
      </c>
      <c r="H71" s="29">
        <f t="shared" si="6"/>
        <v>3000</v>
      </c>
      <c r="I71" s="42">
        <f t="shared" ca="1" si="19"/>
        <v>7776.7646007862631</v>
      </c>
      <c r="J71" s="42">
        <f t="shared" ca="1" si="20"/>
        <v>9048.3067978035215</v>
      </c>
      <c r="L71" s="29">
        <f t="shared" ca="1" si="8"/>
        <v>2591.9351856626022</v>
      </c>
      <c r="M71" s="29">
        <f t="shared" ca="1" si="9"/>
        <v>3015.7303150883467</v>
      </c>
      <c r="O71" s="29">
        <f ca="1">SUM($L$12:L71)</f>
        <v>137021.06975597262</v>
      </c>
      <c r="P71" s="29">
        <f ca="1">SUM($M$12:M71)</f>
        <v>148877.31966989642</v>
      </c>
      <c r="R71" s="29">
        <f t="shared" ca="1" si="21"/>
        <v>933390.75407099887</v>
      </c>
      <c r="S71" s="29">
        <f t="shared" ca="1" si="22"/>
        <v>1086005.0854842241</v>
      </c>
    </row>
    <row r="72" spans="2:19" x14ac:dyDescent="0.25">
      <c r="B72" s="12">
        <f t="shared" ca="1" si="13"/>
        <v>2</v>
      </c>
      <c r="C72" s="28">
        <f t="shared" ca="1" si="14"/>
        <v>5</v>
      </c>
      <c r="D72" s="45">
        <f t="shared" ca="1" si="15"/>
        <v>120.22305590081213</v>
      </c>
      <c r="E72" s="46">
        <f t="shared" ca="1" si="16"/>
        <v>3.3295108043005152E-2</v>
      </c>
      <c r="F72" s="21">
        <f t="shared" ca="1" si="17"/>
        <v>47939</v>
      </c>
      <c r="G72" s="47">
        <f t="shared" ca="1" si="18"/>
        <v>0.333569969623149</v>
      </c>
      <c r="H72" s="29">
        <f t="shared" si="6"/>
        <v>3000</v>
      </c>
      <c r="I72" s="42">
        <f t="shared" ca="1" si="19"/>
        <v>7801.7182170250244</v>
      </c>
      <c r="J72" s="42">
        <f t="shared" ca="1" si="20"/>
        <v>9098.3448730297205</v>
      </c>
      <c r="L72" s="29">
        <f t="shared" ca="1" si="8"/>
        <v>2602.4189086614056</v>
      </c>
      <c r="M72" s="29">
        <f t="shared" ca="1" si="9"/>
        <v>3034.9346229174571</v>
      </c>
      <c r="O72" s="29">
        <f ca="1">SUM($L$12:L72)</f>
        <v>139623.48866463403</v>
      </c>
      <c r="P72" s="29">
        <f ca="1">SUM($M$12:M72)</f>
        <v>151912.25429281389</v>
      </c>
      <c r="R72" s="29">
        <f t="shared" ca="1" si="21"/>
        <v>937946.40532778378</v>
      </c>
      <c r="S72" s="29">
        <f t="shared" ca="1" si="22"/>
        <v>1093830.8242751195</v>
      </c>
    </row>
    <row r="73" spans="2:19" x14ac:dyDescent="0.25">
      <c r="B73" s="12">
        <f t="shared" ca="1" si="13"/>
        <v>2</v>
      </c>
      <c r="C73" s="28">
        <f t="shared" ca="1" si="14"/>
        <v>5</v>
      </c>
      <c r="D73" s="45">
        <f t="shared" ca="1" si="15"/>
        <v>120.42342766064682</v>
      </c>
      <c r="E73" s="46">
        <f t="shared" ca="1" si="16"/>
        <v>3.3267408285897825E-2</v>
      </c>
      <c r="F73" s="21">
        <f t="shared" ca="1" si="17"/>
        <v>47969</v>
      </c>
      <c r="G73" s="47">
        <f t="shared" ca="1" si="18"/>
        <v>0.33384794459783496</v>
      </c>
      <c r="H73" s="29">
        <f t="shared" si="6"/>
        <v>3000</v>
      </c>
      <c r="I73" s="42">
        <f t="shared" ca="1" si="19"/>
        <v>7826.6303131036548</v>
      </c>
      <c r="J73" s="42">
        <f t="shared" ca="1" si="20"/>
        <v>9148.4591634145108</v>
      </c>
      <c r="L73" s="29">
        <f t="shared" ca="1" si="8"/>
        <v>2612.9044431567645</v>
      </c>
      <c r="M73" s="29">
        <f t="shared" ca="1" si="9"/>
        <v>3054.1942879431631</v>
      </c>
      <c r="O73" s="29">
        <f ca="1">SUM($L$12:L73)</f>
        <v>142236.39310779079</v>
      </c>
      <c r="P73" s="29">
        <f ca="1">SUM($M$12:M73)</f>
        <v>154966.44858075705</v>
      </c>
      <c r="R73" s="29">
        <f t="shared" ca="1" si="21"/>
        <v>942509.64933666354</v>
      </c>
      <c r="S73" s="29">
        <f t="shared" ca="1" si="22"/>
        <v>1101688.8102718289</v>
      </c>
    </row>
    <row r="74" spans="2:19" x14ac:dyDescent="0.25">
      <c r="B74" s="12">
        <f t="shared" ca="1" si="13"/>
        <v>2</v>
      </c>
      <c r="C74" s="28">
        <f t="shared" ca="1" si="14"/>
        <v>5</v>
      </c>
      <c r="D74" s="45">
        <f t="shared" ca="1" si="15"/>
        <v>120.62413337341457</v>
      </c>
      <c r="E74" s="46">
        <f t="shared" ca="1" si="16"/>
        <v>3.3239731573513558E-2</v>
      </c>
      <c r="F74" s="21">
        <f t="shared" ca="1" si="17"/>
        <v>48000</v>
      </c>
      <c r="G74" s="47">
        <f t="shared" ca="1" si="18"/>
        <v>0.33412615121833317</v>
      </c>
      <c r="H74" s="29">
        <f t="shared" si="6"/>
        <v>3000</v>
      </c>
      <c r="I74" s="42">
        <f t="shared" ca="1" si="19"/>
        <v>7851.5009581072791</v>
      </c>
      <c r="J74" s="42">
        <f t="shared" ca="1" si="20"/>
        <v>9198.6497357206445</v>
      </c>
      <c r="L74" s="29">
        <f t="shared" ca="1" si="8"/>
        <v>2623.3917964194407</v>
      </c>
      <c r="M74" s="29">
        <f t="shared" ca="1" si="9"/>
        <v>3073.5094326018766</v>
      </c>
      <c r="O74" s="29">
        <f ca="1">SUM($L$12:L74)</f>
        <v>144859.78490421025</v>
      </c>
      <c r="P74" s="29">
        <f ca="1">SUM($M$12:M74)</f>
        <v>158039.95801335893</v>
      </c>
      <c r="R74" s="29">
        <f t="shared" ca="1" si="21"/>
        <v>947080.49875222472</v>
      </c>
      <c r="S74" s="29">
        <f t="shared" ca="1" si="22"/>
        <v>1109579.1525768917</v>
      </c>
    </row>
    <row r="75" spans="2:19" x14ac:dyDescent="0.25">
      <c r="B75" s="12">
        <f t="shared" ca="1" si="13"/>
        <v>3</v>
      </c>
      <c r="C75" s="28">
        <f t="shared" ca="1" si="14"/>
        <v>5</v>
      </c>
      <c r="D75" s="45">
        <f t="shared" ca="1" si="15"/>
        <v>120.82517359570359</v>
      </c>
      <c r="E75" s="46">
        <f t="shared" ca="1" si="16"/>
        <v>3.3212077886680347E-2</v>
      </c>
      <c r="F75" s="21">
        <f t="shared" ca="1" si="17"/>
        <v>48030</v>
      </c>
      <c r="G75" s="47">
        <f t="shared" ca="1" si="18"/>
        <v>0.33440458967768177</v>
      </c>
      <c r="H75" s="29">
        <f t="shared" si="6"/>
        <v>3000</v>
      </c>
      <c r="I75" s="42">
        <f t="shared" ca="1" si="19"/>
        <v>7876.330221006072</v>
      </c>
      <c r="J75" s="42">
        <f t="shared" ca="1" si="20"/>
        <v>9248.9166565274336</v>
      </c>
      <c r="L75" s="29">
        <f t="shared" ca="1" si="8"/>
        <v>2633.8809757214599</v>
      </c>
      <c r="M75" s="29">
        <f t="shared" ca="1" si="9"/>
        <v>3092.8801794891328</v>
      </c>
      <c r="O75" s="29">
        <f ca="1">SUM($L$12:L75)</f>
        <v>147493.66587993171</v>
      </c>
      <c r="P75" s="29">
        <f ca="1">SUM($M$12:M75)</f>
        <v>161132.83819284805</v>
      </c>
      <c r="R75" s="29">
        <f t="shared" ca="1" si="21"/>
        <v>951658.96625014511</v>
      </c>
      <c r="S75" s="29">
        <f t="shared" ca="1" si="22"/>
        <v>1117501.9605971216</v>
      </c>
    </row>
    <row r="76" spans="2:19" x14ac:dyDescent="0.25">
      <c r="B76" s="12">
        <f t="shared" ca="1" si="13"/>
        <v>3</v>
      </c>
      <c r="C76" s="28">
        <f t="shared" ca="1" si="14"/>
        <v>5</v>
      </c>
      <c r="D76" s="45">
        <f t="shared" ca="1" si="15"/>
        <v>121.02654888502977</v>
      </c>
      <c r="E76" s="46">
        <f t="shared" ca="1" si="16"/>
        <v>3.3184447206242175E-2</v>
      </c>
      <c r="F76" s="21">
        <f t="shared" ca="1" si="17"/>
        <v>48061</v>
      </c>
      <c r="G76" s="47">
        <f t="shared" ca="1" si="18"/>
        <v>0.33468326016907984</v>
      </c>
      <c r="H76" s="29">
        <f t="shared" si="6"/>
        <v>3000</v>
      </c>
      <c r="I76" s="42">
        <f t="shared" ca="1" si="19"/>
        <v>7901.1181706554489</v>
      </c>
      <c r="J76" s="42">
        <f t="shared" ca="1" si="20"/>
        <v>9299.2599922303889</v>
      </c>
      <c r="L76" s="29">
        <f t="shared" ca="1" si="8"/>
        <v>2644.3719883361218</v>
      </c>
      <c r="M76" s="29">
        <f t="shared" ca="1" si="9"/>
        <v>3112.3066513595586</v>
      </c>
      <c r="O76" s="29">
        <f ca="1">SUM($L$12:L76)</f>
        <v>150138.03786826783</v>
      </c>
      <c r="P76" s="29">
        <f ca="1">SUM($M$12:M76)</f>
        <v>164245.14484420762</v>
      </c>
      <c r="R76" s="29">
        <f t="shared" ca="1" si="21"/>
        <v>956245.06452722871</v>
      </c>
      <c r="S76" s="29">
        <f t="shared" ca="1" si="22"/>
        <v>1125457.3440442728</v>
      </c>
    </row>
    <row r="77" spans="2:19" x14ac:dyDescent="0.25">
      <c r="B77" s="12">
        <f t="shared" ca="1" si="13"/>
        <v>3</v>
      </c>
      <c r="C77" s="28">
        <f t="shared" ca="1" si="14"/>
        <v>5</v>
      </c>
      <c r="D77" s="45">
        <f t="shared" ca="1" si="15"/>
        <v>121.22825979983816</v>
      </c>
      <c r="E77" s="46">
        <f t="shared" ca="1" si="16"/>
        <v>3.3156839513058943E-2</v>
      </c>
      <c r="F77" s="21">
        <f t="shared" ca="1" si="17"/>
        <v>48092</v>
      </c>
      <c r="G77" s="47">
        <f t="shared" ca="1" si="18"/>
        <v>0.33496216288588743</v>
      </c>
      <c r="H77" s="29">
        <f t="shared" si="6"/>
        <v>3000</v>
      </c>
      <c r="I77" s="42">
        <f t="shared" ca="1" si="19"/>
        <v>7925.8648757962583</v>
      </c>
      <c r="J77" s="42">
        <f t="shared" ca="1" si="20"/>
        <v>9349.6798090408556</v>
      </c>
      <c r="L77" s="29">
        <f t="shared" ca="1" si="8"/>
        <v>2654.8648415380003</v>
      </c>
      <c r="M77" s="29">
        <f t="shared" ca="1" si="9"/>
        <v>3131.7889711268358</v>
      </c>
      <c r="O77" s="29">
        <f ca="1">SUM($L$12:L77)</f>
        <v>152792.90270980581</v>
      </c>
      <c r="P77" s="29">
        <f ca="1">SUM($M$12:M77)</f>
        <v>167376.93381533446</v>
      </c>
      <c r="R77" s="29">
        <f t="shared" ca="1" si="21"/>
        <v>960838.80630144081</v>
      </c>
      <c r="S77" s="29">
        <f t="shared" ca="1" si="22"/>
        <v>1133445.4129357061</v>
      </c>
    </row>
    <row r="78" spans="2:19" x14ac:dyDescent="0.25">
      <c r="B78" s="12">
        <f t="shared" ca="1" si="13"/>
        <v>4</v>
      </c>
      <c r="C78" s="28">
        <f t="shared" ca="1" si="14"/>
        <v>5</v>
      </c>
      <c r="D78" s="45">
        <f t="shared" ca="1" si="15"/>
        <v>121.43030689950456</v>
      </c>
      <c r="E78" s="46">
        <f t="shared" ca="1" si="16"/>
        <v>3.3129254788006483E-2</v>
      </c>
      <c r="F78" s="21">
        <f t="shared" ca="1" si="17"/>
        <v>48122</v>
      </c>
      <c r="G78" s="47">
        <f t="shared" ca="1" si="18"/>
        <v>0.33524129802162567</v>
      </c>
      <c r="H78" s="29">
        <f t="shared" ref="H78:H141" si="23">IF($F$5="Mensuel",$E$5,0)</f>
        <v>3000</v>
      </c>
      <c r="I78" s="42">
        <f t="shared" ca="1" si="19"/>
        <v>7950.5704050549693</v>
      </c>
      <c r="J78" s="42">
        <f t="shared" ca="1" si="20"/>
        <v>9400.1761729856607</v>
      </c>
      <c r="L78" s="29">
        <f t="shared" ref="L78:L141" ca="1" si="24">I78*G78</f>
        <v>2665.3595426029501</v>
      </c>
      <c r="M78" s="29">
        <f t="shared" ref="M78:M141" ca="1" si="25">J78*G78</f>
        <v>3151.3272618636706</v>
      </c>
      <c r="O78" s="29">
        <f ca="1">SUM($L$12:L78)</f>
        <v>155458.26225240878</v>
      </c>
      <c r="P78" s="29">
        <f ca="1">SUM($M$12:M78)</f>
        <v>170528.26107719814</v>
      </c>
      <c r="R78" s="29">
        <f t="shared" ca="1" si="21"/>
        <v>965440.20431194315</v>
      </c>
      <c r="S78" s="29">
        <f t="shared" ca="1" si="22"/>
        <v>1141466.277595059</v>
      </c>
    </row>
    <row r="79" spans="2:19" x14ac:dyDescent="0.25">
      <c r="B79" s="12">
        <f t="shared" ca="1" si="13"/>
        <v>4</v>
      </c>
      <c r="C79" s="28">
        <f t="shared" ca="1" si="14"/>
        <v>5</v>
      </c>
      <c r="D79" s="45">
        <f t="shared" ca="1" si="15"/>
        <v>121.63269074433707</v>
      </c>
      <c r="E79" s="46">
        <f t="shared" ca="1" si="16"/>
        <v>3.3101693011976525E-2</v>
      </c>
      <c r="F79" s="21">
        <f t="shared" ca="1" si="17"/>
        <v>48153</v>
      </c>
      <c r="G79" s="47">
        <f t="shared" ca="1" si="18"/>
        <v>0.33552066576997702</v>
      </c>
      <c r="H79" s="29">
        <f t="shared" si="23"/>
        <v>3000</v>
      </c>
      <c r="I79" s="42">
        <f t="shared" ca="1" si="19"/>
        <v>7975.2348269438662</v>
      </c>
      <c r="J79" s="42">
        <f t="shared" ca="1" si="20"/>
        <v>9450.7491499067528</v>
      </c>
      <c r="L79" s="29">
        <f t="shared" ca="1" si="24"/>
        <v>2675.8560988081135</v>
      </c>
      <c r="M79" s="29">
        <f t="shared" ca="1" si="25"/>
        <v>3170.921646801758</v>
      </c>
      <c r="O79" s="29">
        <f ca="1">SUM($L$12:L79)</f>
        <v>158134.11835121689</v>
      </c>
      <c r="P79" s="29">
        <f ca="1">SUM($M$12:M79)</f>
        <v>173699.1827239999</v>
      </c>
      <c r="R79" s="29">
        <f t="shared" ca="1" si="21"/>
        <v>970049.27131912985</v>
      </c>
      <c r="S79" s="29">
        <f t="shared" ca="1" si="22"/>
        <v>1149520.0486529146</v>
      </c>
    </row>
    <row r="80" spans="2:19" x14ac:dyDescent="0.25">
      <c r="B80" s="12">
        <f t="shared" ca="1" si="13"/>
        <v>4</v>
      </c>
      <c r="C80" s="28">
        <f t="shared" ca="1" si="14"/>
        <v>5</v>
      </c>
      <c r="D80" s="45">
        <f t="shared" ca="1" si="15"/>
        <v>121.83541189557764</v>
      </c>
      <c r="E80" s="46">
        <f t="shared" ca="1" si="16"/>
        <v>3.3074154165876717E-2</v>
      </c>
      <c r="F80" s="21">
        <f t="shared" ca="1" si="17"/>
        <v>48183</v>
      </c>
      <c r="G80" s="47">
        <f t="shared" ca="1" si="18"/>
        <v>0.33580026632478532</v>
      </c>
      <c r="H80" s="29">
        <f t="shared" si="23"/>
        <v>3000</v>
      </c>
      <c r="I80" s="42">
        <f t="shared" ca="1" si="19"/>
        <v>7999.8582098612333</v>
      </c>
      <c r="J80" s="42">
        <f t="shared" ca="1" si="20"/>
        <v>9501.3988054608435</v>
      </c>
      <c r="L80" s="29">
        <f t="shared" ca="1" si="24"/>
        <v>2686.3545174319224</v>
      </c>
      <c r="M80" s="29">
        <f t="shared" ca="1" si="25"/>
        <v>3190.5722493317485</v>
      </c>
      <c r="O80" s="29">
        <f ca="1">SUM($L$12:L80)</f>
        <v>160820.47286864882</v>
      </c>
      <c r="P80" s="29">
        <f ca="1">SUM($M$12:M80)</f>
        <v>176889.75497333164</v>
      </c>
      <c r="R80" s="29">
        <f t="shared" ca="1" si="21"/>
        <v>974666.0201046617</v>
      </c>
      <c r="S80" s="29">
        <f t="shared" ca="1" si="22"/>
        <v>1157606.8370474712</v>
      </c>
    </row>
    <row r="81" spans="2:19" x14ac:dyDescent="0.25">
      <c r="B81" s="12">
        <f t="shared" ca="1" si="13"/>
        <v>1</v>
      </c>
      <c r="C81" s="28">
        <f t="shared" ca="1" si="14"/>
        <v>6</v>
      </c>
      <c r="D81" s="45">
        <f t="shared" ca="1" si="15"/>
        <v>122.03847091540361</v>
      </c>
      <c r="E81" s="46">
        <f t="shared" ca="1" si="16"/>
        <v>3.3046638230630559E-2</v>
      </c>
      <c r="F81" s="21">
        <f t="shared" ca="1" si="17"/>
        <v>48214</v>
      </c>
      <c r="G81" s="47">
        <f t="shared" ca="1" si="18"/>
        <v>0.33608009988005599</v>
      </c>
      <c r="H81" s="29">
        <f t="shared" si="23"/>
        <v>3000</v>
      </c>
      <c r="I81" s="42">
        <f t="shared" ca="1" si="19"/>
        <v>8024.4406220915498</v>
      </c>
      <c r="J81" s="42">
        <f t="shared" ca="1" si="20"/>
        <v>9552.125205119055</v>
      </c>
      <c r="L81" s="29">
        <f t="shared" ca="1" si="24"/>
        <v>2696.8548057541066</v>
      </c>
      <c r="M81" s="29">
        <f t="shared" ca="1" si="25"/>
        <v>3210.2791930032122</v>
      </c>
      <c r="O81" s="29">
        <f ca="1">SUM($L$12:L81)</f>
        <v>163517.32767440294</v>
      </c>
      <c r="P81" s="29">
        <f ca="1">SUM($M$12:M81)</f>
        <v>180100.03416633487</v>
      </c>
      <c r="R81" s="29">
        <f t="shared" ca="1" si="21"/>
        <v>979290.46347150288</v>
      </c>
      <c r="S81" s="29">
        <f t="shared" ca="1" si="22"/>
        <v>1165726.7540252155</v>
      </c>
    </row>
    <row r="82" spans="2:19" x14ac:dyDescent="0.25">
      <c r="B82" s="12">
        <f t="shared" ca="1" si="13"/>
        <v>1</v>
      </c>
      <c r="C82" s="28">
        <f t="shared" ca="1" si="14"/>
        <v>6</v>
      </c>
      <c r="D82" s="45">
        <f t="shared" ca="1" si="15"/>
        <v>122.24186836692928</v>
      </c>
      <c r="E82" s="46">
        <f t="shared" ca="1" si="16"/>
        <v>3.3019145187177454E-2</v>
      </c>
      <c r="F82" s="21">
        <f t="shared" ca="1" si="17"/>
        <v>48245</v>
      </c>
      <c r="G82" s="47">
        <f t="shared" ca="1" si="18"/>
        <v>0.33636016662995605</v>
      </c>
      <c r="H82" s="29">
        <f t="shared" si="23"/>
        <v>3000</v>
      </c>
      <c r="I82" s="42">
        <f t="shared" ca="1" si="19"/>
        <v>8048.9821318056765</v>
      </c>
      <c r="J82" s="42">
        <f t="shared" ca="1" si="20"/>
        <v>9602.9284141665648</v>
      </c>
      <c r="L82" s="29">
        <f t="shared" ca="1" si="24"/>
        <v>2707.3569710556962</v>
      </c>
      <c r="M82" s="29">
        <f t="shared" ca="1" si="25"/>
        <v>3230.0426015246053</v>
      </c>
      <c r="O82" s="29">
        <f ca="1">SUM($L$12:L82)</f>
        <v>166224.68464545865</v>
      </c>
      <c r="P82" s="29">
        <f ca="1">SUM($M$12:M82)</f>
        <v>183330.07676785949</v>
      </c>
      <c r="R82" s="29">
        <f t="shared" ca="1" si="21"/>
        <v>983922.61424395535</v>
      </c>
      <c r="S82" s="29">
        <f t="shared" ca="1" si="22"/>
        <v>1173879.9111415942</v>
      </c>
    </row>
    <row r="83" spans="2:19" x14ac:dyDescent="0.25">
      <c r="B83" s="12">
        <f t="shared" ca="1" si="13"/>
        <v>1</v>
      </c>
      <c r="C83" s="28">
        <f t="shared" ca="1" si="14"/>
        <v>6</v>
      </c>
      <c r="D83" s="45">
        <f t="shared" ca="1" si="15"/>
        <v>122.4456048142075</v>
      </c>
      <c r="E83" s="46">
        <f t="shared" ca="1" si="16"/>
        <v>3.2991675016472641E-2</v>
      </c>
      <c r="F83" s="21">
        <f t="shared" ca="1" si="17"/>
        <v>48274</v>
      </c>
      <c r="G83" s="47">
        <f t="shared" ca="1" si="18"/>
        <v>0.33664046676881432</v>
      </c>
      <c r="H83" s="29">
        <f t="shared" si="23"/>
        <v>3000</v>
      </c>
      <c r="I83" s="42">
        <f t="shared" ca="1" si="19"/>
        <v>8073.4828070610447</v>
      </c>
      <c r="J83" s="42">
        <f t="shared" ca="1" si="20"/>
        <v>9653.8084977022518</v>
      </c>
      <c r="L83" s="29">
        <f t="shared" ca="1" si="24"/>
        <v>2717.8610206190274</v>
      </c>
      <c r="M83" s="29">
        <f t="shared" ca="1" si="25"/>
        <v>3249.8625987632322</v>
      </c>
      <c r="O83" s="29">
        <f ca="1">SUM($L$12:L83)</f>
        <v>168942.54566607767</v>
      </c>
      <c r="P83" s="29">
        <f ca="1">SUM($M$12:M83)</f>
        <v>186579.93936662271</v>
      </c>
      <c r="R83" s="29">
        <f t="shared" ca="1" si="21"/>
        <v>988562.48526769527</v>
      </c>
      <c r="S83" s="29">
        <f t="shared" ca="1" si="22"/>
        <v>1182066.4202616881</v>
      </c>
    </row>
    <row r="84" spans="2:19" x14ac:dyDescent="0.25">
      <c r="B84" s="12">
        <f t="shared" ca="1" si="13"/>
        <v>2</v>
      </c>
      <c r="C84" s="28">
        <f t="shared" ca="1" si="14"/>
        <v>6</v>
      </c>
      <c r="D84" s="45">
        <f t="shared" ca="1" si="15"/>
        <v>122.64968082223119</v>
      </c>
      <c r="E84" s="46">
        <f t="shared" ca="1" si="16"/>
        <v>3.2964227699487224E-2</v>
      </c>
      <c r="F84" s="21">
        <f t="shared" ca="1" si="17"/>
        <v>48305</v>
      </c>
      <c r="G84" s="47">
        <f t="shared" ca="1" si="18"/>
        <v>0.33692100049112167</v>
      </c>
      <c r="H84" s="29">
        <f t="shared" si="23"/>
        <v>3000</v>
      </c>
      <c r="I84" s="42">
        <f t="shared" ca="1" si="19"/>
        <v>8097.9427158018443</v>
      </c>
      <c r="J84" s="42">
        <f t="shared" ca="1" si="20"/>
        <v>9704.7655206383479</v>
      </c>
      <c r="L84" s="29">
        <f t="shared" ca="1" si="24"/>
        <v>2728.3669617277483</v>
      </c>
      <c r="M84" s="29">
        <f t="shared" ca="1" si="25"/>
        <v>3269.7393087452133</v>
      </c>
      <c r="O84" s="29">
        <f ca="1">SUM($L$12:L84)</f>
        <v>171670.91262780543</v>
      </c>
      <c r="P84" s="29">
        <f ca="1">SUM($M$12:M84)</f>
        <v>189849.67867536793</v>
      </c>
      <c r="R84" s="29">
        <f t="shared" ca="1" si="21"/>
        <v>993210.08940980828</v>
      </c>
      <c r="S84" s="29">
        <f t="shared" ca="1" si="22"/>
        <v>1190286.3935608878</v>
      </c>
    </row>
    <row r="85" spans="2:19" x14ac:dyDescent="0.25">
      <c r="B85" s="12">
        <f t="shared" ca="1" si="13"/>
        <v>2</v>
      </c>
      <c r="C85" s="28">
        <f t="shared" ca="1" si="14"/>
        <v>6</v>
      </c>
      <c r="D85" s="45">
        <f t="shared" ca="1" si="15"/>
        <v>122.85409695693491</v>
      </c>
      <c r="E85" s="46">
        <f t="shared" ca="1" si="16"/>
        <v>3.293680321720812E-2</v>
      </c>
      <c r="F85" s="21">
        <f t="shared" ca="1" si="17"/>
        <v>48335</v>
      </c>
      <c r="G85" s="47">
        <f t="shared" ca="1" si="18"/>
        <v>0.33720176799153095</v>
      </c>
      <c r="H85" s="29">
        <f t="shared" si="23"/>
        <v>3000</v>
      </c>
      <c r="I85" s="42">
        <f t="shared" ca="1" si="19"/>
        <v>8122.3619258592153</v>
      </c>
      <c r="J85" s="42">
        <f t="shared" ca="1" si="20"/>
        <v>9755.7995477000823</v>
      </c>
      <c r="L85" s="29">
        <f t="shared" ca="1" si="24"/>
        <v>2738.8748016668237</v>
      </c>
      <c r="M85" s="29">
        <f t="shared" ca="1" si="25"/>
        <v>3289.6728556554458</v>
      </c>
      <c r="O85" s="29">
        <f ca="1">SUM($L$12:L85)</f>
        <v>174409.78742947226</v>
      </c>
      <c r="P85" s="29">
        <f ca="1">SUM($M$12:M85)</f>
        <v>193139.35153102339</v>
      </c>
      <c r="R85" s="29">
        <f t="shared" ca="1" si="21"/>
        <v>997865.43955882464</v>
      </c>
      <c r="S85" s="29">
        <f t="shared" ca="1" si="22"/>
        <v>1198539.9435255677</v>
      </c>
    </row>
    <row r="86" spans="2:19" x14ac:dyDescent="0.25">
      <c r="B86" s="12">
        <f t="shared" ca="1" si="13"/>
        <v>2</v>
      </c>
      <c r="C86" s="28">
        <f t="shared" ca="1" si="14"/>
        <v>6</v>
      </c>
      <c r="D86" s="45">
        <f t="shared" ca="1" si="15"/>
        <v>123.05885378519648</v>
      </c>
      <c r="E86" s="46">
        <f t="shared" ca="1" si="16"/>
        <v>3.2909401550638054E-2</v>
      </c>
      <c r="F86" s="21">
        <f t="shared" ca="1" si="17"/>
        <v>48366</v>
      </c>
      <c r="G86" s="47">
        <f t="shared" ca="1" si="18"/>
        <v>0.33748276946485722</v>
      </c>
      <c r="H86" s="29">
        <f t="shared" si="23"/>
        <v>3000</v>
      </c>
      <c r="I86" s="42">
        <f t="shared" ca="1" si="19"/>
        <v>8146.7405049514327</v>
      </c>
      <c r="J86" s="42">
        <f t="shared" ca="1" si="20"/>
        <v>9806.910643425339</v>
      </c>
      <c r="L86" s="29">
        <f t="shared" ca="1" si="24"/>
        <v>2749.3845477225391</v>
      </c>
      <c r="M86" s="29">
        <f t="shared" ca="1" si="25"/>
        <v>3309.6633638375683</v>
      </c>
      <c r="O86" s="29">
        <f ca="1">SUM($L$12:L86)</f>
        <v>177159.17197719478</v>
      </c>
      <c r="P86" s="29">
        <f ca="1">SUM($M$12:M86)</f>
        <v>196449.01489486097</v>
      </c>
      <c r="R86" s="29">
        <f t="shared" ca="1" si="21"/>
        <v>1002528.548624756</v>
      </c>
      <c r="S86" s="29">
        <f t="shared" ca="1" si="22"/>
        <v>1206827.1829537658</v>
      </c>
    </row>
    <row r="87" spans="2:19" x14ac:dyDescent="0.25">
      <c r="B87" s="12">
        <f t="shared" ca="1" si="13"/>
        <v>3</v>
      </c>
      <c r="C87" s="28">
        <f t="shared" ca="1" si="14"/>
        <v>6</v>
      </c>
      <c r="D87" s="45">
        <f t="shared" ca="1" si="15"/>
        <v>123.26395187483847</v>
      </c>
      <c r="E87" s="46">
        <f t="shared" ca="1" si="16"/>
        <v>3.2882022680795597E-2</v>
      </c>
      <c r="F87" s="21">
        <f t="shared" ca="1" si="17"/>
        <v>48396</v>
      </c>
      <c r="G87" s="47">
        <f t="shared" ca="1" si="18"/>
        <v>0.33776400510607796</v>
      </c>
      <c r="H87" s="29">
        <f t="shared" si="23"/>
        <v>3000</v>
      </c>
      <c r="I87" s="42">
        <f t="shared" ca="1" si="19"/>
        <v>8171.0785206840956</v>
      </c>
      <c r="J87" s="42">
        <f t="shared" ca="1" si="20"/>
        <v>9858.0988721643007</v>
      </c>
      <c r="L87" s="29">
        <f t="shared" ca="1" si="24"/>
        <v>2759.8962071825067</v>
      </c>
      <c r="M87" s="29">
        <f t="shared" ca="1" si="25"/>
        <v>3329.7109577939241</v>
      </c>
      <c r="O87" s="29">
        <f ca="1">SUM($L$12:L87)</f>
        <v>179919.06818437728</v>
      </c>
      <c r="P87" s="29">
        <f ca="1">SUM($M$12:M87)</f>
        <v>199778.7258526549</v>
      </c>
      <c r="R87" s="29">
        <f t="shared" ca="1" si="21"/>
        <v>1007199.4295391307</v>
      </c>
      <c r="S87" s="29">
        <f t="shared" ca="1" si="22"/>
        <v>1215148.2249558598</v>
      </c>
    </row>
    <row r="88" spans="2:19" x14ac:dyDescent="0.25">
      <c r="B88" s="12">
        <f t="shared" ca="1" si="13"/>
        <v>3</v>
      </c>
      <c r="C88" s="28">
        <f t="shared" ca="1" si="14"/>
        <v>6</v>
      </c>
      <c r="D88" s="45">
        <f t="shared" ca="1" si="15"/>
        <v>123.46939179462987</v>
      </c>
      <c r="E88" s="46">
        <f t="shared" ca="1" si="16"/>
        <v>3.2854666588715067E-2</v>
      </c>
      <c r="F88" s="21">
        <f t="shared" ca="1" si="17"/>
        <v>48427</v>
      </c>
      <c r="G88" s="47">
        <f t="shared" ca="1" si="18"/>
        <v>0.338045475110333</v>
      </c>
      <c r="H88" s="29">
        <f t="shared" si="23"/>
        <v>3000</v>
      </c>
      <c r="I88" s="42">
        <f t="shared" ca="1" si="19"/>
        <v>8195.3760405503144</v>
      </c>
      <c r="J88" s="42">
        <f t="shared" ca="1" si="20"/>
        <v>9909.3642980791083</v>
      </c>
      <c r="L88" s="29">
        <f t="shared" ca="1" si="24"/>
        <v>2770.4097873356709</v>
      </c>
      <c r="M88" s="29">
        <f t="shared" ca="1" si="25"/>
        <v>3349.8157621855235</v>
      </c>
      <c r="O88" s="29">
        <f ca="1">SUM($L$12:L88)</f>
        <v>182689.47797171294</v>
      </c>
      <c r="P88" s="29">
        <f ca="1">SUM($M$12:M88)</f>
        <v>203128.54161484042</v>
      </c>
      <c r="R88" s="29">
        <f t="shared" ca="1" si="21"/>
        <v>1011878.0952550293</v>
      </c>
      <c r="S88" s="29">
        <f t="shared" ca="1" si="22"/>
        <v>1223503.1829552469</v>
      </c>
    </row>
    <row r="89" spans="2:19" x14ac:dyDescent="0.25">
      <c r="B89" s="12">
        <f t="shared" ca="1" si="13"/>
        <v>3</v>
      </c>
      <c r="C89" s="28">
        <f t="shared" ca="1" si="14"/>
        <v>6</v>
      </c>
      <c r="D89" s="45">
        <f t="shared" ca="1" si="15"/>
        <v>123.67517411428759</v>
      </c>
      <c r="E89" s="46">
        <f t="shared" ca="1" si="16"/>
        <v>3.2827333255446588E-2</v>
      </c>
      <c r="F89" s="21">
        <f t="shared" ca="1" si="17"/>
        <v>48458</v>
      </c>
      <c r="G89" s="47">
        <f t="shared" ca="1" si="18"/>
        <v>0.33832717967292497</v>
      </c>
      <c r="H89" s="29">
        <f t="shared" si="23"/>
        <v>3000</v>
      </c>
      <c r="I89" s="42">
        <f t="shared" ca="1" si="19"/>
        <v>8219.6331319308993</v>
      </c>
      <c r="J89" s="42">
        <f t="shared" ca="1" si="20"/>
        <v>9960.7069851435117</v>
      </c>
      <c r="L89" s="29">
        <f t="shared" ca="1" si="24"/>
        <v>2780.9252954723124</v>
      </c>
      <c r="M89" s="29">
        <f t="shared" ca="1" si="25"/>
        <v>3369.9779018320078</v>
      </c>
      <c r="O89" s="29">
        <f ca="1">SUM($L$12:L89)</f>
        <v>185470.40326718526</v>
      </c>
      <c r="P89" s="29">
        <f ca="1">SUM($M$12:M89)</f>
        <v>206498.51951667242</v>
      </c>
      <c r="R89" s="29">
        <f t="shared" ca="1" si="21"/>
        <v>1016564.5587471209</v>
      </c>
      <c r="S89" s="29">
        <f t="shared" ca="1" si="22"/>
        <v>1231892.1706890243</v>
      </c>
    </row>
    <row r="90" spans="2:19" x14ac:dyDescent="0.25">
      <c r="B90" s="12">
        <f t="shared" ca="1" si="13"/>
        <v>4</v>
      </c>
      <c r="C90" s="28">
        <f t="shared" ca="1" si="14"/>
        <v>6</v>
      </c>
      <c r="D90" s="45">
        <f t="shared" ca="1" si="15"/>
        <v>123.88129940447807</v>
      </c>
      <c r="E90" s="46">
        <f t="shared" ca="1" si="16"/>
        <v>3.2800022662056033E-2</v>
      </c>
      <c r="F90" s="21">
        <f t="shared" ca="1" si="17"/>
        <v>48488</v>
      </c>
      <c r="G90" s="47">
        <f t="shared" ca="1" si="18"/>
        <v>0.33860911898931906</v>
      </c>
      <c r="H90" s="29">
        <f t="shared" si="23"/>
        <v>3000</v>
      </c>
      <c r="I90" s="42">
        <f t="shared" ca="1" si="19"/>
        <v>8243.8498620945447</v>
      </c>
      <c r="J90" s="42">
        <f t="shared" ca="1" si="20"/>
        <v>10012.126997142528</v>
      </c>
      <c r="L90" s="29">
        <f t="shared" ca="1" si="24"/>
        <v>2791.4427388840531</v>
      </c>
      <c r="M90" s="29">
        <f t="shared" ca="1" si="25"/>
        <v>3390.1975017116079</v>
      </c>
      <c r="O90" s="29">
        <f ca="1">SUM($L$12:L90)</f>
        <v>188261.8460060693</v>
      </c>
      <c r="P90" s="29">
        <f ca="1">SUM($M$12:M90)</f>
        <v>209888.71701838402</v>
      </c>
      <c r="R90" s="29">
        <f t="shared" ca="1" si="21"/>
        <v>1021258.8330116996</v>
      </c>
      <c r="S90" s="29">
        <f t="shared" ca="1" si="22"/>
        <v>1240315.3022086716</v>
      </c>
    </row>
    <row r="91" spans="2:19" x14ac:dyDescent="0.25">
      <c r="B91" s="12">
        <f t="shared" ca="1" si="13"/>
        <v>4</v>
      </c>
      <c r="C91" s="28">
        <f t="shared" ca="1" si="14"/>
        <v>6</v>
      </c>
      <c r="D91" s="45">
        <f t="shared" ca="1" si="15"/>
        <v>124.08776823681887</v>
      </c>
      <c r="E91" s="46">
        <f t="shared" ca="1" si="16"/>
        <v>3.277273478962503E-2</v>
      </c>
      <c r="F91" s="21">
        <f t="shared" ca="1" si="17"/>
        <v>48519</v>
      </c>
      <c r="G91" s="47">
        <f t="shared" ca="1" si="18"/>
        <v>0.3388912932551435</v>
      </c>
      <c r="H91" s="29">
        <f t="shared" si="23"/>
        <v>3000</v>
      </c>
      <c r="I91" s="42">
        <f t="shared" ca="1" si="19"/>
        <v>8268.0262981980177</v>
      </c>
      <c r="J91" s="42">
        <f t="shared" ca="1" si="20"/>
        <v>10063.624397672096</v>
      </c>
      <c r="L91" s="29">
        <f t="shared" ca="1" si="24"/>
        <v>2801.9621248638628</v>
      </c>
      <c r="M91" s="29">
        <f t="shared" ca="1" si="25"/>
        <v>3410.4746869611113</v>
      </c>
      <c r="O91" s="29">
        <f ca="1">SUM($L$12:L91)</f>
        <v>191063.80813093318</v>
      </c>
      <c r="P91" s="29">
        <f ca="1">SUM($M$12:M91)</f>
        <v>213299.19170534512</v>
      </c>
      <c r="R91" s="29">
        <f t="shared" ca="1" si="21"/>
        <v>1025960.9310667191</v>
      </c>
      <c r="S91" s="29">
        <f t="shared" ca="1" si="22"/>
        <v>1248772.6918807309</v>
      </c>
    </row>
    <row r="92" spans="2:19" x14ac:dyDescent="0.25">
      <c r="B92" s="12">
        <f t="shared" ca="1" si="13"/>
        <v>4</v>
      </c>
      <c r="C92" s="28">
        <f t="shared" ca="1" si="14"/>
        <v>6</v>
      </c>
      <c r="D92" s="45">
        <f t="shared" ca="1" si="15"/>
        <v>124.29458118388024</v>
      </c>
      <c r="E92" s="46">
        <f t="shared" ca="1" si="16"/>
        <v>3.2745469619250969E-2</v>
      </c>
      <c r="F92" s="21">
        <f t="shared" ca="1" si="17"/>
        <v>48549</v>
      </c>
      <c r="G92" s="47">
        <f t="shared" ca="1" si="18"/>
        <v>0.33917370266618946</v>
      </c>
      <c r="H92" s="29">
        <f t="shared" si="23"/>
        <v>3000</v>
      </c>
      <c r="I92" s="42">
        <f t="shared" ca="1" si="19"/>
        <v>8292.1625072863426</v>
      </c>
      <c r="J92" s="42">
        <f t="shared" ca="1" si="20"/>
        <v>10115.199250138734</v>
      </c>
      <c r="L92" s="29">
        <f t="shared" ca="1" si="24"/>
        <v>2812.483460706062</v>
      </c>
      <c r="M92" s="29">
        <f t="shared" ca="1" si="25"/>
        <v>3430.8095828758173</v>
      </c>
      <c r="O92" s="29">
        <f ca="1">SUM($L$12:L92)</f>
        <v>193876.29159163922</v>
      </c>
      <c r="P92" s="29">
        <f ca="1">SUM($M$12:M92)</f>
        <v>216730.00128822093</v>
      </c>
      <c r="R92" s="29">
        <f t="shared" ca="1" si="21"/>
        <v>1030670.8659518303</v>
      </c>
      <c r="S92" s="29">
        <f t="shared" ca="1" si="22"/>
        <v>1257264.4543874934</v>
      </c>
    </row>
    <row r="93" spans="2:19" x14ac:dyDescent="0.25">
      <c r="B93" s="12">
        <f t="shared" ref="B93:B156" ca="1" si="26">ROUNDUP(MONTH(F93)/3,0)</f>
        <v>1</v>
      </c>
      <c r="C93" s="28">
        <f t="shared" ref="C93:C156" ca="1" si="27">YEAR(F93)-YEAR(TODAY())</f>
        <v>7</v>
      </c>
      <c r="D93" s="45">
        <f t="shared" ref="D93:D156" ca="1" si="28">D92*(1+($C$5/12))</f>
        <v>124.50173881918671</v>
      </c>
      <c r="E93" s="46">
        <f t="shared" ref="E93:E156" ca="1" si="29">(G93*12)/D93</f>
        <v>3.2718227132046931E-2</v>
      </c>
      <c r="F93" s="21">
        <f t="shared" ref="F93:F156" ca="1" si="30">EDATE(F92,1)</f>
        <v>48580</v>
      </c>
      <c r="G93" s="47">
        <f t="shared" ref="G93:G156" ca="1" si="31">($H$5/12)*G92+G92</f>
        <v>0.3394563474184113</v>
      </c>
      <c r="H93" s="29">
        <f t="shared" si="23"/>
        <v>3000</v>
      </c>
      <c r="I93" s="42">
        <f t="shared" ref="I93:I156" ca="1" si="32">I92+H93/D93</f>
        <v>8316.2585562929908</v>
      </c>
      <c r="J93" s="42">
        <f t="shared" ref="J93:J156" ca="1" si="33">J92+(H93+G92*J92)/D93</f>
        <v>10166.851617759199</v>
      </c>
      <c r="L93" s="29">
        <f t="shared" ca="1" si="24"/>
        <v>2823.0067537063292</v>
      </c>
      <c r="M93" s="29">
        <f t="shared" ca="1" si="25"/>
        <v>3451.2023149095035</v>
      </c>
      <c r="O93" s="29">
        <f ca="1">SUM($L$12:L93)</f>
        <v>196699.29834534554</v>
      </c>
      <c r="P93" s="29">
        <f ca="1">SUM($M$12:M93)</f>
        <v>220181.20360313042</v>
      </c>
      <c r="R93" s="29">
        <f t="shared" ref="R93:R156" ca="1" si="34">I93*D93</f>
        <v>1035388.6507284167</v>
      </c>
      <c r="S93" s="29">
        <f t="shared" ref="S93:S156" ca="1" si="35">J93*D93</f>
        <v>1265790.7047276818</v>
      </c>
    </row>
    <row r="94" spans="2:19" x14ac:dyDescent="0.25">
      <c r="B94" s="12">
        <f t="shared" ca="1" si="26"/>
        <v>1</v>
      </c>
      <c r="C94" s="28">
        <f t="shared" ca="1" si="27"/>
        <v>7</v>
      </c>
      <c r="D94" s="45">
        <f t="shared" ca="1" si="28"/>
        <v>124.70924171721869</v>
      </c>
      <c r="E94" s="46">
        <f t="shared" ca="1" si="29"/>
        <v>3.2691007309141741E-2</v>
      </c>
      <c r="F94" s="21">
        <f t="shared" ca="1" si="30"/>
        <v>48611</v>
      </c>
      <c r="G94" s="47">
        <f t="shared" ca="1" si="31"/>
        <v>0.33973922770792664</v>
      </c>
      <c r="H94" s="29">
        <f t="shared" si="23"/>
        <v>3000</v>
      </c>
      <c r="I94" s="42">
        <f t="shared" ca="1" si="32"/>
        <v>8340.3145120400604</v>
      </c>
      <c r="J94" s="42">
        <f t="shared" ca="1" si="33"/>
        <v>10218.58156356015</v>
      </c>
      <c r="L94" s="29">
        <f t="shared" ca="1" si="24"/>
        <v>2833.5320111617029</v>
      </c>
      <c r="M94" s="29">
        <f t="shared" ca="1" si="25"/>
        <v>3471.6530086743828</v>
      </c>
      <c r="O94" s="29">
        <f ca="1">SUM($L$12:L94)</f>
        <v>199532.83035650724</v>
      </c>
      <c r="P94" s="29">
        <f ca="1">SUM($M$12:M94)</f>
        <v>223652.8566118048</v>
      </c>
      <c r="R94" s="29">
        <f t="shared" ca="1" si="34"/>
        <v>1040114.2984796307</v>
      </c>
      <c r="S94" s="29">
        <f t="shared" ca="1" si="35"/>
        <v>1274351.5582171374</v>
      </c>
    </row>
    <row r="95" spans="2:19" x14ac:dyDescent="0.25">
      <c r="B95" s="12">
        <f t="shared" ca="1" si="26"/>
        <v>1</v>
      </c>
      <c r="C95" s="28">
        <f t="shared" ca="1" si="27"/>
        <v>7</v>
      </c>
      <c r="D95" s="45">
        <f t="shared" ca="1" si="28"/>
        <v>124.91709045341406</v>
      </c>
      <c r="E95" s="46">
        <f t="shared" ca="1" si="29"/>
        <v>3.2663810131679884E-2</v>
      </c>
      <c r="F95" s="21">
        <f t="shared" ca="1" si="30"/>
        <v>48639</v>
      </c>
      <c r="G95" s="47">
        <f t="shared" ca="1" si="31"/>
        <v>0.34002234373101659</v>
      </c>
      <c r="H95" s="29">
        <f t="shared" si="23"/>
        <v>3000</v>
      </c>
      <c r="I95" s="42">
        <f t="shared" ca="1" si="32"/>
        <v>8364.3304412384659</v>
      </c>
      <c r="J95" s="42">
        <f t="shared" ca="1" si="33"/>
        <v>10270.389150377807</v>
      </c>
      <c r="L95" s="29">
        <f t="shared" ca="1" si="24"/>
        <v>2844.0592403705914</v>
      </c>
      <c r="M95" s="29">
        <f t="shared" ca="1" si="25"/>
        <v>3492.1617899410662</v>
      </c>
      <c r="O95" s="29">
        <f ca="1">SUM($L$12:L95)</f>
        <v>202376.88959687782</v>
      </c>
      <c r="P95" s="29">
        <f ca="1">SUM($M$12:M95)</f>
        <v>227145.01840174588</v>
      </c>
      <c r="R95" s="29">
        <f t="shared" ca="1" si="34"/>
        <v>1044847.8223104302</v>
      </c>
      <c r="S95" s="29">
        <f t="shared" ca="1" si="35"/>
        <v>1282947.130489507</v>
      </c>
    </row>
    <row r="96" spans="2:19" x14ac:dyDescent="0.25">
      <c r="B96" s="12">
        <f t="shared" ca="1" si="26"/>
        <v>2</v>
      </c>
      <c r="C96" s="28">
        <f t="shared" ca="1" si="27"/>
        <v>7</v>
      </c>
      <c r="D96" s="45">
        <f t="shared" ca="1" si="28"/>
        <v>125.12528560416976</v>
      </c>
      <c r="E96" s="46">
        <f t="shared" ca="1" si="29"/>
        <v>3.2636635580821582E-2</v>
      </c>
      <c r="F96" s="21">
        <f t="shared" ca="1" si="30"/>
        <v>48670</v>
      </c>
      <c r="G96" s="47">
        <f t="shared" ca="1" si="31"/>
        <v>0.34030569568412578</v>
      </c>
      <c r="H96" s="29">
        <f t="shared" si="23"/>
        <v>3000</v>
      </c>
      <c r="I96" s="42">
        <f t="shared" ca="1" si="32"/>
        <v>8388.3064104881214</v>
      </c>
      <c r="J96" s="42">
        <f t="shared" ca="1" si="33"/>
        <v>10322.274440857613</v>
      </c>
      <c r="L96" s="29">
        <f t="shared" ca="1" si="24"/>
        <v>2854.5884486327723</v>
      </c>
      <c r="M96" s="29">
        <f t="shared" ca="1" si="25"/>
        <v>3512.7287846385202</v>
      </c>
      <c r="O96" s="29">
        <f ca="1">SUM($L$12:L96)</f>
        <v>205231.47804551059</v>
      </c>
      <c r="P96" s="29">
        <f ca="1">SUM($M$12:M96)</f>
        <v>230657.7471863844</v>
      </c>
      <c r="R96" s="29">
        <f t="shared" ca="1" si="34"/>
        <v>1049589.2353476142</v>
      </c>
      <c r="S96" s="29">
        <f t="shared" ca="1" si="35"/>
        <v>1291577.5374969305</v>
      </c>
    </row>
    <row r="97" spans="2:19" x14ac:dyDescent="0.25">
      <c r="B97" s="12">
        <f t="shared" ca="1" si="26"/>
        <v>2</v>
      </c>
      <c r="C97" s="28">
        <f t="shared" ca="1" si="27"/>
        <v>7</v>
      </c>
      <c r="D97" s="45">
        <f t="shared" ca="1" si="28"/>
        <v>125.33382774684338</v>
      </c>
      <c r="E97" s="46">
        <f t="shared" ca="1" si="29"/>
        <v>3.2609483637742694E-2</v>
      </c>
      <c r="F97" s="21">
        <f t="shared" ca="1" si="30"/>
        <v>48700</v>
      </c>
      <c r="G97" s="47">
        <f t="shared" ca="1" si="31"/>
        <v>0.34058928376386255</v>
      </c>
      <c r="H97" s="29">
        <f t="shared" si="23"/>
        <v>3000</v>
      </c>
      <c r="I97" s="42">
        <f t="shared" ca="1" si="32"/>
        <v>8412.2424862781281</v>
      </c>
      <c r="J97" s="42">
        <f t="shared" ca="1" si="33"/>
        <v>10374.2374974539</v>
      </c>
      <c r="L97" s="29">
        <f t="shared" ca="1" si="24"/>
        <v>2865.1196432494021</v>
      </c>
      <c r="M97" s="29">
        <f t="shared" ca="1" si="25"/>
        <v>3533.3541188540294</v>
      </c>
      <c r="O97" s="29">
        <f ca="1">SUM($L$12:L97)</f>
        <v>208096.59768876</v>
      </c>
      <c r="P97" s="29">
        <f ca="1">SUM($M$12:M97)</f>
        <v>234191.10130523844</v>
      </c>
      <c r="R97" s="29">
        <f t="shared" ca="1" si="34"/>
        <v>1054338.5507398604</v>
      </c>
      <c r="S97" s="29">
        <f t="shared" ca="1" si="35"/>
        <v>1300242.8955107306</v>
      </c>
    </row>
    <row r="98" spans="2:19" x14ac:dyDescent="0.25">
      <c r="B98" s="12">
        <f t="shared" ca="1" si="26"/>
        <v>2</v>
      </c>
      <c r="C98" s="28">
        <f t="shared" ca="1" si="27"/>
        <v>7</v>
      </c>
      <c r="D98" s="45">
        <f t="shared" ca="1" si="28"/>
        <v>125.5427174597548</v>
      </c>
      <c r="E98" s="46">
        <f t="shared" ca="1" si="29"/>
        <v>3.2582354283634755E-2</v>
      </c>
      <c r="F98" s="21">
        <f t="shared" ca="1" si="30"/>
        <v>48731</v>
      </c>
      <c r="G98" s="47">
        <f t="shared" ca="1" si="31"/>
        <v>0.34087310816699912</v>
      </c>
      <c r="H98" s="29">
        <f t="shared" si="23"/>
        <v>3000</v>
      </c>
      <c r="I98" s="42">
        <f t="shared" ca="1" si="32"/>
        <v>8436.1387349869528</v>
      </c>
      <c r="J98" s="42">
        <f t="shared" ca="1" si="33"/>
        <v>10426.278382429553</v>
      </c>
      <c r="L98" s="29">
        <f t="shared" ca="1" si="24"/>
        <v>2875.6528315230184</v>
      </c>
      <c r="M98" s="29">
        <f t="shared" ca="1" si="25"/>
        <v>3554.0379188331535</v>
      </c>
      <c r="O98" s="29">
        <f ca="1">SUM($L$12:L98)</f>
        <v>210972.25052028301</v>
      </c>
      <c r="P98" s="29">
        <f ca="1">SUM($M$12:M98)</f>
        <v>237745.13922407158</v>
      </c>
      <c r="R98" s="29">
        <f t="shared" ca="1" si="34"/>
        <v>1059095.7816577603</v>
      </c>
      <c r="S98" s="29">
        <f t="shared" ca="1" si="35"/>
        <v>1308943.3211221027</v>
      </c>
    </row>
    <row r="99" spans="2:19" x14ac:dyDescent="0.25">
      <c r="B99" s="12">
        <f t="shared" ca="1" si="26"/>
        <v>3</v>
      </c>
      <c r="C99" s="28">
        <f t="shared" ca="1" si="27"/>
        <v>7</v>
      </c>
      <c r="D99" s="45">
        <f t="shared" ca="1" si="28"/>
        <v>125.75195532218773</v>
      </c>
      <c r="E99" s="46">
        <f t="shared" ca="1" si="29"/>
        <v>3.255524749970494E-2</v>
      </c>
      <c r="F99" s="21">
        <f t="shared" ca="1" si="30"/>
        <v>48761</v>
      </c>
      <c r="G99" s="47">
        <f t="shared" ca="1" si="31"/>
        <v>0.34115716909047161</v>
      </c>
      <c r="H99" s="29">
        <f t="shared" si="23"/>
        <v>3000</v>
      </c>
      <c r="I99" s="42">
        <f t="shared" ca="1" si="32"/>
        <v>8459.9952228826187</v>
      </c>
      <c r="J99" s="42">
        <f t="shared" ca="1" si="33"/>
        <v>10478.397157855678</v>
      </c>
      <c r="L99" s="29">
        <f t="shared" ca="1" si="24"/>
        <v>2886.1880207575477</v>
      </c>
      <c r="M99" s="29">
        <f t="shared" ca="1" si="25"/>
        <v>3574.7803109796864</v>
      </c>
      <c r="O99" s="29">
        <f ca="1">SUM($L$12:L99)</f>
        <v>213858.43854104055</v>
      </c>
      <c r="P99" s="29">
        <f ca="1">SUM($M$12:M99)</f>
        <v>241319.91953505127</v>
      </c>
      <c r="R99" s="29">
        <f t="shared" ca="1" si="34"/>
        <v>1063860.9412938566</v>
      </c>
      <c r="S99" s="29">
        <f t="shared" ca="1" si="35"/>
        <v>1317678.9312428059</v>
      </c>
    </row>
    <row r="100" spans="2:19" x14ac:dyDescent="0.25">
      <c r="B100" s="12">
        <f t="shared" ca="1" si="26"/>
        <v>3</v>
      </c>
      <c r="C100" s="28">
        <f t="shared" ca="1" si="27"/>
        <v>7</v>
      </c>
      <c r="D100" s="45">
        <f t="shared" ca="1" si="28"/>
        <v>125.96154191439138</v>
      </c>
      <c r="E100" s="46">
        <f t="shared" ca="1" si="29"/>
        <v>3.2528163267176065E-2</v>
      </c>
      <c r="F100" s="21">
        <f t="shared" ca="1" si="30"/>
        <v>48792</v>
      </c>
      <c r="G100" s="47">
        <f t="shared" ca="1" si="31"/>
        <v>0.34144146673138032</v>
      </c>
      <c r="H100" s="29">
        <f t="shared" si="23"/>
        <v>3000</v>
      </c>
      <c r="I100" s="42">
        <f t="shared" ca="1" si="32"/>
        <v>8483.8120161228835</v>
      </c>
      <c r="J100" s="42">
        <f t="shared" ca="1" si="33"/>
        <v>10530.593885611266</v>
      </c>
      <c r="L100" s="29">
        <f t="shared" ca="1" si="24"/>
        <v>2896.7252182583061</v>
      </c>
      <c r="M100" s="29">
        <f t="shared" ca="1" si="25"/>
        <v>3595.5814218556161</v>
      </c>
      <c r="O100" s="29">
        <f ca="1">SUM($L$12:L100)</f>
        <v>216755.16375929886</v>
      </c>
      <c r="P100" s="29">
        <f ca="1">SUM($M$12:M100)</f>
        <v>244915.50095690688</v>
      </c>
      <c r="R100" s="29">
        <f t="shared" ca="1" si="34"/>
        <v>1068634.0428626798</v>
      </c>
      <c r="S100" s="29">
        <f t="shared" ca="1" si="35"/>
        <v>1326449.843105857</v>
      </c>
    </row>
    <row r="101" spans="2:19" x14ac:dyDescent="0.25">
      <c r="B101" s="12">
        <f t="shared" ca="1" si="26"/>
        <v>3</v>
      </c>
      <c r="C101" s="28">
        <f t="shared" ca="1" si="27"/>
        <v>7</v>
      </c>
      <c r="D101" s="45">
        <f t="shared" ca="1" si="28"/>
        <v>126.17147781758203</v>
      </c>
      <c r="E101" s="46">
        <f t="shared" ca="1" si="29"/>
        <v>3.2501101567286569E-2</v>
      </c>
      <c r="F101" s="21">
        <f t="shared" ca="1" si="30"/>
        <v>48823</v>
      </c>
      <c r="G101" s="47">
        <f t="shared" ca="1" si="31"/>
        <v>0.34172600128698982</v>
      </c>
      <c r="H101" s="29">
        <f t="shared" si="23"/>
        <v>3000</v>
      </c>
      <c r="I101" s="42">
        <f t="shared" ca="1" si="32"/>
        <v>8507.5891807554272</v>
      </c>
      <c r="J101" s="42">
        <f t="shared" ca="1" si="33"/>
        <v>10582.86862738287</v>
      </c>
      <c r="L101" s="29">
        <f t="shared" ca="1" si="24"/>
        <v>2907.2644313320097</v>
      </c>
      <c r="M101" s="29">
        <f t="shared" ca="1" si="25"/>
        <v>3616.4413781810827</v>
      </c>
      <c r="O101" s="29">
        <f ca="1">SUM($L$12:L101)</f>
        <v>219662.42819063086</v>
      </c>
      <c r="P101" s="29">
        <f ca="1">SUM($M$12:M101)</f>
        <v>248531.94233508795</v>
      </c>
      <c r="R101" s="29">
        <f t="shared" ca="1" si="34"/>
        <v>1073415.0996007842</v>
      </c>
      <c r="S101" s="29">
        <f t="shared" ca="1" si="35"/>
        <v>1335256.1742662226</v>
      </c>
    </row>
    <row r="102" spans="2:19" x14ac:dyDescent="0.25">
      <c r="B102" s="12">
        <f t="shared" ca="1" si="26"/>
        <v>4</v>
      </c>
      <c r="C102" s="28">
        <f t="shared" ca="1" si="27"/>
        <v>7</v>
      </c>
      <c r="D102" s="45">
        <f t="shared" ca="1" si="28"/>
        <v>126.38176361394467</v>
      </c>
      <c r="E102" s="46">
        <f t="shared" ca="1" si="29"/>
        <v>3.247406238129049E-2</v>
      </c>
      <c r="F102" s="21">
        <f t="shared" ca="1" si="30"/>
        <v>48853</v>
      </c>
      <c r="G102" s="47">
        <f t="shared" ca="1" si="31"/>
        <v>0.34201077295472898</v>
      </c>
      <c r="H102" s="29">
        <f t="shared" si="23"/>
        <v>3000</v>
      </c>
      <c r="I102" s="42">
        <f t="shared" ca="1" si="32"/>
        <v>8531.3267827180334</v>
      </c>
      <c r="J102" s="42">
        <f t="shared" ca="1" si="33"/>
        <v>10635.221444664263</v>
      </c>
      <c r="L102" s="29">
        <f t="shared" ca="1" si="24"/>
        <v>2917.8056672867756</v>
      </c>
      <c r="M102" s="29">
        <f t="shared" ca="1" si="25"/>
        <v>3637.3603068343341</v>
      </c>
      <c r="O102" s="29">
        <f ca="1">SUM($L$12:L102)</f>
        <v>222580.23385791763</v>
      </c>
      <c r="P102" s="29">
        <f ca="1">SUM($M$12:M102)</f>
        <v>252169.30264192229</v>
      </c>
      <c r="R102" s="29">
        <f t="shared" ca="1" si="34"/>
        <v>1078204.1247667857</v>
      </c>
      <c r="S102" s="29">
        <f t="shared" ca="1" si="35"/>
        <v>1344098.0426015139</v>
      </c>
    </row>
    <row r="103" spans="2:19" x14ac:dyDescent="0.25">
      <c r="B103" s="12">
        <f t="shared" ca="1" si="26"/>
        <v>4</v>
      </c>
      <c r="C103" s="28">
        <f t="shared" ca="1" si="27"/>
        <v>7</v>
      </c>
      <c r="D103" s="45">
        <f t="shared" ca="1" si="28"/>
        <v>126.59239988663458</v>
      </c>
      <c r="E103" s="46">
        <f t="shared" ca="1" si="29"/>
        <v>3.2447045690457463E-2</v>
      </c>
      <c r="F103" s="21">
        <f t="shared" ca="1" si="30"/>
        <v>48884</v>
      </c>
      <c r="G103" s="47">
        <f t="shared" ca="1" si="31"/>
        <v>0.34229578193219123</v>
      </c>
      <c r="H103" s="29">
        <f t="shared" si="23"/>
        <v>3000</v>
      </c>
      <c r="I103" s="42">
        <f t="shared" ca="1" si="32"/>
        <v>8555.024887838772</v>
      </c>
      <c r="J103" s="42">
        <f t="shared" ca="1" si="33"/>
        <v>10687.652398756121</v>
      </c>
      <c r="L103" s="29">
        <f t="shared" ca="1" si="24"/>
        <v>2928.3489334321289</v>
      </c>
      <c r="M103" s="29">
        <f t="shared" ca="1" si="25"/>
        <v>3658.3383348516859</v>
      </c>
      <c r="O103" s="29">
        <f ca="1">SUM($L$12:L103)</f>
        <v>225508.58279134976</v>
      </c>
      <c r="P103" s="29">
        <f ca="1">SUM($M$12:M103)</f>
        <v>255827.64097677398</v>
      </c>
      <c r="R103" s="29">
        <f t="shared" ca="1" si="34"/>
        <v>1083001.131641397</v>
      </c>
      <c r="S103" s="29">
        <f t="shared" ca="1" si="35"/>
        <v>1352975.5663126842</v>
      </c>
    </row>
    <row r="104" spans="2:19" x14ac:dyDescent="0.25">
      <c r="B104" s="12">
        <f t="shared" ca="1" si="26"/>
        <v>4</v>
      </c>
      <c r="C104" s="28">
        <f t="shared" ca="1" si="27"/>
        <v>7</v>
      </c>
      <c r="D104" s="45">
        <f t="shared" ca="1" si="28"/>
        <v>126.80338721977898</v>
      </c>
      <c r="E104" s="46">
        <f t="shared" ca="1" si="29"/>
        <v>3.2420051476072728E-2</v>
      </c>
      <c r="F104" s="21">
        <f t="shared" ca="1" si="30"/>
        <v>48914</v>
      </c>
      <c r="G104" s="47">
        <f t="shared" ca="1" si="31"/>
        <v>0.34258102841713473</v>
      </c>
      <c r="H104" s="29">
        <f t="shared" si="23"/>
        <v>3000</v>
      </c>
      <c r="I104" s="42">
        <f t="shared" ca="1" si="32"/>
        <v>8578.683561836182</v>
      </c>
      <c r="J104" s="42">
        <f t="shared" ca="1" si="33"/>
        <v>10740.161550765692</v>
      </c>
      <c r="L104" s="29">
        <f t="shared" ca="1" si="24"/>
        <v>2938.8942370790078</v>
      </c>
      <c r="M104" s="29">
        <f t="shared" ca="1" si="25"/>
        <v>3679.3755894274791</v>
      </c>
      <c r="O104" s="29">
        <f ca="1">SUM($L$12:L104)</f>
        <v>228447.47702842878</v>
      </c>
      <c r="P104" s="29">
        <f ca="1">SUM($M$12:M104)</f>
        <v>259507.01656620146</v>
      </c>
      <c r="R104" s="29">
        <f t="shared" ca="1" si="34"/>
        <v>1087806.1335274661</v>
      </c>
      <c r="S104" s="29">
        <f t="shared" ca="1" si="35"/>
        <v>1361888.8639247238</v>
      </c>
    </row>
    <row r="105" spans="2:19" x14ac:dyDescent="0.25">
      <c r="B105" s="12">
        <f t="shared" ca="1" si="26"/>
        <v>1</v>
      </c>
      <c r="C105" s="28">
        <f t="shared" ca="1" si="27"/>
        <v>8</v>
      </c>
      <c r="D105" s="45">
        <f t="shared" ca="1" si="28"/>
        <v>127.01472619847863</v>
      </c>
      <c r="E105" s="46">
        <f t="shared" ca="1" si="29"/>
        <v>3.2393079719437057E-2</v>
      </c>
      <c r="F105" s="21">
        <f t="shared" ca="1" si="30"/>
        <v>48945</v>
      </c>
      <c r="G105" s="47">
        <f t="shared" ca="1" si="31"/>
        <v>0.34286651260748235</v>
      </c>
      <c r="H105" s="29">
        <f t="shared" si="23"/>
        <v>3000</v>
      </c>
      <c r="I105" s="42">
        <f t="shared" ca="1" si="32"/>
        <v>8602.3028703194523</v>
      </c>
      <c r="J105" s="42">
        <f t="shared" ca="1" si="33"/>
        <v>10792.748961606463</v>
      </c>
      <c r="L105" s="29">
        <f t="shared" ca="1" si="24"/>
        <v>2949.441585539766</v>
      </c>
      <c r="M105" s="29">
        <f t="shared" ca="1" si="25"/>
        <v>3700.4721979140345</v>
      </c>
      <c r="O105" s="29">
        <f ca="1">SUM($L$12:L105)</f>
        <v>231396.91861396853</v>
      </c>
      <c r="P105" s="29">
        <f ca="1">SUM($M$12:M105)</f>
        <v>263207.48876411549</v>
      </c>
      <c r="R105" s="29">
        <f t="shared" ca="1" si="34"/>
        <v>1092619.1437500119</v>
      </c>
      <c r="S105" s="29">
        <f t="shared" ca="1" si="35"/>
        <v>1370838.0542873594</v>
      </c>
    </row>
    <row r="106" spans="2:19" x14ac:dyDescent="0.25">
      <c r="B106" s="12">
        <f t="shared" ca="1" si="26"/>
        <v>1</v>
      </c>
      <c r="C106" s="28">
        <f t="shared" ca="1" si="27"/>
        <v>8</v>
      </c>
      <c r="D106" s="45">
        <f t="shared" ca="1" si="28"/>
        <v>127.22641740880943</v>
      </c>
      <c r="E106" s="46">
        <f t="shared" ca="1" si="29"/>
        <v>3.2366130401866811E-2</v>
      </c>
      <c r="F106" s="21">
        <f t="shared" ca="1" si="30"/>
        <v>48976</v>
      </c>
      <c r="G106" s="47">
        <f t="shared" ca="1" si="31"/>
        <v>0.34315223470132195</v>
      </c>
      <c r="H106" s="29">
        <f t="shared" si="23"/>
        <v>3000</v>
      </c>
      <c r="I106" s="42">
        <f t="shared" ca="1" si="32"/>
        <v>8625.8828787886068</v>
      </c>
      <c r="J106" s="42">
        <f t="shared" ca="1" si="33"/>
        <v>10845.414691997847</v>
      </c>
      <c r="L106" s="29">
        <f t="shared" ca="1" si="24"/>
        <v>2959.9909861281826</v>
      </c>
      <c r="M106" s="29">
        <f t="shared" ca="1" si="25"/>
        <v>3721.6282878216102</v>
      </c>
      <c r="O106" s="29">
        <f ca="1">SUM($L$12:L106)</f>
        <v>234356.90960009673</v>
      </c>
      <c r="P106" s="29">
        <f ca="1">SUM($M$12:M106)</f>
        <v>266929.11705193709</v>
      </c>
      <c r="R106" s="29">
        <f t="shared" ca="1" si="34"/>
        <v>1097440.1756562619</v>
      </c>
      <c r="S106" s="29">
        <f t="shared" ca="1" si="35"/>
        <v>1379823.2565757523</v>
      </c>
    </row>
    <row r="107" spans="2:19" x14ac:dyDescent="0.25">
      <c r="B107" s="12">
        <f t="shared" ca="1" si="26"/>
        <v>1</v>
      </c>
      <c r="C107" s="28">
        <f t="shared" ca="1" si="27"/>
        <v>8</v>
      </c>
      <c r="D107" s="45">
        <f t="shared" ca="1" si="28"/>
        <v>127.43846143782412</v>
      </c>
      <c r="E107" s="46">
        <f t="shared" ca="1" si="29"/>
        <v>3.2339203504693874E-2</v>
      </c>
      <c r="F107" s="21">
        <f t="shared" ca="1" si="30"/>
        <v>49004</v>
      </c>
      <c r="G107" s="47">
        <f t="shared" ca="1" si="31"/>
        <v>0.34343819489690636</v>
      </c>
      <c r="H107" s="29">
        <f t="shared" si="23"/>
        <v>3000</v>
      </c>
      <c r="I107" s="42">
        <f t="shared" ca="1" si="32"/>
        <v>8649.4236526346849</v>
      </c>
      <c r="J107" s="42">
        <f t="shared" ca="1" si="33"/>
        <v>10898.15880246485</v>
      </c>
      <c r="L107" s="29">
        <f t="shared" ca="1" si="24"/>
        <v>2970.5424461594625</v>
      </c>
      <c r="M107" s="29">
        <f t="shared" ca="1" si="25"/>
        <v>3742.8439868183586</v>
      </c>
      <c r="O107" s="29">
        <f ca="1">SUM($L$12:L107)</f>
        <v>237327.45204625619</v>
      </c>
      <c r="P107" s="29">
        <f ca="1">SUM($M$12:M107)</f>
        <v>270671.96103875543</v>
      </c>
      <c r="R107" s="29">
        <f t="shared" ca="1" si="34"/>
        <v>1102269.2426156891</v>
      </c>
      <c r="S107" s="29">
        <f t="shared" ca="1" si="35"/>
        <v>1388844.5902912002</v>
      </c>
    </row>
    <row r="108" spans="2:19" x14ac:dyDescent="0.25">
      <c r="B108" s="12">
        <f t="shared" ca="1" si="26"/>
        <v>2</v>
      </c>
      <c r="C108" s="28">
        <f t="shared" ca="1" si="27"/>
        <v>8</v>
      </c>
      <c r="D108" s="45">
        <f t="shared" ca="1" si="28"/>
        <v>127.65085887355383</v>
      </c>
      <c r="E108" s="46">
        <f t="shared" ca="1" si="29"/>
        <v>3.2312299009265667E-2</v>
      </c>
      <c r="F108" s="21">
        <f t="shared" ca="1" si="30"/>
        <v>49035</v>
      </c>
      <c r="G108" s="47">
        <f t="shared" ca="1" si="31"/>
        <v>0.34372439339265376</v>
      </c>
      <c r="H108" s="29">
        <f t="shared" si="23"/>
        <v>3000</v>
      </c>
      <c r="I108" s="42">
        <f t="shared" ca="1" si="32"/>
        <v>8672.9252571399211</v>
      </c>
      <c r="J108" s="42">
        <f t="shared" ca="1" si="33"/>
        <v>10950.981353337755</v>
      </c>
      <c r="L108" s="29">
        <f t="shared" ca="1" si="24"/>
        <v>2981.0959729502451</v>
      </c>
      <c r="M108" s="29">
        <f t="shared" ca="1" si="25"/>
        <v>3764.1194227302822</v>
      </c>
      <c r="O108" s="29">
        <f ca="1">SUM($L$12:L108)</f>
        <v>240308.54801920644</v>
      </c>
      <c r="P108" s="29">
        <f ca="1">SUM($M$12:M108)</f>
        <v>274436.08046148572</v>
      </c>
      <c r="R108" s="29">
        <f t="shared" ca="1" si="34"/>
        <v>1107106.3580200486</v>
      </c>
      <c r="S108" s="29">
        <f t="shared" ca="1" si="35"/>
        <v>1397902.1752618372</v>
      </c>
    </row>
    <row r="109" spans="2:19" x14ac:dyDescent="0.25">
      <c r="B109" s="12">
        <f t="shared" ca="1" si="26"/>
        <v>2</v>
      </c>
      <c r="C109" s="28">
        <f t="shared" ca="1" si="27"/>
        <v>8</v>
      </c>
      <c r="D109" s="45">
        <f t="shared" ca="1" si="28"/>
        <v>127.86361030500976</v>
      </c>
      <c r="E109" s="46">
        <f t="shared" ca="1" si="29"/>
        <v>3.2285416896945147E-2</v>
      </c>
      <c r="F109" s="21">
        <f t="shared" ca="1" si="30"/>
        <v>49065</v>
      </c>
      <c r="G109" s="47">
        <f t="shared" ca="1" si="31"/>
        <v>0.34401083038714764</v>
      </c>
      <c r="H109" s="29">
        <f t="shared" si="23"/>
        <v>3000</v>
      </c>
      <c r="I109" s="42">
        <f t="shared" ca="1" si="32"/>
        <v>8696.3877574779272</v>
      </c>
      <c r="J109" s="42">
        <f t="shared" ca="1" si="33"/>
        <v>11003.882404751796</v>
      </c>
      <c r="L109" s="29">
        <f t="shared" ca="1" si="24"/>
        <v>2991.6515738186063</v>
      </c>
      <c r="M109" s="29">
        <f t="shared" ca="1" si="25"/>
        <v>3785.4547235411883</v>
      </c>
      <c r="O109" s="29">
        <f ca="1">SUM($L$12:L109)</f>
        <v>243300.19959302506</v>
      </c>
      <c r="P109" s="29">
        <f ca="1">SUM($M$12:M109)</f>
        <v>278221.53518502694</v>
      </c>
      <c r="R109" s="29">
        <f t="shared" ca="1" si="34"/>
        <v>1111951.5352834153</v>
      </c>
      <c r="S109" s="29">
        <f t="shared" ca="1" si="35"/>
        <v>1406996.1316433372</v>
      </c>
    </row>
    <row r="110" spans="2:19" x14ac:dyDescent="0.25">
      <c r="B110" s="12">
        <f t="shared" ca="1" si="26"/>
        <v>2</v>
      </c>
      <c r="C110" s="28">
        <f t="shared" ca="1" si="27"/>
        <v>8</v>
      </c>
      <c r="D110" s="45">
        <f t="shared" ca="1" si="28"/>
        <v>128.07671632218478</v>
      </c>
      <c r="E110" s="46">
        <f t="shared" ca="1" si="29"/>
        <v>3.2258557149110752E-2</v>
      </c>
      <c r="F110" s="21">
        <f t="shared" ca="1" si="30"/>
        <v>49096</v>
      </c>
      <c r="G110" s="47">
        <f t="shared" ca="1" si="31"/>
        <v>0.34429750607913695</v>
      </c>
      <c r="H110" s="29">
        <f t="shared" si="23"/>
        <v>3000</v>
      </c>
      <c r="I110" s="42">
        <f t="shared" ca="1" si="32"/>
        <v>8719.811218713874</v>
      </c>
      <c r="J110" s="42">
        <f t="shared" ca="1" si="33"/>
        <v>11056.862016646841</v>
      </c>
      <c r="L110" s="29">
        <f t="shared" ca="1" si="24"/>
        <v>3002.2092560840665</v>
      </c>
      <c r="M110" s="29">
        <f t="shared" ca="1" si="25"/>
        <v>3806.8500173926441</v>
      </c>
      <c r="O110" s="29">
        <f ca="1">SUM($L$12:L110)</f>
        <v>246302.40884910911</v>
      </c>
      <c r="P110" s="29">
        <f ca="1">SUM($M$12:M110)</f>
        <v>282028.38520241959</v>
      </c>
      <c r="R110" s="29">
        <f t="shared" ca="1" si="34"/>
        <v>1116804.7878422211</v>
      </c>
      <c r="S110" s="29">
        <f t="shared" ca="1" si="35"/>
        <v>1416126.5799196174</v>
      </c>
    </row>
    <row r="111" spans="2:19" x14ac:dyDescent="0.25">
      <c r="B111" s="12">
        <f t="shared" ca="1" si="26"/>
        <v>3</v>
      </c>
      <c r="C111" s="28">
        <f t="shared" ca="1" si="27"/>
        <v>8</v>
      </c>
      <c r="D111" s="45">
        <f t="shared" ca="1" si="28"/>
        <v>128.29017751605508</v>
      </c>
      <c r="E111" s="46">
        <f t="shared" ca="1" si="29"/>
        <v>3.2231719747156426E-2</v>
      </c>
      <c r="F111" s="21">
        <f t="shared" ca="1" si="30"/>
        <v>49126</v>
      </c>
      <c r="G111" s="47">
        <f t="shared" ca="1" si="31"/>
        <v>0.34458442066753625</v>
      </c>
      <c r="H111" s="29">
        <f t="shared" si="23"/>
        <v>3000</v>
      </c>
      <c r="I111" s="42">
        <f t="shared" ca="1" si="32"/>
        <v>8743.1957058046683</v>
      </c>
      <c r="J111" s="42">
        <f t="shared" ca="1" si="33"/>
        <v>11109.920248767074</v>
      </c>
      <c r="L111" s="29">
        <f t="shared" ca="1" si="24"/>
        <v>3012.7690270675921</v>
      </c>
      <c r="M111" s="29">
        <f t="shared" ca="1" si="25"/>
        <v>3828.3054325839321</v>
      </c>
      <c r="O111" s="29">
        <f ca="1">SUM($L$12:L111)</f>
        <v>249315.17787617669</v>
      </c>
      <c r="P111" s="29">
        <f ca="1">SUM($M$12:M111)</f>
        <v>285856.6906350035</v>
      </c>
      <c r="R111" s="29">
        <f t="shared" ca="1" si="34"/>
        <v>1121666.1291552915</v>
      </c>
      <c r="S111" s="29">
        <f t="shared" ca="1" si="35"/>
        <v>1425293.6409035427</v>
      </c>
    </row>
    <row r="112" spans="2:19" x14ac:dyDescent="0.25">
      <c r="B112" s="12">
        <f t="shared" ca="1" si="26"/>
        <v>3</v>
      </c>
      <c r="C112" s="28">
        <f t="shared" ca="1" si="27"/>
        <v>8</v>
      </c>
      <c r="D112" s="45">
        <f t="shared" ca="1" si="28"/>
        <v>128.50399447858183</v>
      </c>
      <c r="E112" s="46">
        <f t="shared" ca="1" si="29"/>
        <v>3.2204904672491562E-2</v>
      </c>
      <c r="F112" s="21">
        <f t="shared" ca="1" si="30"/>
        <v>49157</v>
      </c>
      <c r="G112" s="47">
        <f t="shared" ca="1" si="31"/>
        <v>0.34487157435142585</v>
      </c>
      <c r="H112" s="29">
        <f t="shared" si="23"/>
        <v>3000</v>
      </c>
      <c r="I112" s="42">
        <f t="shared" ca="1" si="32"/>
        <v>8766.5412835991392</v>
      </c>
      <c r="J112" s="42">
        <f t="shared" ca="1" si="33"/>
        <v>11163.057160660672</v>
      </c>
      <c r="L112" s="29">
        <f t="shared" ca="1" si="24"/>
        <v>3023.3308940916049</v>
      </c>
      <c r="M112" s="29">
        <f t="shared" ca="1" si="25"/>
        <v>3849.8210975720035</v>
      </c>
      <c r="O112" s="29">
        <f ca="1">SUM($L$12:L112)</f>
        <v>252338.50877026829</v>
      </c>
      <c r="P112" s="29">
        <f ca="1">SUM($M$12:M112)</f>
        <v>289706.51173257548</v>
      </c>
      <c r="R112" s="29">
        <f t="shared" ca="1" si="34"/>
        <v>1126535.5727038835</v>
      </c>
      <c r="S112" s="29">
        <f t="shared" ca="1" si="35"/>
        <v>1434497.4357376324</v>
      </c>
    </row>
    <row r="113" spans="2:19" x14ac:dyDescent="0.25">
      <c r="B113" s="12">
        <f t="shared" ca="1" si="26"/>
        <v>3</v>
      </c>
      <c r="C113" s="28">
        <f t="shared" ca="1" si="27"/>
        <v>8</v>
      </c>
      <c r="D113" s="45">
        <f t="shared" ca="1" si="28"/>
        <v>128.7181678027128</v>
      </c>
      <c r="E113" s="46">
        <f t="shared" ca="1" si="29"/>
        <v>3.2178111906541067E-2</v>
      </c>
      <c r="F113" s="21">
        <f t="shared" ca="1" si="30"/>
        <v>49188</v>
      </c>
      <c r="G113" s="47">
        <f t="shared" ca="1" si="31"/>
        <v>0.34515896733005202</v>
      </c>
      <c r="H113" s="29">
        <f t="shared" si="23"/>
        <v>3000</v>
      </c>
      <c r="I113" s="42">
        <f t="shared" ca="1" si="32"/>
        <v>8789.8480168382121</v>
      </c>
      <c r="J113" s="42">
        <f t="shared" ca="1" si="33"/>
        <v>11216.272811679499</v>
      </c>
      <c r="L113" s="29">
        <f t="shared" ca="1" si="24"/>
        <v>3033.894864479983</v>
      </c>
      <c r="M113" s="29">
        <f t="shared" ca="1" si="25"/>
        <v>3871.397140971435</v>
      </c>
      <c r="O113" s="29">
        <f ca="1">SUM($L$12:L113)</f>
        <v>255372.40363474828</v>
      </c>
      <c r="P113" s="29">
        <f ca="1">SUM($M$12:M113)</f>
        <v>293577.90887354693</v>
      </c>
      <c r="R113" s="29">
        <f t="shared" ca="1" si="34"/>
        <v>1131413.1319917233</v>
      </c>
      <c r="S113" s="29">
        <f t="shared" ca="1" si="35"/>
        <v>1443738.085894767</v>
      </c>
    </row>
    <row r="114" spans="2:19" x14ac:dyDescent="0.25">
      <c r="B114" s="12">
        <f t="shared" ca="1" si="26"/>
        <v>4</v>
      </c>
      <c r="C114" s="28">
        <f t="shared" ca="1" si="27"/>
        <v>8</v>
      </c>
      <c r="D114" s="45">
        <f t="shared" ca="1" si="28"/>
        <v>128.93269808238398</v>
      </c>
      <c r="E114" s="46">
        <f t="shared" ca="1" si="29"/>
        <v>3.215134143074528E-2</v>
      </c>
      <c r="F114" s="21">
        <f t="shared" ca="1" si="30"/>
        <v>49218</v>
      </c>
      <c r="G114" s="47">
        <f t="shared" ca="1" si="31"/>
        <v>0.34544659980282705</v>
      </c>
      <c r="H114" s="29">
        <f t="shared" si="23"/>
        <v>3000</v>
      </c>
      <c r="I114" s="42">
        <f t="shared" ca="1" si="32"/>
        <v>8813.1159701550896</v>
      </c>
      <c r="J114" s="42">
        <f t="shared" ca="1" si="33"/>
        <v>11269.567260978782</v>
      </c>
      <c r="L114" s="29">
        <f t="shared" ca="1" si="24"/>
        <v>3044.4609455580689</v>
      </c>
      <c r="M114" s="29">
        <f t="shared" ca="1" si="25"/>
        <v>3893.0336915543789</v>
      </c>
      <c r="O114" s="29">
        <f ca="1">SUM($L$12:L114)</f>
        <v>258416.86458030634</v>
      </c>
      <c r="P114" s="29">
        <f ca="1">SUM($M$12:M114)</f>
        <v>297470.94256510132</v>
      </c>
      <c r="R114" s="29">
        <f t="shared" ca="1" si="34"/>
        <v>1136298.8205450426</v>
      </c>
      <c r="S114" s="29">
        <f t="shared" ca="1" si="35"/>
        <v>1453015.7131788963</v>
      </c>
    </row>
    <row r="115" spans="2:19" x14ac:dyDescent="0.25">
      <c r="B115" s="12">
        <f t="shared" ca="1" si="26"/>
        <v>4</v>
      </c>
      <c r="C115" s="28">
        <f t="shared" ca="1" si="27"/>
        <v>8</v>
      </c>
      <c r="D115" s="45">
        <f t="shared" ca="1" si="28"/>
        <v>129.14758591252129</v>
      </c>
      <c r="E115" s="46">
        <f t="shared" ca="1" si="29"/>
        <v>3.2124593226559965E-2</v>
      </c>
      <c r="F115" s="21">
        <f t="shared" ca="1" si="30"/>
        <v>49249</v>
      </c>
      <c r="G115" s="47">
        <f t="shared" ca="1" si="31"/>
        <v>0.34573447196932938</v>
      </c>
      <c r="H115" s="29">
        <f t="shared" si="23"/>
        <v>3000</v>
      </c>
      <c r="I115" s="42">
        <f t="shared" ca="1" si="32"/>
        <v>8836.3452080754341</v>
      </c>
      <c r="J115" s="42">
        <f t="shared" ca="1" si="33"/>
        <v>11322.940567516802</v>
      </c>
      <c r="L115" s="29">
        <f t="shared" ca="1" si="24"/>
        <v>3055.0291446526744</v>
      </c>
      <c r="M115" s="29">
        <f t="shared" ca="1" si="25"/>
        <v>3914.7308782505202</v>
      </c>
      <c r="O115" s="29">
        <f ca="1">SUM($L$12:L115)</f>
        <v>261471.89372495902</v>
      </c>
      <c r="P115" s="29">
        <f ca="1">SUM($M$12:M115)</f>
        <v>301385.67344335181</v>
      </c>
      <c r="R115" s="29">
        <f t="shared" ca="1" si="34"/>
        <v>1141192.651912618</v>
      </c>
      <c r="S115" s="29">
        <f t="shared" ca="1" si="35"/>
        <v>1462330.4397257487</v>
      </c>
    </row>
    <row r="116" spans="2:19" x14ac:dyDescent="0.25">
      <c r="B116" s="12">
        <f t="shared" ca="1" si="26"/>
        <v>4</v>
      </c>
      <c r="C116" s="28">
        <f t="shared" ca="1" si="27"/>
        <v>8</v>
      </c>
      <c r="D116" s="45">
        <f t="shared" ca="1" si="28"/>
        <v>129.36283188904216</v>
      </c>
      <c r="E116" s="46">
        <f t="shared" ca="1" si="29"/>
        <v>3.2097867275456334E-2</v>
      </c>
      <c r="F116" s="21">
        <f t="shared" ca="1" si="30"/>
        <v>49279</v>
      </c>
      <c r="G116" s="47">
        <f t="shared" ca="1" si="31"/>
        <v>0.3460225840293038</v>
      </c>
      <c r="H116" s="29">
        <f t="shared" si="23"/>
        <v>3000</v>
      </c>
      <c r="I116" s="42">
        <f t="shared" ca="1" si="32"/>
        <v>8859.5357950175403</v>
      </c>
      <c r="J116" s="42">
        <f t="shared" ca="1" si="33"/>
        <v>11376.392790054582</v>
      </c>
      <c r="L116" s="29">
        <f t="shared" ca="1" si="24"/>
        <v>3065.5994690920816</v>
      </c>
      <c r="M116" s="29">
        <f t="shared" ca="1" si="25"/>
        <v>3936.4888301470278</v>
      </c>
      <c r="O116" s="29">
        <f ca="1">SUM($L$12:L116)</f>
        <v>264537.49319405109</v>
      </c>
      <c r="P116" s="29">
        <f ca="1">SUM($M$12:M116)</f>
        <v>305322.16227349883</v>
      </c>
      <c r="R116" s="29">
        <f t="shared" ca="1" si="34"/>
        <v>1146094.6396658055</v>
      </c>
      <c r="S116" s="29">
        <f t="shared" ca="1" si="35"/>
        <v>1471682.3880035421</v>
      </c>
    </row>
    <row r="117" spans="2:19" x14ac:dyDescent="0.25">
      <c r="B117" s="12">
        <f t="shared" ca="1" si="26"/>
        <v>1</v>
      </c>
      <c r="C117" s="28">
        <f t="shared" ca="1" si="27"/>
        <v>9</v>
      </c>
      <c r="D117" s="45">
        <f t="shared" ca="1" si="28"/>
        <v>129.57843660885723</v>
      </c>
      <c r="E117" s="46">
        <f t="shared" ca="1" si="29"/>
        <v>3.2071163558921013E-2</v>
      </c>
      <c r="F117" s="21">
        <f t="shared" ca="1" si="30"/>
        <v>49310</v>
      </c>
      <c r="G117" s="47">
        <f t="shared" ca="1" si="31"/>
        <v>0.34631093618266157</v>
      </c>
      <c r="H117" s="29">
        <f t="shared" si="23"/>
        <v>3000</v>
      </c>
      <c r="I117" s="42">
        <f t="shared" ca="1" si="32"/>
        <v>8882.6877952925224</v>
      </c>
      <c r="J117" s="42">
        <f t="shared" ca="1" si="33"/>
        <v>11429.923987155573</v>
      </c>
      <c r="L117" s="29">
        <f t="shared" ca="1" si="24"/>
        <v>3076.1719262060556</v>
      </c>
      <c r="M117" s="29">
        <f t="shared" ca="1" si="25"/>
        <v>3958.3076764885063</v>
      </c>
      <c r="O117" s="29">
        <f ca="1">SUM($L$12:L117)</f>
        <v>267613.66512025712</v>
      </c>
      <c r="P117" s="29">
        <f ca="1">SUM($M$12:M117)</f>
        <v>309280.46994998737</v>
      </c>
      <c r="R117" s="29">
        <f t="shared" ca="1" si="34"/>
        <v>1151004.7973985819</v>
      </c>
      <c r="S117" s="29">
        <f t="shared" ca="1" si="35"/>
        <v>1481071.6808136951</v>
      </c>
    </row>
    <row r="118" spans="2:19" x14ac:dyDescent="0.25">
      <c r="B118" s="12">
        <f t="shared" ca="1" si="26"/>
        <v>1</v>
      </c>
      <c r="C118" s="28">
        <f t="shared" ca="1" si="27"/>
        <v>9</v>
      </c>
      <c r="D118" s="45">
        <f t="shared" ca="1" si="28"/>
        <v>129.794400669872</v>
      </c>
      <c r="E118" s="46">
        <f t="shared" ca="1" si="29"/>
        <v>3.2044482058456017E-2</v>
      </c>
      <c r="F118" s="21">
        <f t="shared" ca="1" si="30"/>
        <v>49341</v>
      </c>
      <c r="G118" s="47">
        <f t="shared" ca="1" si="31"/>
        <v>0.34659952862948046</v>
      </c>
      <c r="H118" s="29">
        <f t="shared" si="23"/>
        <v>3000</v>
      </c>
      <c r="I118" s="42">
        <f t="shared" ca="1" si="32"/>
        <v>8905.8012731044837</v>
      </c>
      <c r="J118" s="42">
        <f t="shared" ca="1" si="33"/>
        <v>11483.534217185346</v>
      </c>
      <c r="L118" s="29">
        <f t="shared" ca="1" si="24"/>
        <v>3086.7465233258408</v>
      </c>
      <c r="M118" s="29">
        <f t="shared" ca="1" si="25"/>
        <v>3980.1875466769507</v>
      </c>
      <c r="O118" s="29">
        <f ca="1">SUM($L$12:L118)</f>
        <v>270700.41164358298</v>
      </c>
      <c r="P118" s="29">
        <f ca="1">SUM($M$12:M118)</f>
        <v>313260.65749666432</v>
      </c>
      <c r="R118" s="29">
        <f t="shared" ca="1" si="34"/>
        <v>1155923.1387275795</v>
      </c>
      <c r="S118" s="29">
        <f t="shared" ca="1" si="35"/>
        <v>1490498.4412915397</v>
      </c>
    </row>
    <row r="119" spans="2:19" x14ac:dyDescent="0.25">
      <c r="B119" s="12">
        <f t="shared" ca="1" si="26"/>
        <v>1</v>
      </c>
      <c r="C119" s="28">
        <f t="shared" ca="1" si="27"/>
        <v>9</v>
      </c>
      <c r="D119" s="45">
        <f t="shared" ca="1" si="28"/>
        <v>130.01072467098845</v>
      </c>
      <c r="E119" s="46">
        <f t="shared" ca="1" si="29"/>
        <v>3.2017822755578774E-2</v>
      </c>
      <c r="F119" s="21">
        <f t="shared" ca="1" si="30"/>
        <v>49369</v>
      </c>
      <c r="G119" s="47">
        <f t="shared" ca="1" si="31"/>
        <v>0.34688836157000502</v>
      </c>
      <c r="H119" s="29">
        <f t="shared" si="23"/>
        <v>3000</v>
      </c>
      <c r="I119" s="42">
        <f t="shared" ca="1" si="32"/>
        <v>8928.8762925507017</v>
      </c>
      <c r="J119" s="42">
        <f t="shared" ca="1" si="33"/>
        <v>11537.223538311287</v>
      </c>
      <c r="L119" s="29">
        <f t="shared" ca="1" si="24"/>
        <v>3097.3232677841738</v>
      </c>
      <c r="M119" s="29">
        <f t="shared" ca="1" si="25"/>
        <v>4002.1285702716987</v>
      </c>
      <c r="O119" s="29">
        <f ca="1">SUM($L$12:L119)</f>
        <v>273797.73491136718</v>
      </c>
      <c r="P119" s="29">
        <f ca="1">SUM($M$12:M119)</f>
        <v>317262.78606693604</v>
      </c>
      <c r="R119" s="29">
        <f t="shared" ca="1" si="34"/>
        <v>1160849.6772921255</v>
      </c>
      <c r="S119" s="29">
        <f t="shared" ca="1" si="35"/>
        <v>1499962.7929070359</v>
      </c>
    </row>
    <row r="120" spans="2:19" x14ac:dyDescent="0.25">
      <c r="B120" s="12">
        <f t="shared" ca="1" si="26"/>
        <v>2</v>
      </c>
      <c r="C120" s="28">
        <f t="shared" ca="1" si="27"/>
        <v>9</v>
      </c>
      <c r="D120" s="45">
        <f t="shared" ca="1" si="28"/>
        <v>130.22740921210678</v>
      </c>
      <c r="E120" s="46">
        <f t="shared" ca="1" si="29"/>
        <v>3.1991185631822044E-2</v>
      </c>
      <c r="F120" s="21">
        <f t="shared" ca="1" si="30"/>
        <v>49400</v>
      </c>
      <c r="G120" s="47">
        <f t="shared" ca="1" si="31"/>
        <v>0.34717743520464667</v>
      </c>
      <c r="H120" s="29">
        <f t="shared" si="23"/>
        <v>3000</v>
      </c>
      <c r="I120" s="42">
        <f t="shared" ca="1" si="32"/>
        <v>8951.9129176218012</v>
      </c>
      <c r="J120" s="42">
        <f t="shared" ca="1" si="33"/>
        <v>11590.992008502282</v>
      </c>
      <c r="L120" s="29">
        <f t="shared" ca="1" si="24"/>
        <v>3107.9021669152826</v>
      </c>
      <c r="M120" s="29">
        <f t="shared" ca="1" si="25"/>
        <v>4024.1308769893785</v>
      </c>
      <c r="O120" s="29">
        <f ca="1">SUM($L$12:L120)</f>
        <v>276905.63707828248</v>
      </c>
      <c r="P120" s="29">
        <f ca="1">SUM($M$12:M120)</f>
        <v>321286.91694392543</v>
      </c>
      <c r="R120" s="29">
        <f t="shared" ca="1" si="34"/>
        <v>1165784.4267542791</v>
      </c>
      <c r="S120" s="29">
        <f t="shared" ca="1" si="35"/>
        <v>1509464.8594654861</v>
      </c>
    </row>
    <row r="121" spans="2:19" x14ac:dyDescent="0.25">
      <c r="B121" s="12">
        <f t="shared" ca="1" si="26"/>
        <v>2</v>
      </c>
      <c r="C121" s="28">
        <f t="shared" ca="1" si="27"/>
        <v>9</v>
      </c>
      <c r="D121" s="45">
        <f t="shared" ca="1" si="28"/>
        <v>130.44445489412695</v>
      </c>
      <c r="E121" s="46">
        <f t="shared" ca="1" si="29"/>
        <v>3.196457066873401E-2</v>
      </c>
      <c r="F121" s="21">
        <f t="shared" ca="1" si="30"/>
        <v>49430</v>
      </c>
      <c r="G121" s="47">
        <f t="shared" ca="1" si="31"/>
        <v>0.34746674973398389</v>
      </c>
      <c r="H121" s="29">
        <f t="shared" si="23"/>
        <v>3000</v>
      </c>
      <c r="I121" s="42">
        <f t="shared" ca="1" si="32"/>
        <v>8974.9112122019342</v>
      </c>
      <c r="J121" s="42">
        <f t="shared" ca="1" si="33"/>
        <v>11644.839685528419</v>
      </c>
      <c r="L121" s="29">
        <f t="shared" ca="1" si="24"/>
        <v>3118.4832280548953</v>
      </c>
      <c r="M121" s="29">
        <f t="shared" ca="1" si="25"/>
        <v>4046.1945967038669</v>
      </c>
      <c r="O121" s="29">
        <f ca="1">SUM($L$12:L121)</f>
        <v>280024.12030633737</v>
      </c>
      <c r="P121" s="29">
        <f ca="1">SUM($M$12:M121)</f>
        <v>325333.1115406293</v>
      </c>
      <c r="R121" s="29">
        <f t="shared" ca="1" si="34"/>
        <v>1170727.4007988693</v>
      </c>
      <c r="S121" s="29">
        <f t="shared" ca="1" si="35"/>
        <v>1519004.7651082512</v>
      </c>
    </row>
    <row r="122" spans="2:19" x14ac:dyDescent="0.25">
      <c r="B122" s="12">
        <f t="shared" ca="1" si="26"/>
        <v>2</v>
      </c>
      <c r="C122" s="28">
        <f t="shared" ca="1" si="27"/>
        <v>9</v>
      </c>
      <c r="D122" s="45">
        <f t="shared" ca="1" si="28"/>
        <v>130.66186231895051</v>
      </c>
      <c r="E122" s="46">
        <f t="shared" ca="1" si="29"/>
        <v>3.1937977847878156E-2</v>
      </c>
      <c r="F122" s="21">
        <f t="shared" ca="1" si="30"/>
        <v>49461</v>
      </c>
      <c r="G122" s="47">
        <f t="shared" ca="1" si="31"/>
        <v>0.34775630535876223</v>
      </c>
      <c r="H122" s="29">
        <f t="shared" si="23"/>
        <v>3000</v>
      </c>
      <c r="I122" s="42">
        <f t="shared" ca="1" si="32"/>
        <v>8997.8712400689546</v>
      </c>
      <c r="J122" s="42">
        <f t="shared" ca="1" si="33"/>
        <v>11698.766626960678</v>
      </c>
      <c r="L122" s="29">
        <f t="shared" ca="1" si="24"/>
        <v>3129.0664585402442</v>
      </c>
      <c r="M122" s="29">
        <f t="shared" ca="1" si="25"/>
        <v>4068.3198594462342</v>
      </c>
      <c r="O122" s="29">
        <f ca="1">SUM($L$12:L122)</f>
        <v>283153.18676487764</v>
      </c>
      <c r="P122" s="29">
        <f ca="1">SUM($M$12:M122)</f>
        <v>329401.43140007555</v>
      </c>
      <c r="R122" s="29">
        <f t="shared" ca="1" si="34"/>
        <v>1175678.6131335343</v>
      </c>
      <c r="S122" s="29">
        <f t="shared" ca="1" si="35"/>
        <v>1528582.6343134693</v>
      </c>
    </row>
    <row r="123" spans="2:19" x14ac:dyDescent="0.25">
      <c r="B123" s="12">
        <f t="shared" ca="1" si="26"/>
        <v>3</v>
      </c>
      <c r="C123" s="28">
        <f t="shared" ca="1" si="27"/>
        <v>9</v>
      </c>
      <c r="D123" s="45">
        <f t="shared" ca="1" si="28"/>
        <v>130.8796320894821</v>
      </c>
      <c r="E123" s="46">
        <f t="shared" ca="1" si="29"/>
        <v>3.1911407150833335E-2</v>
      </c>
      <c r="F123" s="21">
        <f t="shared" ca="1" si="30"/>
        <v>49491</v>
      </c>
      <c r="G123" s="47">
        <f t="shared" ca="1" si="31"/>
        <v>0.34804610227989452</v>
      </c>
      <c r="H123" s="29">
        <f t="shared" si="23"/>
        <v>3000</v>
      </c>
      <c r="I123" s="42">
        <f t="shared" ca="1" si="32"/>
        <v>9020.7930648946003</v>
      </c>
      <c r="J123" s="42">
        <f t="shared" ca="1" si="33"/>
        <v>11752.77289017063</v>
      </c>
      <c r="L123" s="29">
        <f t="shared" ca="1" si="24"/>
        <v>3139.6518657100692</v>
      </c>
      <c r="M123" s="29">
        <f t="shared" ca="1" si="25"/>
        <v>4090.506795404699</v>
      </c>
      <c r="O123" s="29">
        <f ca="1">SUM($L$12:L123)</f>
        <v>286292.83863058774</v>
      </c>
      <c r="P123" s="29">
        <f ca="1">SUM($M$12:M123)</f>
        <v>333491.93819548027</v>
      </c>
      <c r="R123" s="29">
        <f t="shared" ca="1" si="34"/>
        <v>1180638.077488757</v>
      </c>
      <c r="S123" s="29">
        <f t="shared" ca="1" si="35"/>
        <v>1538198.5918967715</v>
      </c>
    </row>
    <row r="124" spans="2:19" x14ac:dyDescent="0.25">
      <c r="B124" s="12">
        <f t="shared" ca="1" si="26"/>
        <v>3</v>
      </c>
      <c r="C124" s="28">
        <f t="shared" ca="1" si="27"/>
        <v>9</v>
      </c>
      <c r="D124" s="45">
        <f t="shared" ca="1" si="28"/>
        <v>131.09776480963123</v>
      </c>
      <c r="E124" s="46">
        <f t="shared" ca="1" si="29"/>
        <v>3.18848585591937E-2</v>
      </c>
      <c r="F124" s="21">
        <f t="shared" ca="1" si="30"/>
        <v>49522</v>
      </c>
      <c r="G124" s="47">
        <f t="shared" ca="1" si="31"/>
        <v>0.34833614069846108</v>
      </c>
      <c r="H124" s="29">
        <f t="shared" si="23"/>
        <v>3000</v>
      </c>
      <c r="I124" s="42">
        <f t="shared" ca="1" si="32"/>
        <v>9043.6767502446619</v>
      </c>
      <c r="J124" s="42">
        <f t="shared" ca="1" si="33"/>
        <v>11806.858532330136</v>
      </c>
      <c r="L124" s="29">
        <f t="shared" ca="1" si="24"/>
        <v>3150.239456904626</v>
      </c>
      <c r="M124" s="29">
        <f t="shared" ca="1" si="25"/>
        <v>4112.7555349245758</v>
      </c>
      <c r="O124" s="29">
        <f ca="1">SUM($L$12:L124)</f>
        <v>289443.07808749238</v>
      </c>
      <c r="P124" s="29">
        <f ca="1">SUM($M$12:M124)</f>
        <v>337604.69373040483</v>
      </c>
      <c r="R124" s="29">
        <f t="shared" ca="1" si="34"/>
        <v>1185605.8076179049</v>
      </c>
      <c r="S124" s="29">
        <f t="shared" ca="1" si="35"/>
        <v>1547852.7630120039</v>
      </c>
    </row>
    <row r="125" spans="2:19" x14ac:dyDescent="0.25">
      <c r="B125" s="12">
        <f t="shared" ca="1" si="26"/>
        <v>3</v>
      </c>
      <c r="C125" s="28">
        <f t="shared" ca="1" si="27"/>
        <v>9</v>
      </c>
      <c r="D125" s="45">
        <f t="shared" ca="1" si="28"/>
        <v>131.31626108431396</v>
      </c>
      <c r="E125" s="46">
        <f t="shared" ca="1" si="29"/>
        <v>3.1858332054568748E-2</v>
      </c>
      <c r="F125" s="21">
        <f t="shared" ca="1" si="30"/>
        <v>49553</v>
      </c>
      <c r="G125" s="47">
        <f t="shared" ca="1" si="31"/>
        <v>0.34862642081570983</v>
      </c>
      <c r="H125" s="29">
        <f t="shared" si="23"/>
        <v>3000</v>
      </c>
      <c r="I125" s="42">
        <f t="shared" ca="1" si="32"/>
        <v>9066.5223595791667</v>
      </c>
      <c r="J125" s="42">
        <f t="shared" ca="1" si="33"/>
        <v>11861.023610411043</v>
      </c>
      <c r="L125" s="29">
        <f t="shared" ca="1" si="24"/>
        <v>3160.8292394656892</v>
      </c>
      <c r="M125" s="29">
        <f t="shared" ca="1" si="25"/>
        <v>4135.0662085082304</v>
      </c>
      <c r="O125" s="29">
        <f ca="1">SUM($L$12:L125)</f>
        <v>292603.90732695808</v>
      </c>
      <c r="P125" s="29">
        <f ca="1">SUM($M$12:M125)</f>
        <v>341739.75993891305</v>
      </c>
      <c r="R125" s="29">
        <f t="shared" ca="1" si="34"/>
        <v>1190581.8172972682</v>
      </c>
      <c r="S125" s="29">
        <f t="shared" ca="1" si="35"/>
        <v>1557545.2731519488</v>
      </c>
    </row>
    <row r="126" spans="2:19" x14ac:dyDescent="0.25">
      <c r="B126" s="12">
        <f t="shared" ca="1" si="26"/>
        <v>4</v>
      </c>
      <c r="C126" s="28">
        <f t="shared" ca="1" si="27"/>
        <v>9</v>
      </c>
      <c r="D126" s="45">
        <f t="shared" ca="1" si="28"/>
        <v>131.53512151945449</v>
      </c>
      <c r="E126" s="46">
        <f t="shared" ca="1" si="29"/>
        <v>3.1831827618583247E-2</v>
      </c>
      <c r="F126" s="21">
        <f t="shared" ca="1" si="30"/>
        <v>49583</v>
      </c>
      <c r="G126" s="47">
        <f t="shared" ca="1" si="31"/>
        <v>0.34891694283305624</v>
      </c>
      <c r="H126" s="29">
        <f t="shared" si="23"/>
        <v>3000</v>
      </c>
      <c r="I126" s="42">
        <f t="shared" ca="1" si="32"/>
        <v>9089.3299562525481</v>
      </c>
      <c r="J126" s="42">
        <f t="shared" ca="1" si="33"/>
        <v>11915.268181184887</v>
      </c>
      <c r="L126" s="29">
        <f t="shared" ca="1" si="24"/>
        <v>3171.4212207365558</v>
      </c>
      <c r="M126" s="29">
        <f t="shared" ca="1" si="25"/>
        <v>4157.4389468150212</v>
      </c>
      <c r="O126" s="29">
        <f ca="1">SUM($L$12:L126)</f>
        <v>295775.32854769466</v>
      </c>
      <c r="P126" s="29">
        <f ca="1">SUM($M$12:M126)</f>
        <v>345897.19888572808</v>
      </c>
      <c r="R126" s="29">
        <f t="shared" ca="1" si="34"/>
        <v>1195566.1203260969</v>
      </c>
      <c r="S126" s="29">
        <f t="shared" ca="1" si="35"/>
        <v>1567276.2481490436</v>
      </c>
    </row>
    <row r="127" spans="2:19" x14ac:dyDescent="0.25">
      <c r="B127" s="12">
        <f t="shared" ca="1" si="26"/>
        <v>4</v>
      </c>
      <c r="C127" s="28">
        <f t="shared" ca="1" si="27"/>
        <v>9</v>
      </c>
      <c r="D127" s="45">
        <f t="shared" ca="1" si="28"/>
        <v>131.75434672198693</v>
      </c>
      <c r="E127" s="46">
        <f t="shared" ca="1" si="29"/>
        <v>3.1805345232877265E-2</v>
      </c>
      <c r="F127" s="21">
        <f t="shared" ca="1" si="30"/>
        <v>49614</v>
      </c>
      <c r="G127" s="47">
        <f t="shared" ca="1" si="31"/>
        <v>0.34920770695208381</v>
      </c>
      <c r="H127" s="29">
        <f t="shared" si="23"/>
        <v>3000</v>
      </c>
      <c r="I127" s="42">
        <f t="shared" ca="1" si="32"/>
        <v>9112.0996035138287</v>
      </c>
      <c r="J127" s="42">
        <f t="shared" ca="1" si="33"/>
        <v>11969.592301222596</v>
      </c>
      <c r="L127" s="29">
        <f t="shared" ca="1" si="24"/>
        <v>3182.0154080620559</v>
      </c>
      <c r="M127" s="29">
        <f t="shared" ca="1" si="25"/>
        <v>4179.8738806612582</v>
      </c>
      <c r="O127" s="29">
        <f ca="1">SUM($L$12:L127)</f>
        <v>298957.34395575675</v>
      </c>
      <c r="P127" s="29">
        <f ca="1">SUM($M$12:M127)</f>
        <v>350077.07276638935</v>
      </c>
      <c r="R127" s="29">
        <f t="shared" ca="1" si="34"/>
        <v>1200558.7305266405</v>
      </c>
      <c r="S127" s="29">
        <f t="shared" ca="1" si="35"/>
        <v>1577045.8141761073</v>
      </c>
    </row>
    <row r="128" spans="2:19" x14ac:dyDescent="0.25">
      <c r="B128" s="12">
        <f t="shared" ca="1" si="26"/>
        <v>4</v>
      </c>
      <c r="C128" s="28">
        <f t="shared" ca="1" si="27"/>
        <v>9</v>
      </c>
      <c r="D128" s="45">
        <f t="shared" ca="1" si="28"/>
        <v>131.97393729985691</v>
      </c>
      <c r="E128" s="46">
        <f t="shared" ca="1" si="29"/>
        <v>3.1778884879106149E-2</v>
      </c>
      <c r="F128" s="21">
        <f t="shared" ca="1" si="30"/>
        <v>49644</v>
      </c>
      <c r="G128" s="47">
        <f t="shared" ca="1" si="31"/>
        <v>0.34949871337454386</v>
      </c>
      <c r="H128" s="29">
        <f t="shared" si="23"/>
        <v>3000</v>
      </c>
      <c r="I128" s="42">
        <f t="shared" ca="1" si="32"/>
        <v>9134.8313645067865</v>
      </c>
      <c r="J128" s="42">
        <f t="shared" ca="1" si="33"/>
        <v>12023.996026894187</v>
      </c>
      <c r="L128" s="29">
        <f t="shared" ca="1" si="24"/>
        <v>3192.6118087885507</v>
      </c>
      <c r="M128" s="29">
        <f t="shared" ca="1" si="25"/>
        <v>4202.3711410201458</v>
      </c>
      <c r="O128" s="29">
        <f ca="1">SUM($L$12:L128)</f>
        <v>302149.9557645453</v>
      </c>
      <c r="P128" s="29">
        <f ca="1">SUM($M$12:M128)</f>
        <v>354279.4439074095</v>
      </c>
      <c r="R128" s="29">
        <f t="shared" ca="1" si="34"/>
        <v>1205559.661744185</v>
      </c>
      <c r="S128" s="29">
        <f t="shared" ca="1" si="35"/>
        <v>1586854.0977470621</v>
      </c>
    </row>
    <row r="129" spans="2:19" x14ac:dyDescent="0.25">
      <c r="B129" s="12">
        <f t="shared" ca="1" si="26"/>
        <v>1</v>
      </c>
      <c r="C129" s="28">
        <f t="shared" ca="1" si="27"/>
        <v>10</v>
      </c>
      <c r="D129" s="45">
        <f t="shared" ca="1" si="28"/>
        <v>132.19389386202334</v>
      </c>
      <c r="E129" s="46">
        <f t="shared" ca="1" si="29"/>
        <v>3.1752446538940507E-2</v>
      </c>
      <c r="F129" s="21">
        <f t="shared" ca="1" si="30"/>
        <v>49675</v>
      </c>
      <c r="G129" s="47">
        <f t="shared" ca="1" si="31"/>
        <v>0.34978996230235598</v>
      </c>
      <c r="H129" s="29">
        <f t="shared" si="23"/>
        <v>3000</v>
      </c>
      <c r="I129" s="42">
        <f t="shared" ca="1" si="32"/>
        <v>9157.5253022701399</v>
      </c>
      <c r="J129" s="42">
        <f t="shared" ca="1" si="33"/>
        <v>12078.479414368479</v>
      </c>
      <c r="L129" s="29">
        <f t="shared" ca="1" si="24"/>
        <v>3203.2104302639432</v>
      </c>
      <c r="M129" s="29">
        <f t="shared" ca="1" si="25"/>
        <v>4224.9308590217333</v>
      </c>
      <c r="O129" s="29">
        <f ca="1">SUM($L$12:L129)</f>
        <v>305353.16619480925</v>
      </c>
      <c r="P129" s="29">
        <f ca="1">SUM($M$12:M129)</f>
        <v>358504.37476643122</v>
      </c>
      <c r="R129" s="29">
        <f t="shared" ca="1" si="34"/>
        <v>1210568.927847092</v>
      </c>
      <c r="S129" s="29">
        <f t="shared" ca="1" si="35"/>
        <v>1596701.2257176607</v>
      </c>
    </row>
    <row r="130" spans="2:19" x14ac:dyDescent="0.25">
      <c r="B130" s="12">
        <f t="shared" ca="1" si="26"/>
        <v>1</v>
      </c>
      <c r="C130" s="28">
        <f t="shared" ca="1" si="27"/>
        <v>10</v>
      </c>
      <c r="D130" s="45">
        <f t="shared" ca="1" si="28"/>
        <v>132.41421701846005</v>
      </c>
      <c r="E130" s="46">
        <f t="shared" ca="1" si="29"/>
        <v>3.1726030194066182E-2</v>
      </c>
      <c r="F130" s="21">
        <f t="shared" ca="1" si="30"/>
        <v>49706</v>
      </c>
      <c r="G130" s="47">
        <f t="shared" ca="1" si="31"/>
        <v>0.35008145393760792</v>
      </c>
      <c r="H130" s="29">
        <f t="shared" si="23"/>
        <v>3000</v>
      </c>
      <c r="I130" s="42">
        <f t="shared" ca="1" si="32"/>
        <v>9180.1814797377137</v>
      </c>
      <c r="J130" s="42">
        <f t="shared" ca="1" si="33"/>
        <v>12133.042519612794</v>
      </c>
      <c r="L130" s="29">
        <f t="shared" ca="1" si="24"/>
        <v>3213.8112798376796</v>
      </c>
      <c r="M130" s="29">
        <f t="shared" ca="1" si="25"/>
        <v>4247.5531659528651</v>
      </c>
      <c r="O130" s="29">
        <f ca="1">SUM($L$12:L130)</f>
        <v>308566.97747464693</v>
      </c>
      <c r="P130" s="29">
        <f ca="1">SUM($M$12:M130)</f>
        <v>362751.92793238407</v>
      </c>
      <c r="R130" s="29">
        <f t="shared" ca="1" si="34"/>
        <v>1215586.5427268373</v>
      </c>
      <c r="S130" s="29">
        <f t="shared" ca="1" si="35"/>
        <v>1606587.3252862119</v>
      </c>
    </row>
    <row r="131" spans="2:19" x14ac:dyDescent="0.25">
      <c r="B131" s="12">
        <f t="shared" ca="1" si="26"/>
        <v>1</v>
      </c>
      <c r="C131" s="28">
        <f t="shared" ca="1" si="27"/>
        <v>10</v>
      </c>
      <c r="D131" s="45">
        <f t="shared" ca="1" si="28"/>
        <v>132.6349073801575</v>
      </c>
      <c r="E131" s="46">
        <f t="shared" ca="1" si="29"/>
        <v>3.169963582618425E-2</v>
      </c>
      <c r="F131" s="21">
        <f t="shared" ca="1" si="30"/>
        <v>49735</v>
      </c>
      <c r="G131" s="47">
        <f t="shared" ca="1" si="31"/>
        <v>0.35037318848255594</v>
      </c>
      <c r="H131" s="29">
        <f t="shared" si="23"/>
        <v>3000</v>
      </c>
      <c r="I131" s="42">
        <f t="shared" ca="1" si="32"/>
        <v>9202.7999597386188</v>
      </c>
      <c r="J131" s="42">
        <f t="shared" ca="1" si="33"/>
        <v>12187.685398392661</v>
      </c>
      <c r="L131" s="29">
        <f t="shared" ca="1" si="24"/>
        <v>3224.4143648607574</v>
      </c>
      <c r="M131" s="29">
        <f t="shared" ca="1" si="25"/>
        <v>4270.238193257127</v>
      </c>
      <c r="O131" s="29">
        <f ca="1">SUM($L$12:L131)</f>
        <v>311791.39183950768</v>
      </c>
      <c r="P131" s="29">
        <f ca="1">SUM($M$12:M131)</f>
        <v>367022.1661256412</v>
      </c>
      <c r="R131" s="29">
        <f t="shared" ca="1" si="34"/>
        <v>1220612.5202980489</v>
      </c>
      <c r="S131" s="29">
        <f t="shared" ca="1" si="35"/>
        <v>1616512.5239943087</v>
      </c>
    </row>
    <row r="132" spans="2:19" x14ac:dyDescent="0.25">
      <c r="B132" s="12">
        <f t="shared" ca="1" si="26"/>
        <v>2</v>
      </c>
      <c r="C132" s="28">
        <f t="shared" ca="1" si="27"/>
        <v>10</v>
      </c>
      <c r="D132" s="45">
        <f t="shared" ca="1" si="28"/>
        <v>132.85596555912443</v>
      </c>
      <c r="E132" s="46">
        <f t="shared" ca="1" si="29"/>
        <v>3.1673263417011058E-2</v>
      </c>
      <c r="F132" s="21">
        <f t="shared" ca="1" si="30"/>
        <v>49766</v>
      </c>
      <c r="G132" s="47">
        <f t="shared" ca="1" si="31"/>
        <v>0.35066516613962473</v>
      </c>
      <c r="H132" s="29">
        <f t="shared" si="23"/>
        <v>3000</v>
      </c>
      <c r="I132" s="42">
        <f t="shared" ca="1" si="32"/>
        <v>9225.3808049974268</v>
      </c>
      <c r="J132" s="42">
        <f t="shared" ca="1" si="33"/>
        <v>12242.40810627153</v>
      </c>
      <c r="L132" s="29">
        <f t="shared" ca="1" si="24"/>
        <v>3235.0196926857275</v>
      </c>
      <c r="M132" s="29">
        <f t="shared" ca="1" si="25"/>
        <v>4292.9860725347944</v>
      </c>
      <c r="O132" s="29">
        <f ca="1">SUM($L$12:L132)</f>
        <v>315026.41153219342</v>
      </c>
      <c r="P132" s="29">
        <f ca="1">SUM($M$12:M132)</f>
        <v>371315.15219817602</v>
      </c>
      <c r="R132" s="29">
        <f t="shared" ca="1" si="34"/>
        <v>1225646.8744985457</v>
      </c>
      <c r="S132" s="29">
        <f t="shared" ca="1" si="35"/>
        <v>1626476.9497275562</v>
      </c>
    </row>
    <row r="133" spans="2:19" x14ac:dyDescent="0.25">
      <c r="B133" s="12">
        <f t="shared" ca="1" si="26"/>
        <v>2</v>
      </c>
      <c r="C133" s="28">
        <f t="shared" ca="1" si="27"/>
        <v>10</v>
      </c>
      <c r="D133" s="45">
        <f t="shared" ca="1" si="28"/>
        <v>133.07739216838965</v>
      </c>
      <c r="E133" s="46">
        <f t="shared" ca="1" si="29"/>
        <v>3.1646912948278094E-2</v>
      </c>
      <c r="F133" s="21">
        <f t="shared" ca="1" si="30"/>
        <v>49796</v>
      </c>
      <c r="G133" s="47">
        <f t="shared" ca="1" si="31"/>
        <v>0.35095738711140773</v>
      </c>
      <c r="H133" s="29">
        <f t="shared" si="23"/>
        <v>3000</v>
      </c>
      <c r="I133" s="42">
        <f t="shared" ca="1" si="32"/>
        <v>9247.9240781343397</v>
      </c>
      <c r="J133" s="42">
        <f t="shared" ca="1" si="33"/>
        <v>12297.210698610481</v>
      </c>
      <c r="L133" s="29">
        <f t="shared" ca="1" si="24"/>
        <v>3245.6272706667019</v>
      </c>
      <c r="M133" s="29">
        <f t="shared" ca="1" si="25"/>
        <v>4315.7969355427831</v>
      </c>
      <c r="O133" s="29">
        <f ca="1">SUM($L$12:L133)</f>
        <v>318272.03880286013</v>
      </c>
      <c r="P133" s="29">
        <f ca="1">SUM($M$12:M133)</f>
        <v>375630.94913371879</v>
      </c>
      <c r="R133" s="29">
        <f t="shared" ca="1" si="34"/>
        <v>1230689.6192893768</v>
      </c>
      <c r="S133" s="29">
        <f t="shared" ca="1" si="35"/>
        <v>1636480.7307163039</v>
      </c>
    </row>
    <row r="134" spans="2:19" x14ac:dyDescent="0.25">
      <c r="B134" s="12">
        <f t="shared" ca="1" si="26"/>
        <v>2</v>
      </c>
      <c r="C134" s="28">
        <f t="shared" ca="1" si="27"/>
        <v>10</v>
      </c>
      <c r="D134" s="45">
        <f t="shared" ca="1" si="28"/>
        <v>133.29918782200363</v>
      </c>
      <c r="E134" s="46">
        <f t="shared" ca="1" si="29"/>
        <v>3.1620584401732113E-2</v>
      </c>
      <c r="F134" s="21">
        <f t="shared" ca="1" si="30"/>
        <v>49827</v>
      </c>
      <c r="G134" s="47">
        <f t="shared" ca="1" si="31"/>
        <v>0.35124985160066724</v>
      </c>
      <c r="H134" s="29">
        <f t="shared" si="23"/>
        <v>3000</v>
      </c>
      <c r="I134" s="42">
        <f t="shared" ca="1" si="32"/>
        <v>9270.4298416653673</v>
      </c>
      <c r="J134" s="42">
        <f t="shared" ca="1" si="33"/>
        <v>12352.093230567927</v>
      </c>
      <c r="L134" s="29">
        <f t="shared" ca="1" si="24"/>
        <v>3256.2371061593572</v>
      </c>
      <c r="M134" s="29">
        <f t="shared" ca="1" si="25"/>
        <v>4338.6709141945912</v>
      </c>
      <c r="O134" s="29">
        <f ca="1">SUM($L$12:L134)</f>
        <v>321528.27590901946</v>
      </c>
      <c r="P134" s="29">
        <f ca="1">SUM($M$12:M134)</f>
        <v>379969.6200479134</v>
      </c>
      <c r="R134" s="29">
        <f t="shared" ca="1" si="34"/>
        <v>1235740.7686548592</v>
      </c>
      <c r="S134" s="29">
        <f t="shared" ca="1" si="35"/>
        <v>1646523.9955363737</v>
      </c>
    </row>
    <row r="135" spans="2:19" x14ac:dyDescent="0.25">
      <c r="B135" s="12">
        <f t="shared" ca="1" si="26"/>
        <v>3</v>
      </c>
      <c r="C135" s="28">
        <f t="shared" ca="1" si="27"/>
        <v>10</v>
      </c>
      <c r="D135" s="45">
        <f t="shared" ca="1" si="28"/>
        <v>133.5213531350403</v>
      </c>
      <c r="E135" s="46">
        <f t="shared" ca="1" si="29"/>
        <v>3.1594277759134995E-2</v>
      </c>
      <c r="F135" s="21">
        <f t="shared" ca="1" si="30"/>
        <v>49857</v>
      </c>
      <c r="G135" s="47">
        <f t="shared" ca="1" si="31"/>
        <v>0.35154255981033444</v>
      </c>
      <c r="H135" s="29">
        <f t="shared" si="23"/>
        <v>3000</v>
      </c>
      <c r="I135" s="42">
        <f t="shared" ca="1" si="32"/>
        <v>9292.8981580024993</v>
      </c>
      <c r="J135" s="42">
        <f t="shared" ca="1" si="33"/>
        <v>12407.055757099339</v>
      </c>
      <c r="L135" s="29">
        <f t="shared" ca="1" si="24"/>
        <v>3266.8492065209402</v>
      </c>
      <c r="M135" s="29">
        <f t="shared" ca="1" si="25"/>
        <v>4361.608140560249</v>
      </c>
      <c r="O135" s="29">
        <f ca="1">SUM($L$12:L135)</f>
        <v>324795.1251155404</v>
      </c>
      <c r="P135" s="29">
        <f ca="1">SUM($M$12:M135)</f>
        <v>384331.22818847367</v>
      </c>
      <c r="R135" s="29">
        <f t="shared" ca="1" si="34"/>
        <v>1240800.3366026173</v>
      </c>
      <c r="S135" s="29">
        <f t="shared" ca="1" si="35"/>
        <v>1656606.8731097956</v>
      </c>
    </row>
    <row r="136" spans="2:19" x14ac:dyDescent="0.25">
      <c r="B136" s="12">
        <f t="shared" ca="1" si="26"/>
        <v>3</v>
      </c>
      <c r="C136" s="28">
        <f t="shared" ca="1" si="27"/>
        <v>10</v>
      </c>
      <c r="D136" s="45">
        <f t="shared" ca="1" si="28"/>
        <v>133.7438887235987</v>
      </c>
      <c r="E136" s="46">
        <f t="shared" ca="1" si="29"/>
        <v>3.1567993002263831E-2</v>
      </c>
      <c r="F136" s="21">
        <f t="shared" ca="1" si="30"/>
        <v>49888</v>
      </c>
      <c r="G136" s="47">
        <f t="shared" ca="1" si="31"/>
        <v>0.3518355119435097</v>
      </c>
      <c r="H136" s="29">
        <f t="shared" si="23"/>
        <v>3000</v>
      </c>
      <c r="I136" s="42">
        <f t="shared" ca="1" si="32"/>
        <v>9315.3290894538786</v>
      </c>
      <c r="J136" s="42">
        <f t="shared" ca="1" si="33"/>
        <v>12462.098332956948</v>
      </c>
      <c r="L136" s="29">
        <f t="shared" ca="1" si="24"/>
        <v>3277.4635791102737</v>
      </c>
      <c r="M136" s="29">
        <f t="shared" ca="1" si="25"/>
        <v>4384.6087468662663</v>
      </c>
      <c r="O136" s="29">
        <f ca="1">SUM($L$12:L136)</f>
        <v>328072.58869465068</v>
      </c>
      <c r="P136" s="29">
        <f ca="1">SUM($M$12:M136)</f>
        <v>388715.83693533996</v>
      </c>
      <c r="R136" s="29">
        <f t="shared" ca="1" si="34"/>
        <v>1245868.3371636216</v>
      </c>
      <c r="S136" s="29">
        <f t="shared" ca="1" si="35"/>
        <v>1666729.4927055389</v>
      </c>
    </row>
    <row r="137" spans="2:19" x14ac:dyDescent="0.25">
      <c r="B137" s="12">
        <f t="shared" ca="1" si="26"/>
        <v>3</v>
      </c>
      <c r="C137" s="28">
        <f t="shared" ca="1" si="27"/>
        <v>10</v>
      </c>
      <c r="D137" s="45">
        <f t="shared" ca="1" si="28"/>
        <v>133.9667952048047</v>
      </c>
      <c r="E137" s="46">
        <f t="shared" ca="1" si="29"/>
        <v>3.1541730112910872E-2</v>
      </c>
      <c r="F137" s="21">
        <f t="shared" ca="1" si="30"/>
        <v>49919</v>
      </c>
      <c r="G137" s="47">
        <f t="shared" ca="1" si="31"/>
        <v>0.35212870820346265</v>
      </c>
      <c r="H137" s="29">
        <f t="shared" si="23"/>
        <v>3000</v>
      </c>
      <c r="I137" s="42">
        <f t="shared" ca="1" si="32"/>
        <v>9337.7226982239754</v>
      </c>
      <c r="J137" s="42">
        <f t="shared" ca="1" si="33"/>
        <v>12517.221012689466</v>
      </c>
      <c r="L137" s="29">
        <f t="shared" ca="1" si="24"/>
        <v>3288.0802312877599</v>
      </c>
      <c r="M137" s="29">
        <f t="shared" ca="1" si="25"/>
        <v>4407.6728654955805</v>
      </c>
      <c r="O137" s="29">
        <f ca="1">SUM($L$12:L137)</f>
        <v>331360.66892593843</v>
      </c>
      <c r="P137" s="29">
        <f ca="1">SUM($M$12:M137)</f>
        <v>393123.50980083551</v>
      </c>
      <c r="R137" s="29">
        <f t="shared" ca="1" si="34"/>
        <v>1250944.7843922277</v>
      </c>
      <c r="S137" s="29">
        <f t="shared" ca="1" si="35"/>
        <v>1676891.9839402477</v>
      </c>
    </row>
    <row r="138" spans="2:19" x14ac:dyDescent="0.25">
      <c r="B138" s="12">
        <f t="shared" ca="1" si="26"/>
        <v>4</v>
      </c>
      <c r="C138" s="28">
        <f t="shared" ca="1" si="27"/>
        <v>10</v>
      </c>
      <c r="D138" s="45">
        <f t="shared" ca="1" si="28"/>
        <v>134.1900731968127</v>
      </c>
      <c r="E138" s="46">
        <f t="shared" ca="1" si="29"/>
        <v>3.1515489072883485E-2</v>
      </c>
      <c r="F138" s="21">
        <f t="shared" ca="1" si="30"/>
        <v>49949</v>
      </c>
      <c r="G138" s="47">
        <f t="shared" ca="1" si="31"/>
        <v>0.35242214879363221</v>
      </c>
      <c r="H138" s="29">
        <f t="shared" si="23"/>
        <v>3000</v>
      </c>
      <c r="I138" s="42">
        <f t="shared" ca="1" si="32"/>
        <v>9360.0790464137553</v>
      </c>
      <c r="J138" s="42">
        <f t="shared" ca="1" si="33"/>
        <v>12572.423850641801</v>
      </c>
      <c r="L138" s="29">
        <f t="shared" ca="1" si="24"/>
        <v>3298.6991704153875</v>
      </c>
      <c r="M138" s="29">
        <f t="shared" ca="1" si="25"/>
        <v>4430.8006289874947</v>
      </c>
      <c r="O138" s="29">
        <f ca="1">SUM($L$12:L138)</f>
        <v>334659.36809635384</v>
      </c>
      <c r="P138" s="29">
        <f ca="1">SUM($M$12:M138)</f>
        <v>397554.310429823</v>
      </c>
      <c r="R138" s="29">
        <f t="shared" ca="1" si="34"/>
        <v>1256029.6923662147</v>
      </c>
      <c r="S138" s="29">
        <f t="shared" ca="1" si="35"/>
        <v>1687094.4767789771</v>
      </c>
    </row>
    <row r="139" spans="2:19" x14ac:dyDescent="0.25">
      <c r="B139" s="12">
        <f t="shared" ca="1" si="26"/>
        <v>4</v>
      </c>
      <c r="C139" s="28">
        <f t="shared" ca="1" si="27"/>
        <v>10</v>
      </c>
      <c r="D139" s="45">
        <f t="shared" ca="1" si="28"/>
        <v>134.4137233188074</v>
      </c>
      <c r="E139" s="46">
        <f t="shared" ca="1" si="29"/>
        <v>3.1489269864004216E-2</v>
      </c>
      <c r="F139" s="21">
        <f t="shared" ca="1" si="30"/>
        <v>49980</v>
      </c>
      <c r="G139" s="47">
        <f t="shared" ca="1" si="31"/>
        <v>0.3527158339176269</v>
      </c>
      <c r="H139" s="29">
        <f t="shared" si="23"/>
        <v>3000</v>
      </c>
      <c r="I139" s="42">
        <f t="shared" ca="1" si="32"/>
        <v>9382.3981960208566</v>
      </c>
      <c r="J139" s="42">
        <f t="shared" ca="1" si="33"/>
        <v>12627.706900954772</v>
      </c>
      <c r="L139" s="29">
        <f t="shared" ca="1" si="24"/>
        <v>3309.3204038567346</v>
      </c>
      <c r="M139" s="29">
        <f t="shared" ca="1" si="25"/>
        <v>4453.9921700376344</v>
      </c>
      <c r="O139" s="29">
        <f ca="1">SUM($L$12:L139)</f>
        <v>337968.68850021058</v>
      </c>
      <c r="P139" s="29">
        <f ca="1">SUM($M$12:M139)</f>
        <v>402008.30259986065</v>
      </c>
      <c r="R139" s="29">
        <f t="shared" ca="1" si="34"/>
        <v>1261123.0751868251</v>
      </c>
      <c r="S139" s="29">
        <f t="shared" ca="1" si="35"/>
        <v>1697337.1015359296</v>
      </c>
    </row>
    <row r="140" spans="2:19" x14ac:dyDescent="0.25">
      <c r="B140" s="12">
        <f t="shared" ca="1" si="26"/>
        <v>4</v>
      </c>
      <c r="C140" s="28">
        <f t="shared" ca="1" si="27"/>
        <v>10</v>
      </c>
      <c r="D140" s="45">
        <f t="shared" ca="1" si="28"/>
        <v>134.63774619100542</v>
      </c>
      <c r="E140" s="46">
        <f t="shared" ca="1" si="29"/>
        <v>3.1463072468110705E-2</v>
      </c>
      <c r="F140" s="21">
        <f t="shared" ca="1" si="30"/>
        <v>50010</v>
      </c>
      <c r="G140" s="47">
        <f t="shared" ca="1" si="31"/>
        <v>0.35300976377922494</v>
      </c>
      <c r="H140" s="29">
        <f t="shared" si="23"/>
        <v>3000</v>
      </c>
      <c r="I140" s="42">
        <f t="shared" ca="1" si="32"/>
        <v>9404.6802089397606</v>
      </c>
      <c r="J140" s="42">
        <f t="shared" ca="1" si="33"/>
        <v>12683.070217564833</v>
      </c>
      <c r="L140" s="29">
        <f t="shared" ca="1" si="24"/>
        <v>3319.9439389769768</v>
      </c>
      <c r="M140" s="29">
        <f t="shared" ca="1" si="25"/>
        <v>4477.2476214978851</v>
      </c>
      <c r="O140" s="29">
        <f ca="1">SUM($L$12:L140)</f>
        <v>341288.63243918755</v>
      </c>
      <c r="P140" s="29">
        <f ca="1">SUM($M$12:M140)</f>
        <v>406485.55022135854</v>
      </c>
      <c r="R140" s="29">
        <f t="shared" ca="1" si="34"/>
        <v>1266224.9469788033</v>
      </c>
      <c r="S140" s="29">
        <f t="shared" ca="1" si="35"/>
        <v>1707619.9888751938</v>
      </c>
    </row>
    <row r="141" spans="2:19" x14ac:dyDescent="0.25">
      <c r="B141" s="12">
        <f t="shared" ca="1" si="26"/>
        <v>1</v>
      </c>
      <c r="C141" s="28">
        <f t="shared" ca="1" si="27"/>
        <v>11</v>
      </c>
      <c r="D141" s="45">
        <f t="shared" ca="1" si="28"/>
        <v>134.8621424346571</v>
      </c>
      <c r="E141" s="46">
        <f t="shared" ca="1" si="29"/>
        <v>3.1436896867055697E-2</v>
      </c>
      <c r="F141" s="21">
        <f t="shared" ca="1" si="30"/>
        <v>50041</v>
      </c>
      <c r="G141" s="47">
        <f t="shared" ca="1" si="31"/>
        <v>0.3533039385823743</v>
      </c>
      <c r="H141" s="29">
        <f t="shared" si="23"/>
        <v>3000</v>
      </c>
      <c r="I141" s="42">
        <f t="shared" ca="1" si="32"/>
        <v>9426.9251469619594</v>
      </c>
      <c r="J141" s="42">
        <f t="shared" ca="1" si="33"/>
        <v>12738.513854203786</v>
      </c>
      <c r="L141" s="29">
        <f t="shared" ca="1" si="24"/>
        <v>3330.5697831428879</v>
      </c>
      <c r="M141" s="29">
        <f t="shared" ca="1" si="25"/>
        <v>4500.5671163763382</v>
      </c>
      <c r="O141" s="29">
        <f ca="1">SUM($L$12:L141)</f>
        <v>344619.20222233044</v>
      </c>
      <c r="P141" s="29">
        <f ca="1">SUM($M$12:M141)</f>
        <v>410986.1173377349</v>
      </c>
      <c r="R141" s="29">
        <f t="shared" ca="1" si="34"/>
        <v>1271335.3218904347</v>
      </c>
      <c r="S141" s="29">
        <f t="shared" ca="1" si="35"/>
        <v>1717943.2698114838</v>
      </c>
    </row>
    <row r="142" spans="2:19" x14ac:dyDescent="0.25">
      <c r="B142" s="12">
        <f t="shared" ca="1" si="26"/>
        <v>1</v>
      </c>
      <c r="C142" s="28">
        <f t="shared" ca="1" si="27"/>
        <v>11</v>
      </c>
      <c r="D142" s="45">
        <f t="shared" ca="1" si="28"/>
        <v>135.08691267204821</v>
      </c>
      <c r="E142" s="46">
        <f t="shared" ca="1" si="29"/>
        <v>3.1410743042707058E-2</v>
      </c>
      <c r="F142" s="21">
        <f t="shared" ca="1" si="30"/>
        <v>50072</v>
      </c>
      <c r="G142" s="47">
        <f t="shared" ca="1" si="31"/>
        <v>0.35359835853119292</v>
      </c>
      <c r="H142" s="29">
        <f t="shared" ref="H142:H205" si="36">IF($F$5="Mensuel",$E$5,0)</f>
        <v>3000</v>
      </c>
      <c r="I142" s="42">
        <f t="shared" ca="1" si="32"/>
        <v>9449.1330717761357</v>
      </c>
      <c r="J142" s="42">
        <f t="shared" ca="1" si="33"/>
        <v>12794.037864398508</v>
      </c>
      <c r="L142" s="29">
        <f t="shared" ref="L142:L205" ca="1" si="37">I142*G142</f>
        <v>3341.1979437228501</v>
      </c>
      <c r="M142" s="29">
        <f t="shared" ref="M142:M205" ca="1" si="38">J142*G142</f>
        <v>4523.9507878372415</v>
      </c>
      <c r="O142" s="29">
        <f ca="1">SUM($L$12:L142)</f>
        <v>347960.40016605327</v>
      </c>
      <c r="P142" s="29">
        <f ca="1">SUM($M$12:M142)</f>
        <v>415510.06812557217</v>
      </c>
      <c r="R142" s="29">
        <f t="shared" ca="1" si="34"/>
        <v>1276454.2140935855</v>
      </c>
      <c r="S142" s="29">
        <f t="shared" ca="1" si="35"/>
        <v>1728307.0757108794</v>
      </c>
    </row>
    <row r="143" spans="2:19" x14ac:dyDescent="0.25">
      <c r="B143" s="12">
        <f t="shared" ca="1" si="26"/>
        <v>1</v>
      </c>
      <c r="C143" s="28">
        <f t="shared" ca="1" si="27"/>
        <v>11</v>
      </c>
      <c r="D143" s="45">
        <f t="shared" ca="1" si="28"/>
        <v>135.31205752650163</v>
      </c>
      <c r="E143" s="46">
        <f t="shared" ca="1" si="29"/>
        <v>3.1384610976947738E-2</v>
      </c>
      <c r="F143" s="21">
        <f t="shared" ca="1" si="30"/>
        <v>50100</v>
      </c>
      <c r="G143" s="47">
        <f t="shared" ca="1" si="31"/>
        <v>0.3538930238299689</v>
      </c>
      <c r="H143" s="29">
        <f t="shared" si="36"/>
        <v>3000</v>
      </c>
      <c r="I143" s="42">
        <f t="shared" ca="1" si="32"/>
        <v>9471.3040449683249</v>
      </c>
      <c r="J143" s="42">
        <f t="shared" ca="1" si="33"/>
        <v>12849.642301470671</v>
      </c>
      <c r="L143" s="29">
        <f t="shared" ca="1" si="37"/>
        <v>3351.8284280868561</v>
      </c>
      <c r="M143" s="29">
        <f t="shared" ca="1" si="38"/>
        <v>4547.3987692009368</v>
      </c>
      <c r="O143" s="29">
        <f ca="1">SUM($L$12:L143)</f>
        <v>351312.22859414015</v>
      </c>
      <c r="P143" s="29">
        <f ca="1">SUM($M$12:M143)</f>
        <v>420057.46689477313</v>
      </c>
      <c r="R143" s="29">
        <f t="shared" ca="1" si="34"/>
        <v>1281581.6377837416</v>
      </c>
      <c r="S143" s="29">
        <f t="shared" ca="1" si="35"/>
        <v>1738711.5382915682</v>
      </c>
    </row>
    <row r="144" spans="2:19" x14ac:dyDescent="0.25">
      <c r="B144" s="12">
        <f t="shared" ca="1" si="26"/>
        <v>2</v>
      </c>
      <c r="C144" s="28">
        <f t="shared" ca="1" si="27"/>
        <v>11</v>
      </c>
      <c r="D144" s="45">
        <f t="shared" ca="1" si="28"/>
        <v>135.53757762237913</v>
      </c>
      <c r="E144" s="46">
        <f t="shared" ca="1" si="29"/>
        <v>3.1358500651675732E-2</v>
      </c>
      <c r="F144" s="21">
        <f t="shared" ca="1" si="30"/>
        <v>50131</v>
      </c>
      <c r="G144" s="47">
        <f t="shared" ca="1" si="31"/>
        <v>0.35418793468316057</v>
      </c>
      <c r="H144" s="29">
        <f t="shared" si="36"/>
        <v>3000</v>
      </c>
      <c r="I144" s="42">
        <f t="shared" ca="1" si="32"/>
        <v>9493.4381280220914</v>
      </c>
      <c r="J144" s="42">
        <f t="shared" ca="1" si="33"/>
        <v>12905.327218536466</v>
      </c>
      <c r="L144" s="29">
        <f t="shared" ca="1" si="37"/>
        <v>3362.4612436065145</v>
      </c>
      <c r="M144" s="29">
        <f t="shared" ca="1" si="38"/>
        <v>4570.911193943808</v>
      </c>
      <c r="O144" s="29">
        <f ca="1">SUM($L$12:L144)</f>
        <v>354674.68983774667</v>
      </c>
      <c r="P144" s="29">
        <f ca="1">SUM($M$12:M144)</f>
        <v>424628.37808871694</v>
      </c>
      <c r="R144" s="29">
        <f t="shared" ca="1" si="34"/>
        <v>1286717.6071800478</v>
      </c>
      <c r="S144" s="29">
        <f t="shared" ca="1" si="35"/>
        <v>1749156.7896245883</v>
      </c>
    </row>
    <row r="145" spans="2:19" x14ac:dyDescent="0.25">
      <c r="B145" s="12">
        <f t="shared" ca="1" si="26"/>
        <v>2</v>
      </c>
      <c r="C145" s="28">
        <f t="shared" ca="1" si="27"/>
        <v>11</v>
      </c>
      <c r="D145" s="45">
        <f t="shared" ca="1" si="28"/>
        <v>135.76347358508309</v>
      </c>
      <c r="E145" s="46">
        <f t="shared" ca="1" si="29"/>
        <v>3.1332412048804131E-2</v>
      </c>
      <c r="F145" s="21">
        <f t="shared" ca="1" si="30"/>
        <v>50161</v>
      </c>
      <c r="G145" s="47">
        <f t="shared" ca="1" si="31"/>
        <v>0.35448309129539651</v>
      </c>
      <c r="H145" s="29">
        <f t="shared" si="36"/>
        <v>3000</v>
      </c>
      <c r="I145" s="42">
        <f t="shared" ca="1" si="32"/>
        <v>9515.5353823186961</v>
      </c>
      <c r="J145" s="42">
        <f t="shared" ca="1" si="33"/>
        <v>12961.09266850633</v>
      </c>
      <c r="L145" s="29">
        <f t="shared" ca="1" si="37"/>
        <v>3373.0963976550543</v>
      </c>
      <c r="M145" s="29">
        <f t="shared" ca="1" si="38"/>
        <v>4594.4881956982235</v>
      </c>
      <c r="O145" s="29">
        <f ca="1">SUM($L$12:L145)</f>
        <v>358047.7862354017</v>
      </c>
      <c r="P145" s="29">
        <f ca="1">SUM($M$12:M145)</f>
        <v>429222.86628441518</v>
      </c>
      <c r="R145" s="29">
        <f t="shared" ca="1" si="34"/>
        <v>1291862.1365253478</v>
      </c>
      <c r="S145" s="29">
        <f t="shared" ca="1" si="35"/>
        <v>1759642.9621345731</v>
      </c>
    </row>
    <row r="146" spans="2:19" x14ac:dyDescent="0.25">
      <c r="B146" s="12">
        <f t="shared" ca="1" si="26"/>
        <v>2</v>
      </c>
      <c r="C146" s="28">
        <f t="shared" ca="1" si="27"/>
        <v>11</v>
      </c>
      <c r="D146" s="45">
        <f t="shared" ca="1" si="28"/>
        <v>135.98974604105823</v>
      </c>
      <c r="E146" s="46">
        <f t="shared" ca="1" si="29"/>
        <v>3.1306345150261032E-2</v>
      </c>
      <c r="F146" s="21">
        <f t="shared" ca="1" si="30"/>
        <v>50192</v>
      </c>
      <c r="G146" s="47">
        <f t="shared" ca="1" si="31"/>
        <v>0.35477849387147603</v>
      </c>
      <c r="H146" s="29">
        <f t="shared" si="36"/>
        <v>3000</v>
      </c>
      <c r="I146" s="42">
        <f t="shared" ca="1" si="32"/>
        <v>9537.5958691372707</v>
      </c>
      <c r="J146" s="42">
        <f t="shared" ca="1" si="33"/>
        <v>13016.938704084669</v>
      </c>
      <c r="L146" s="29">
        <f t="shared" ca="1" si="37"/>
        <v>3383.7338976073324</v>
      </c>
      <c r="M146" s="29">
        <f t="shared" ca="1" si="38"/>
        <v>4618.129908252482</v>
      </c>
      <c r="O146" s="29">
        <f ca="1">SUM($L$12:L146)</f>
        <v>361431.52013300901</v>
      </c>
      <c r="P146" s="29">
        <f ca="1">SUM($M$12:M146)</f>
        <v>433840.99619266769</v>
      </c>
      <c r="R146" s="29">
        <f t="shared" ca="1" si="34"/>
        <v>1297015.2400862235</v>
      </c>
      <c r="S146" s="29">
        <f t="shared" ca="1" si="35"/>
        <v>1770170.1886004957</v>
      </c>
    </row>
    <row r="147" spans="2:19" x14ac:dyDescent="0.25">
      <c r="B147" s="12">
        <f t="shared" ca="1" si="26"/>
        <v>3</v>
      </c>
      <c r="C147" s="28">
        <f t="shared" ca="1" si="27"/>
        <v>11</v>
      </c>
      <c r="D147" s="45">
        <f t="shared" ca="1" si="28"/>
        <v>136.21639561779332</v>
      </c>
      <c r="E147" s="46">
        <f t="shared" ca="1" si="29"/>
        <v>3.1280299937989593E-2</v>
      </c>
      <c r="F147" s="21">
        <f t="shared" ca="1" si="30"/>
        <v>50222</v>
      </c>
      <c r="G147" s="47">
        <f t="shared" ca="1" si="31"/>
        <v>0.35507414261636894</v>
      </c>
      <c r="H147" s="29">
        <f t="shared" si="36"/>
        <v>3000</v>
      </c>
      <c r="I147" s="42">
        <f t="shared" ca="1" si="32"/>
        <v>9559.6196496549819</v>
      </c>
      <c r="J147" s="42">
        <f t="shared" ca="1" si="33"/>
        <v>13072.865377769591</v>
      </c>
      <c r="L147" s="29">
        <f t="shared" ca="1" si="37"/>
        <v>3394.3737508398358</v>
      </c>
      <c r="M147" s="29">
        <f t="shared" ca="1" si="38"/>
        <v>4641.8364655507512</v>
      </c>
      <c r="O147" s="29">
        <f ca="1">SUM($L$12:L147)</f>
        <v>364825.89388384885</v>
      </c>
      <c r="P147" s="29">
        <f ca="1">SUM($M$12:M147)</f>
        <v>438482.83265821845</v>
      </c>
      <c r="R147" s="29">
        <f t="shared" ca="1" si="34"/>
        <v>1302176.9321530338</v>
      </c>
      <c r="S147" s="29">
        <f t="shared" ca="1" si="35"/>
        <v>1780738.6021564158</v>
      </c>
    </row>
    <row r="148" spans="2:19" x14ac:dyDescent="0.25">
      <c r="B148" s="12">
        <f t="shared" ca="1" si="26"/>
        <v>3</v>
      </c>
      <c r="C148" s="28">
        <f t="shared" ca="1" si="27"/>
        <v>11</v>
      </c>
      <c r="D148" s="45">
        <f t="shared" ca="1" si="28"/>
        <v>136.44342294382298</v>
      </c>
      <c r="E148" s="46">
        <f t="shared" ca="1" si="29"/>
        <v>3.1254276393948011E-2</v>
      </c>
      <c r="F148" s="21">
        <f t="shared" ca="1" si="30"/>
        <v>50253</v>
      </c>
      <c r="G148" s="47">
        <f t="shared" ca="1" si="31"/>
        <v>0.35537003773521592</v>
      </c>
      <c r="H148" s="29">
        <f t="shared" si="36"/>
        <v>3000</v>
      </c>
      <c r="I148" s="42">
        <f t="shared" ca="1" si="32"/>
        <v>9581.6067849472056</v>
      </c>
      <c r="J148" s="42">
        <f t="shared" ca="1" si="33"/>
        <v>13128.87274185263</v>
      </c>
      <c r="L148" s="29">
        <f t="shared" ca="1" si="37"/>
        <v>3405.0159647306891</v>
      </c>
      <c r="M148" s="29">
        <f t="shared" ca="1" si="38"/>
        <v>4665.6080016930173</v>
      </c>
      <c r="O148" s="29">
        <f ca="1">SUM($L$12:L148)</f>
        <v>368230.90984857955</v>
      </c>
      <c r="P148" s="29">
        <f ca="1">SUM($M$12:M148)</f>
        <v>443148.44065991149</v>
      </c>
      <c r="R148" s="29">
        <f t="shared" ca="1" si="34"/>
        <v>1307347.2270399556</v>
      </c>
      <c r="S148" s="29">
        <f t="shared" ca="1" si="35"/>
        <v>1791348.3362922273</v>
      </c>
    </row>
    <row r="149" spans="2:19" x14ac:dyDescent="0.25">
      <c r="B149" s="12">
        <f t="shared" ca="1" si="26"/>
        <v>3</v>
      </c>
      <c r="C149" s="28">
        <f t="shared" ca="1" si="27"/>
        <v>11</v>
      </c>
      <c r="D149" s="45">
        <f t="shared" ca="1" si="28"/>
        <v>136.67082864872935</v>
      </c>
      <c r="E149" s="46">
        <f t="shared" ca="1" si="29"/>
        <v>3.1228274500109451E-2</v>
      </c>
      <c r="F149" s="21">
        <f t="shared" ca="1" si="30"/>
        <v>50284</v>
      </c>
      <c r="G149" s="47">
        <f t="shared" ca="1" si="31"/>
        <v>0.35566617943332862</v>
      </c>
      <c r="H149" s="29">
        <f t="shared" si="36"/>
        <v>3000</v>
      </c>
      <c r="I149" s="42">
        <f t="shared" ca="1" si="32"/>
        <v>9603.5573359876962</v>
      </c>
      <c r="J149" s="42">
        <f t="shared" ca="1" si="33"/>
        <v>13184.960848418481</v>
      </c>
      <c r="L149" s="29">
        <f t="shared" ca="1" si="37"/>
        <v>3415.6605466596593</v>
      </c>
      <c r="M149" s="29">
        <f t="shared" ca="1" si="38"/>
        <v>4689.44465093502</v>
      </c>
      <c r="O149" s="29">
        <f ca="1">SUM($L$12:L149)</f>
        <v>371646.57039523922</v>
      </c>
      <c r="P149" s="29">
        <f ca="1">SUM($M$12:M149)</f>
        <v>447837.8853108465</v>
      </c>
      <c r="R149" s="29">
        <f t="shared" ca="1" si="34"/>
        <v>1312526.1390850223</v>
      </c>
      <c r="S149" s="29">
        <f t="shared" ca="1" si="35"/>
        <v>1801999.5248544074</v>
      </c>
    </row>
    <row r="150" spans="2:19" x14ac:dyDescent="0.25">
      <c r="B150" s="12">
        <f t="shared" ca="1" si="26"/>
        <v>4</v>
      </c>
      <c r="C150" s="28">
        <f t="shared" ca="1" si="27"/>
        <v>11</v>
      </c>
      <c r="D150" s="45">
        <f t="shared" ca="1" si="28"/>
        <v>136.89861336314391</v>
      </c>
      <c r="E150" s="46">
        <f t="shared" ca="1" si="29"/>
        <v>3.1202294238462106E-2</v>
      </c>
      <c r="F150" s="21">
        <f t="shared" ca="1" si="30"/>
        <v>50314</v>
      </c>
      <c r="G150" s="47">
        <f t="shared" ca="1" si="31"/>
        <v>0.35596256791618974</v>
      </c>
      <c r="H150" s="29">
        <f t="shared" si="36"/>
        <v>3000</v>
      </c>
      <c r="I150" s="42">
        <f t="shared" ca="1" si="32"/>
        <v>9625.4713636487504</v>
      </c>
      <c r="J150" s="42">
        <f t="shared" ca="1" si="33"/>
        <v>13241.129749344727</v>
      </c>
      <c r="L150" s="29">
        <f t="shared" ca="1" si="37"/>
        <v>3426.3075040081576</v>
      </c>
      <c r="M150" s="29">
        <f t="shared" ca="1" si="38"/>
        <v>4713.3465476882029</v>
      </c>
      <c r="O150" s="29">
        <f ca="1">SUM($L$12:L150)</f>
        <v>375072.8778992474</v>
      </c>
      <c r="P150" s="29">
        <f ca="1">SUM($M$12:M150)</f>
        <v>452551.23185853468</v>
      </c>
      <c r="R150" s="29">
        <f t="shared" ca="1" si="34"/>
        <v>1317713.6826501638</v>
      </c>
      <c r="S150" s="29">
        <f t="shared" ca="1" si="35"/>
        <v>1812692.3020467665</v>
      </c>
    </row>
    <row r="151" spans="2:19" x14ac:dyDescent="0.25">
      <c r="B151" s="12">
        <f t="shared" ca="1" si="26"/>
        <v>4</v>
      </c>
      <c r="C151" s="28">
        <f t="shared" ca="1" si="27"/>
        <v>11</v>
      </c>
      <c r="D151" s="45">
        <f t="shared" ca="1" si="28"/>
        <v>137.12677771874917</v>
      </c>
      <c r="E151" s="46">
        <f t="shared" ca="1" si="29"/>
        <v>3.117633559100914E-2</v>
      </c>
      <c r="F151" s="21">
        <f t="shared" ca="1" si="30"/>
        <v>50345</v>
      </c>
      <c r="G151" s="47">
        <f t="shared" ca="1" si="31"/>
        <v>0.35625920338945322</v>
      </c>
      <c r="H151" s="29">
        <f t="shared" si="36"/>
        <v>3000</v>
      </c>
      <c r="I151" s="42">
        <f t="shared" ca="1" si="32"/>
        <v>9647.3489287013836</v>
      </c>
      <c r="J151" s="42">
        <f t="shared" ca="1" si="33"/>
        <v>13297.379496301581</v>
      </c>
      <c r="L151" s="29">
        <f t="shared" ca="1" si="37"/>
        <v>3436.9568441592496</v>
      </c>
      <c r="M151" s="29">
        <f t="shared" ca="1" si="38"/>
        <v>4737.3138265196494</v>
      </c>
      <c r="O151" s="29">
        <f ca="1">SUM($L$12:L151)</f>
        <v>378509.83474340662</v>
      </c>
      <c r="P151" s="29">
        <f ca="1">SUM($M$12:M151)</f>
        <v>457288.54568505433</v>
      </c>
      <c r="R151" s="29">
        <f t="shared" ca="1" si="34"/>
        <v>1322909.8721212475</v>
      </c>
      <c r="S151" s="29">
        <f t="shared" ca="1" si="35"/>
        <v>1823426.8024311997</v>
      </c>
    </row>
    <row r="152" spans="2:19" x14ac:dyDescent="0.25">
      <c r="B152" s="12">
        <f t="shared" ca="1" si="26"/>
        <v>4</v>
      </c>
      <c r="C152" s="28">
        <f t="shared" ca="1" si="27"/>
        <v>11</v>
      </c>
      <c r="D152" s="45">
        <f t="shared" ca="1" si="28"/>
        <v>137.35532234828042</v>
      </c>
      <c r="E152" s="46">
        <f t="shared" ca="1" si="29"/>
        <v>3.1150398539768698E-2</v>
      </c>
      <c r="F152" s="21">
        <f t="shared" ca="1" si="30"/>
        <v>50375</v>
      </c>
      <c r="G152" s="47">
        <f t="shared" ca="1" si="31"/>
        <v>0.35655608605894445</v>
      </c>
      <c r="H152" s="29">
        <f t="shared" si="36"/>
        <v>3000</v>
      </c>
      <c r="I152" s="42">
        <f t="shared" ca="1" si="32"/>
        <v>9669.1900918154934</v>
      </c>
      <c r="J152" s="42">
        <f t="shared" ca="1" si="33"/>
        <v>13353.710140751606</v>
      </c>
      <c r="L152" s="29">
        <f t="shared" ca="1" si="37"/>
        <v>3447.6085744976581</v>
      </c>
      <c r="M152" s="29">
        <f t="shared" ca="1" si="38"/>
        <v>4761.3466221520284</v>
      </c>
      <c r="O152" s="29">
        <f ca="1">SUM($L$12:L152)</f>
        <v>381957.44331790425</v>
      </c>
      <c r="P152" s="29">
        <f ca="1">SUM($M$12:M152)</f>
        <v>462049.89230720635</v>
      </c>
      <c r="R152" s="29">
        <f t="shared" ca="1" si="34"/>
        <v>1328114.7219081162</v>
      </c>
      <c r="S152" s="29">
        <f t="shared" ca="1" si="35"/>
        <v>1834203.160928438</v>
      </c>
    </row>
    <row r="153" spans="2:19" x14ac:dyDescent="0.25">
      <c r="B153" s="12">
        <f t="shared" ca="1" si="26"/>
        <v>1</v>
      </c>
      <c r="C153" s="28">
        <f t="shared" ca="1" si="27"/>
        <v>12</v>
      </c>
      <c r="D153" s="45">
        <f t="shared" ca="1" si="28"/>
        <v>137.58424788552756</v>
      </c>
      <c r="E153" s="46">
        <f t="shared" ca="1" si="29"/>
        <v>3.1124483066773886E-2</v>
      </c>
      <c r="F153" s="21">
        <f t="shared" ca="1" si="30"/>
        <v>50406</v>
      </c>
      <c r="G153" s="47">
        <f t="shared" ca="1" si="31"/>
        <v>0.35685321613066023</v>
      </c>
      <c r="H153" s="29">
        <f t="shared" si="36"/>
        <v>3000</v>
      </c>
      <c r="I153" s="42">
        <f t="shared" ca="1" si="32"/>
        <v>9690.9949135600291</v>
      </c>
      <c r="J153" s="42">
        <f t="shared" ca="1" si="33"/>
        <v>13410.121733949467</v>
      </c>
      <c r="L153" s="29">
        <f t="shared" ca="1" si="37"/>
        <v>3458.262702409766</v>
      </c>
      <c r="M153" s="29">
        <f t="shared" ca="1" si="38"/>
        <v>4785.4450694635334</v>
      </c>
      <c r="O153" s="29">
        <f ca="1">SUM($L$12:L153)</f>
        <v>385415.70602031401</v>
      </c>
      <c r="P153" s="29">
        <f ca="1">SUM($M$12:M153)</f>
        <v>466835.33737666986</v>
      </c>
      <c r="R153" s="29">
        <f t="shared" ca="1" si="34"/>
        <v>1333328.2464446297</v>
      </c>
      <c r="S153" s="29">
        <f t="shared" ca="1" si="35"/>
        <v>1845021.512818804</v>
      </c>
    </row>
    <row r="154" spans="2:19" x14ac:dyDescent="0.25">
      <c r="B154" s="12">
        <f t="shared" ca="1" si="26"/>
        <v>1</v>
      </c>
      <c r="C154" s="28">
        <f t="shared" ca="1" si="27"/>
        <v>12</v>
      </c>
      <c r="D154" s="45">
        <f t="shared" ca="1" si="28"/>
        <v>137.81355496533678</v>
      </c>
      <c r="E154" s="46">
        <f t="shared" ca="1" si="29"/>
        <v>3.109858915407274E-2</v>
      </c>
      <c r="F154" s="21">
        <f t="shared" ca="1" si="30"/>
        <v>50437</v>
      </c>
      <c r="G154" s="47">
        <f t="shared" ca="1" si="31"/>
        <v>0.35715059381076913</v>
      </c>
      <c r="H154" s="29">
        <f t="shared" si="36"/>
        <v>3000</v>
      </c>
      <c r="I154" s="42">
        <f t="shared" ca="1" si="32"/>
        <v>9712.7634544031607</v>
      </c>
      <c r="J154" s="42">
        <f t="shared" ca="1" si="33"/>
        <v>13466.614326941657</v>
      </c>
      <c r="L154" s="29">
        <f t="shared" ca="1" si="37"/>
        <v>3468.9192352836262</v>
      </c>
      <c r="M154" s="29">
        <f t="shared" ca="1" si="38"/>
        <v>4809.609303487824</v>
      </c>
      <c r="O154" s="29">
        <f ca="1">SUM($L$12:L154)</f>
        <v>388884.62525559764</v>
      </c>
      <c r="P154" s="29">
        <f ca="1">SUM($M$12:M154)</f>
        <v>471644.94668015768</v>
      </c>
      <c r="R154" s="29">
        <f t="shared" ca="1" si="34"/>
        <v>1338550.4601887043</v>
      </c>
      <c r="S154" s="29">
        <f t="shared" ca="1" si="35"/>
        <v>1855881.9937429659</v>
      </c>
    </row>
    <row r="155" spans="2:19" x14ac:dyDescent="0.25">
      <c r="B155" s="12">
        <f t="shared" ca="1" si="26"/>
        <v>1</v>
      </c>
      <c r="C155" s="28">
        <f t="shared" ca="1" si="27"/>
        <v>12</v>
      </c>
      <c r="D155" s="45">
        <f t="shared" ca="1" si="28"/>
        <v>138.04324422361233</v>
      </c>
      <c r="E155" s="46">
        <f t="shared" ca="1" si="29"/>
        <v>3.1072716783728253E-2</v>
      </c>
      <c r="F155" s="21">
        <f t="shared" ca="1" si="30"/>
        <v>50465</v>
      </c>
      <c r="G155" s="47">
        <f t="shared" ca="1" si="31"/>
        <v>0.35744821930561144</v>
      </c>
      <c r="H155" s="29">
        <f t="shared" si="36"/>
        <v>3000</v>
      </c>
      <c r="I155" s="42">
        <f t="shared" ca="1" si="32"/>
        <v>9734.4957747124427</v>
      </c>
      <c r="J155" s="42">
        <f t="shared" ca="1" si="33"/>
        <v>13523.18797056624</v>
      </c>
      <c r="L155" s="29">
        <f t="shared" ca="1" si="37"/>
        <v>3479.5781805089609</v>
      </c>
      <c r="M155" s="29">
        <f t="shared" ca="1" si="38"/>
        <v>4833.8394594139672</v>
      </c>
      <c r="O155" s="29">
        <f ca="1">SUM($L$12:L155)</f>
        <v>392364.20343610662</v>
      </c>
      <c r="P155" s="29">
        <f ca="1">SUM($M$12:M155)</f>
        <v>476478.78613957163</v>
      </c>
      <c r="R155" s="29">
        <f t="shared" ca="1" si="34"/>
        <v>1343781.377622352</v>
      </c>
      <c r="S155" s="29">
        <f t="shared" ca="1" si="35"/>
        <v>1866784.7397026918</v>
      </c>
    </row>
    <row r="156" spans="2:19" x14ac:dyDescent="0.25">
      <c r="B156" s="12">
        <f t="shared" ca="1" si="26"/>
        <v>2</v>
      </c>
      <c r="C156" s="28">
        <f t="shared" ca="1" si="27"/>
        <v>12</v>
      </c>
      <c r="D156" s="45">
        <f t="shared" ca="1" si="28"/>
        <v>138.27331629731836</v>
      </c>
      <c r="E156" s="46">
        <f t="shared" ca="1" si="29"/>
        <v>3.1046865937818333E-2</v>
      </c>
      <c r="F156" s="21">
        <f t="shared" ca="1" si="30"/>
        <v>50496</v>
      </c>
      <c r="G156" s="47">
        <f t="shared" ca="1" si="31"/>
        <v>0.35774609282169945</v>
      </c>
      <c r="H156" s="29">
        <f t="shared" si="36"/>
        <v>3000</v>
      </c>
      <c r="I156" s="42">
        <f t="shared" ca="1" si="32"/>
        <v>9756.1919347549865</v>
      </c>
      <c r="J156" s="42">
        <f t="shared" ca="1" si="33"/>
        <v>13579.842715452589</v>
      </c>
      <c r="L156" s="29">
        <f t="shared" ca="1" si="37"/>
        <v>3490.2395454771731</v>
      </c>
      <c r="M156" s="29">
        <f t="shared" ca="1" si="38"/>
        <v>4858.1356725863807</v>
      </c>
      <c r="O156" s="29">
        <f ca="1">SUM($L$12:L156)</f>
        <v>395854.44298158376</v>
      </c>
      <c r="P156" s="29">
        <f ca="1">SUM($M$12:M156)</f>
        <v>481336.92181215802</v>
      </c>
      <c r="R156" s="29">
        <f t="shared" ca="1" si="34"/>
        <v>1349021.0132517226</v>
      </c>
      <c r="S156" s="29">
        <f t="shared" ca="1" si="35"/>
        <v>1877729.8870616104</v>
      </c>
    </row>
    <row r="157" spans="2:19" x14ac:dyDescent="0.25">
      <c r="B157" s="12">
        <f t="shared" ref="B157:B220" ca="1" si="39">ROUNDUP(MONTH(F157)/3,0)</f>
        <v>2</v>
      </c>
      <c r="C157" s="28">
        <f t="shared" ref="C157:C220" ca="1" si="40">YEAR(F157)-YEAR(TODAY())</f>
        <v>12</v>
      </c>
      <c r="D157" s="45">
        <f t="shared" ref="D157:D220" ca="1" si="41">D156*(1+($C$5/12))</f>
        <v>138.50377182448057</v>
      </c>
      <c r="E157" s="46">
        <f t="shared" ref="E157:E220" ca="1" si="42">(G157*12)/D157</f>
        <v>3.1021036598435782E-2</v>
      </c>
      <c r="F157" s="21">
        <f t="shared" ref="F157:F220" ca="1" si="43">EDATE(F156,1)</f>
        <v>50526</v>
      </c>
      <c r="G157" s="47">
        <f t="shared" ref="G157:G220" ca="1" si="44">($H$5/12)*G156+G156</f>
        <v>0.35804421456571756</v>
      </c>
      <c r="H157" s="29">
        <f t="shared" si="36"/>
        <v>3000</v>
      </c>
      <c r="I157" s="42">
        <f t="shared" ref="I157:I220" ca="1" si="45">I156+H157/D157</f>
        <v>9777.8519946976267</v>
      </c>
      <c r="J157" s="42">
        <f t="shared" ref="J157:J220" ca="1" si="46">J156+(H157+G156*J156)/D157</f>
        <v>13636.578612021129</v>
      </c>
      <c r="L157" s="29">
        <f t="shared" ca="1" si="37"/>
        <v>3500.9033375813465</v>
      </c>
      <c r="M157" s="29">
        <f t="shared" ca="1" si="38"/>
        <v>4882.4980785047683</v>
      </c>
      <c r="O157" s="29">
        <f ca="1">SUM($L$12:L157)</f>
        <v>399355.34631916514</v>
      </c>
      <c r="P157" s="29">
        <f ca="1">SUM($M$12:M157)</f>
        <v>486219.41989066277</v>
      </c>
      <c r="R157" s="29">
        <f t="shared" ref="R157:R220" ca="1" si="47">I157*D157</f>
        <v>1354269.3816071423</v>
      </c>
      <c r="S157" s="29">
        <f t="shared" ref="S157:S220" ca="1" si="48">J157*D157</f>
        <v>1888717.5725459664</v>
      </c>
    </row>
    <row r="158" spans="2:19" x14ac:dyDescent="0.25">
      <c r="B158" s="12">
        <f t="shared" ca="1" si="39"/>
        <v>2</v>
      </c>
      <c r="C158" s="28">
        <f t="shared" ca="1" si="40"/>
        <v>12</v>
      </c>
      <c r="D158" s="45">
        <f t="shared" ca="1" si="41"/>
        <v>138.73461144418803</v>
      </c>
      <c r="E158" s="46">
        <f t="shared" ca="1" si="42"/>
        <v>3.0995228747688331E-2</v>
      </c>
      <c r="F158" s="21">
        <f t="shared" ca="1" si="43"/>
        <v>50557</v>
      </c>
      <c r="G158" s="47">
        <f t="shared" ca="1" si="44"/>
        <v>0.3583425847445223</v>
      </c>
      <c r="H158" s="29">
        <f t="shared" si="36"/>
        <v>3000</v>
      </c>
      <c r="I158" s="42">
        <f t="shared" ca="1" si="45"/>
        <v>9799.4760146070839</v>
      </c>
      <c r="J158" s="42">
        <f t="shared" ca="1" si="46"/>
        <v>13693.395710483079</v>
      </c>
      <c r="L158" s="29">
        <f t="shared" ca="1" si="37"/>
        <v>3511.5695642162527</v>
      </c>
      <c r="M158" s="29">
        <f t="shared" ca="1" si="38"/>
        <v>4906.926812824061</v>
      </c>
      <c r="O158" s="29">
        <f ca="1">SUM($L$12:L158)</f>
        <v>402866.91588338139</v>
      </c>
      <c r="P158" s="29">
        <f ca="1">SUM($M$12:M158)</f>
        <v>491126.34670348681</v>
      </c>
      <c r="R158" s="29">
        <f t="shared" ca="1" si="47"/>
        <v>1359526.4972431541</v>
      </c>
      <c r="S158" s="29">
        <f t="shared" ca="1" si="48"/>
        <v>1899747.9332453811</v>
      </c>
    </row>
    <row r="159" spans="2:19" x14ac:dyDescent="0.25">
      <c r="B159" s="12">
        <f t="shared" ca="1" si="39"/>
        <v>3</v>
      </c>
      <c r="C159" s="28">
        <f t="shared" ca="1" si="40"/>
        <v>12</v>
      </c>
      <c r="D159" s="45">
        <f t="shared" ca="1" si="41"/>
        <v>138.96583579659503</v>
      </c>
      <c r="E159" s="46">
        <f t="shared" ca="1" si="42"/>
        <v>3.0969442367698569E-2</v>
      </c>
      <c r="F159" s="21">
        <f t="shared" ca="1" si="43"/>
        <v>50587</v>
      </c>
      <c r="G159" s="47">
        <f t="shared" ca="1" si="44"/>
        <v>0.35864120356514273</v>
      </c>
      <c r="H159" s="29">
        <f t="shared" si="36"/>
        <v>3000</v>
      </c>
      <c r="I159" s="42">
        <f t="shared" ca="1" si="45"/>
        <v>9821.0640544501366</v>
      </c>
      <c r="J159" s="42">
        <f t="shared" ca="1" si="46"/>
        <v>13750.294060840195</v>
      </c>
      <c r="L159" s="29">
        <f t="shared" ca="1" si="37"/>
        <v>3522.2382327783575</v>
      </c>
      <c r="M159" s="29">
        <f t="shared" ca="1" si="38"/>
        <v>4931.4220113543615</v>
      </c>
      <c r="O159" s="29">
        <f ca="1">SUM($L$12:L159)</f>
        <v>406389.15411615977</v>
      </c>
      <c r="P159" s="29">
        <f ca="1">SUM($M$12:M159)</f>
        <v>496057.76871484116</v>
      </c>
      <c r="R159" s="29">
        <f t="shared" ca="1" si="47"/>
        <v>1364792.3747385596</v>
      </c>
      <c r="S159" s="29">
        <f t="shared" ca="1" si="48"/>
        <v>1910821.1066136144</v>
      </c>
    </row>
    <row r="160" spans="2:19" x14ac:dyDescent="0.25">
      <c r="B160" s="12">
        <f t="shared" ca="1" si="39"/>
        <v>3</v>
      </c>
      <c r="C160" s="28">
        <f t="shared" ca="1" si="40"/>
        <v>12</v>
      </c>
      <c r="D160" s="45">
        <f t="shared" ca="1" si="41"/>
        <v>139.19744552292269</v>
      </c>
      <c r="E160" s="46">
        <f t="shared" ca="1" si="42"/>
        <v>3.0943677440603976E-2</v>
      </c>
      <c r="F160" s="21">
        <f t="shared" ca="1" si="43"/>
        <v>50618</v>
      </c>
      <c r="G160" s="47">
        <f t="shared" ca="1" si="44"/>
        <v>0.35894007123478033</v>
      </c>
      <c r="H160" s="29">
        <f t="shared" si="36"/>
        <v>3000</v>
      </c>
      <c r="I160" s="42">
        <f t="shared" ca="1" si="45"/>
        <v>9842.6161740937823</v>
      </c>
      <c r="J160" s="42">
        <f t="shared" ca="1" si="46"/>
        <v>13807.273712884515</v>
      </c>
      <c r="L160" s="29">
        <f t="shared" ca="1" si="37"/>
        <v>3532.9093506658232</v>
      </c>
      <c r="M160" s="29">
        <f t="shared" ca="1" si="38"/>
        <v>4955.9838100608777</v>
      </c>
      <c r="O160" s="29">
        <f ca="1">SUM($L$12:L160)</f>
        <v>409922.06346682558</v>
      </c>
      <c r="P160" s="29">
        <f ca="1">SUM($M$12:M160)</f>
        <v>501013.75252490205</v>
      </c>
      <c r="R160" s="29">
        <f t="shared" ca="1" si="47"/>
        <v>1370067.0286964569</v>
      </c>
      <c r="S160" s="29">
        <f t="shared" ca="1" si="48"/>
        <v>1921937.2304693249</v>
      </c>
    </row>
    <row r="161" spans="2:19" x14ac:dyDescent="0.25">
      <c r="B161" s="12">
        <f t="shared" ca="1" si="39"/>
        <v>3</v>
      </c>
      <c r="C161" s="28">
        <f t="shared" ca="1" si="40"/>
        <v>12</v>
      </c>
      <c r="D161" s="45">
        <f t="shared" ca="1" si="41"/>
        <v>139.42944126546089</v>
      </c>
      <c r="E161" s="46">
        <f t="shared" ca="1" si="42"/>
        <v>3.0917933948556891E-2</v>
      </c>
      <c r="F161" s="21">
        <f t="shared" ca="1" si="43"/>
        <v>50649</v>
      </c>
      <c r="G161" s="47">
        <f t="shared" ca="1" si="44"/>
        <v>0.35923918796080934</v>
      </c>
      <c r="H161" s="29">
        <f t="shared" si="36"/>
        <v>3000</v>
      </c>
      <c r="I161" s="42">
        <f t="shared" ca="1" si="45"/>
        <v>9864.132433305409</v>
      </c>
      <c r="J161" s="42">
        <f t="shared" ca="1" si="46"/>
        <v>13864.334716198107</v>
      </c>
      <c r="L161" s="29">
        <f t="shared" ca="1" si="37"/>
        <v>3543.5829252785175</v>
      </c>
      <c r="M161" s="29">
        <f t="shared" ca="1" si="38"/>
        <v>4980.6123450638661</v>
      </c>
      <c r="O161" s="29">
        <f ca="1">SUM($L$12:L161)</f>
        <v>413465.6463921041</v>
      </c>
      <c r="P161" s="29">
        <f ca="1">SUM($M$12:M161)</f>
        <v>505994.36486996594</v>
      </c>
      <c r="R161" s="29">
        <f t="shared" ca="1" si="47"/>
        <v>1375350.4737442844</v>
      </c>
      <c r="S161" s="29">
        <f t="shared" ca="1" si="48"/>
        <v>1933096.4429968344</v>
      </c>
    </row>
    <row r="162" spans="2:19" x14ac:dyDescent="0.25">
      <c r="B162" s="12">
        <f t="shared" ca="1" si="39"/>
        <v>4</v>
      </c>
      <c r="C162" s="28">
        <f t="shared" ca="1" si="40"/>
        <v>12</v>
      </c>
      <c r="D162" s="45">
        <f t="shared" ca="1" si="41"/>
        <v>139.66182366756999</v>
      </c>
      <c r="E162" s="46">
        <f t="shared" ca="1" si="42"/>
        <v>3.0892211873724477E-2</v>
      </c>
      <c r="F162" s="21">
        <f t="shared" ca="1" si="43"/>
        <v>50679</v>
      </c>
      <c r="G162" s="47">
        <f t="shared" ca="1" si="44"/>
        <v>0.35953855395077666</v>
      </c>
      <c r="H162" s="29">
        <f t="shared" si="36"/>
        <v>3000</v>
      </c>
      <c r="I162" s="42">
        <f t="shared" ca="1" si="45"/>
        <v>9885.6128917529568</v>
      </c>
      <c r="J162" s="42">
        <f t="shared" ca="1" si="46"/>
        <v>13921.477120152818</v>
      </c>
      <c r="L162" s="29">
        <f t="shared" ca="1" si="37"/>
        <v>3554.2589640180136</v>
      </c>
      <c r="M162" s="29">
        <f t="shared" ca="1" si="38"/>
        <v>5005.3077526385669</v>
      </c>
      <c r="O162" s="29">
        <f ca="1">SUM($L$12:L162)</f>
        <v>417019.90535612212</v>
      </c>
      <c r="P162" s="29">
        <f ca="1">SUM($M$12:M162)</f>
        <v>510999.67262260453</v>
      </c>
      <c r="R162" s="29">
        <f t="shared" ca="1" si="47"/>
        <v>1380642.724533858</v>
      </c>
      <c r="S162" s="29">
        <f t="shared" ca="1" si="48"/>
        <v>1944298.882746893</v>
      </c>
    </row>
    <row r="163" spans="2:19" x14ac:dyDescent="0.25">
      <c r="B163" s="12">
        <f t="shared" ca="1" si="39"/>
        <v>4</v>
      </c>
      <c r="C163" s="28">
        <f t="shared" ca="1" si="40"/>
        <v>12</v>
      </c>
      <c r="D163" s="45">
        <f t="shared" ca="1" si="41"/>
        <v>139.89459337368262</v>
      </c>
      <c r="E163" s="46">
        <f t="shared" ca="1" si="42"/>
        <v>3.0866511198288767E-2</v>
      </c>
      <c r="F163" s="21">
        <f t="shared" ca="1" si="43"/>
        <v>50710</v>
      </c>
      <c r="G163" s="47">
        <f t="shared" ca="1" si="44"/>
        <v>0.35983816941240232</v>
      </c>
      <c r="H163" s="29">
        <f t="shared" si="36"/>
        <v>3000</v>
      </c>
      <c r="I163" s="42">
        <f t="shared" ca="1" si="45"/>
        <v>9907.0576090050836</v>
      </c>
      <c r="J163" s="42">
        <f t="shared" ca="1" si="46"/>
        <v>13978.700973910018</v>
      </c>
      <c r="L163" s="29">
        <f t="shared" ca="1" si="37"/>
        <v>3564.9374742876007</v>
      </c>
      <c r="M163" s="29">
        <f t="shared" ca="1" si="38"/>
        <v>5030.0701692151461</v>
      </c>
      <c r="O163" s="29">
        <f ca="1">SUM($L$12:L163)</f>
        <v>420584.8428304097</v>
      </c>
      <c r="P163" s="29">
        <f ca="1">SUM($M$12:M163)</f>
        <v>516029.74279181968</v>
      </c>
      <c r="R163" s="29">
        <f t="shared" ca="1" si="47"/>
        <v>1385943.7957414147</v>
      </c>
      <c r="S163" s="29">
        <f t="shared" ca="1" si="48"/>
        <v>1955544.6886374431</v>
      </c>
    </row>
    <row r="164" spans="2:19" x14ac:dyDescent="0.25">
      <c r="B164" s="12">
        <f t="shared" ca="1" si="39"/>
        <v>4</v>
      </c>
      <c r="C164" s="28">
        <f t="shared" ca="1" si="40"/>
        <v>12</v>
      </c>
      <c r="D164" s="45">
        <f t="shared" ca="1" si="41"/>
        <v>140.12775102930544</v>
      </c>
      <c r="E164" s="46">
        <f t="shared" ca="1" si="42"/>
        <v>3.084083190444659E-2</v>
      </c>
      <c r="F164" s="21">
        <f t="shared" ca="1" si="43"/>
        <v>50740</v>
      </c>
      <c r="G164" s="47">
        <f t="shared" ca="1" si="44"/>
        <v>0.36013803455357934</v>
      </c>
      <c r="H164" s="29">
        <f t="shared" si="36"/>
        <v>3000</v>
      </c>
      <c r="I164" s="42">
        <f t="shared" ca="1" si="45"/>
        <v>9928.4666445313342</v>
      </c>
      <c r="J164" s="42">
        <f t="shared" ca="1" si="46"/>
        <v>14036.006326420355</v>
      </c>
      <c r="L164" s="29">
        <f t="shared" ca="1" si="37"/>
        <v>3575.6184634922856</v>
      </c>
      <c r="M164" s="29">
        <f t="shared" ca="1" si="38"/>
        <v>5054.8997313786322</v>
      </c>
      <c r="O164" s="29">
        <f ca="1">SUM($L$12:L164)</f>
        <v>424160.46129390202</v>
      </c>
      <c r="P164" s="29">
        <f ca="1">SUM($M$12:M164)</f>
        <v>521084.64252319833</v>
      </c>
      <c r="R164" s="29">
        <f t="shared" ca="1" si="47"/>
        <v>1391253.7020676504</v>
      </c>
      <c r="S164" s="29">
        <f t="shared" ca="1" si="48"/>
        <v>1966833.9999543875</v>
      </c>
    </row>
    <row r="165" spans="2:19" x14ac:dyDescent="0.25">
      <c r="B165" s="12">
        <f t="shared" ca="1" si="39"/>
        <v>1</v>
      </c>
      <c r="C165" s="28">
        <f t="shared" ca="1" si="40"/>
        <v>13</v>
      </c>
      <c r="D165" s="45">
        <f t="shared" ca="1" si="41"/>
        <v>140.36129728102097</v>
      </c>
      <c r="E165" s="46">
        <f t="shared" ca="1" si="42"/>
        <v>3.0815173974409613E-2</v>
      </c>
      <c r="F165" s="21">
        <f t="shared" ca="1" si="43"/>
        <v>50771</v>
      </c>
      <c r="G165" s="47">
        <f t="shared" ca="1" si="44"/>
        <v>0.36043814958237397</v>
      </c>
      <c r="H165" s="29">
        <f t="shared" si="36"/>
        <v>3000</v>
      </c>
      <c r="I165" s="42">
        <f t="shared" ca="1" si="45"/>
        <v>9949.8400577023003</v>
      </c>
      <c r="J165" s="42">
        <f t="shared" ca="1" si="46"/>
        <v>14093.393226423506</v>
      </c>
      <c r="L165" s="29">
        <f t="shared" ca="1" si="37"/>
        <v>3586.3019390387981</v>
      </c>
      <c r="M165" s="29">
        <f t="shared" ca="1" si="38"/>
        <v>5079.7965758688515</v>
      </c>
      <c r="O165" s="29">
        <f ca="1">SUM($L$12:L165)</f>
        <v>427746.76323294081</v>
      </c>
      <c r="P165" s="29">
        <f ca="1">SUM($M$12:M165)</f>
        <v>526164.43909906712</v>
      </c>
      <c r="R165" s="29">
        <f t="shared" ca="1" si="47"/>
        <v>1396572.4582377635</v>
      </c>
      <c r="S165" s="29">
        <f t="shared" ca="1" si="48"/>
        <v>1978166.9563523571</v>
      </c>
    </row>
    <row r="166" spans="2:19" x14ac:dyDescent="0.25">
      <c r="B166" s="12">
        <f t="shared" ca="1" si="39"/>
        <v>1</v>
      </c>
      <c r="C166" s="28">
        <f t="shared" ca="1" si="40"/>
        <v>13</v>
      </c>
      <c r="D166" s="45">
        <f t="shared" ca="1" si="41"/>
        <v>140.59523277648935</v>
      </c>
      <c r="E166" s="46">
        <f t="shared" ca="1" si="42"/>
        <v>3.0789537390404274E-2</v>
      </c>
      <c r="F166" s="21">
        <f t="shared" ca="1" si="43"/>
        <v>50802</v>
      </c>
      <c r="G166" s="47">
        <f t="shared" ca="1" si="44"/>
        <v>0.36073851470702595</v>
      </c>
      <c r="H166" s="29">
        <f t="shared" si="36"/>
        <v>3000</v>
      </c>
      <c r="I166" s="42">
        <f t="shared" ca="1" si="45"/>
        <v>9971.1779077897863</v>
      </c>
      <c r="J166" s="42">
        <f t="shared" ca="1" si="46"/>
        <v>14150.861722447931</v>
      </c>
      <c r="L166" s="29">
        <f t="shared" ca="1" si="37"/>
        <v>3596.9879083355981</v>
      </c>
      <c r="M166" s="29">
        <f t="shared" ca="1" si="38"/>
        <v>5104.7608395803736</v>
      </c>
      <c r="O166" s="29">
        <f ca="1">SUM($L$12:L166)</f>
        <v>431343.75114127639</v>
      </c>
      <c r="P166" s="29">
        <f ca="1">SUM($M$12:M166)</f>
        <v>531269.19993864745</v>
      </c>
      <c r="R166" s="29">
        <f t="shared" ca="1" si="47"/>
        <v>1401900.0790014931</v>
      </c>
      <c r="S166" s="29">
        <f t="shared" ca="1" si="48"/>
        <v>1989543.69785548</v>
      </c>
    </row>
    <row r="167" spans="2:19" x14ac:dyDescent="0.25">
      <c r="B167" s="12">
        <f t="shared" ca="1" si="39"/>
        <v>1</v>
      </c>
      <c r="C167" s="28">
        <f t="shared" ca="1" si="40"/>
        <v>13</v>
      </c>
      <c r="D167" s="45">
        <f t="shared" ca="1" si="41"/>
        <v>140.82955816445016</v>
      </c>
      <c r="E167" s="46">
        <f t="shared" ca="1" si="42"/>
        <v>3.0763922134671821E-2</v>
      </c>
      <c r="F167" s="21">
        <f t="shared" ca="1" si="43"/>
        <v>50830</v>
      </c>
      <c r="G167" s="47">
        <f t="shared" ca="1" si="44"/>
        <v>0.36103913013594846</v>
      </c>
      <c r="H167" s="29">
        <f t="shared" si="36"/>
        <v>3000</v>
      </c>
      <c r="I167" s="42">
        <f t="shared" ca="1" si="45"/>
        <v>9992.4802539669781</v>
      </c>
      <c r="J167" s="42">
        <f t="shared" ca="1" si="46"/>
        <v>14208.411862810626</v>
      </c>
      <c r="L167" s="29">
        <f t="shared" ca="1" si="37"/>
        <v>3607.6763787928789</v>
      </c>
      <c r="M167" s="29">
        <f t="shared" ca="1" si="38"/>
        <v>5129.7926595624394</v>
      </c>
      <c r="O167" s="29">
        <f ca="1">SUM($L$12:L167)</f>
        <v>434951.42752006924</v>
      </c>
      <c r="P167" s="29">
        <f ca="1">SUM($M$12:M167)</f>
        <v>536398.99259820988</v>
      </c>
      <c r="R167" s="29">
        <f t="shared" ca="1" si="47"/>
        <v>1407236.5791331623</v>
      </c>
      <c r="S167" s="29">
        <f t="shared" ca="1" si="48"/>
        <v>2000964.3648581528</v>
      </c>
    </row>
    <row r="168" spans="2:19" x14ac:dyDescent="0.25">
      <c r="B168" s="12">
        <f t="shared" ca="1" si="39"/>
        <v>2</v>
      </c>
      <c r="C168" s="28">
        <f t="shared" ca="1" si="40"/>
        <v>13</v>
      </c>
      <c r="D168" s="45">
        <f t="shared" ca="1" si="41"/>
        <v>141.06427409472425</v>
      </c>
      <c r="E168" s="46">
        <f t="shared" ca="1" si="42"/>
        <v>3.0738328189468273E-2</v>
      </c>
      <c r="F168" s="21">
        <f t="shared" ca="1" si="43"/>
        <v>50861</v>
      </c>
      <c r="G168" s="47">
        <f t="shared" ca="1" si="44"/>
        <v>0.36133999607772843</v>
      </c>
      <c r="H168" s="29">
        <f t="shared" si="36"/>
        <v>3000</v>
      </c>
      <c r="I168" s="42">
        <f t="shared" ca="1" si="45"/>
        <v>10013.7471553086</v>
      </c>
      <c r="J168" s="42">
        <f t="shared" ca="1" si="46"/>
        <v>14266.043695616878</v>
      </c>
      <c r="L168" s="29">
        <f t="shared" ca="1" si="37"/>
        <v>3618.3673578225735</v>
      </c>
      <c r="M168" s="29">
        <f t="shared" ca="1" si="38"/>
        <v>5154.8921730189049</v>
      </c>
      <c r="O168" s="29">
        <f ca="1">SUM($L$12:L168)</f>
        <v>438569.79487789184</v>
      </c>
      <c r="P168" s="29">
        <f ca="1">SUM($M$12:M168)</f>
        <v>541553.88477122877</v>
      </c>
      <c r="R168" s="29">
        <f t="shared" ca="1" si="47"/>
        <v>1412581.9734317176</v>
      </c>
      <c r="S168" s="29">
        <f t="shared" ca="1" si="48"/>
        <v>2012429.0981258121</v>
      </c>
    </row>
    <row r="169" spans="2:19" x14ac:dyDescent="0.25">
      <c r="B169" s="12">
        <f t="shared" ca="1" si="39"/>
        <v>2</v>
      </c>
      <c r="C169" s="28">
        <f t="shared" ca="1" si="40"/>
        <v>13</v>
      </c>
      <c r="D169" s="45">
        <f t="shared" ca="1" si="41"/>
        <v>141.29938121821547</v>
      </c>
      <c r="E169" s="46">
        <f t="shared" ca="1" si="42"/>
        <v>3.0712755537064384E-2</v>
      </c>
      <c r="F169" s="21">
        <f t="shared" ca="1" si="43"/>
        <v>50891</v>
      </c>
      <c r="G169" s="47">
        <f t="shared" ca="1" si="44"/>
        <v>0.36164111274112654</v>
      </c>
      <c r="H169" s="29">
        <f t="shared" si="36"/>
        <v>3000</v>
      </c>
      <c r="I169" s="42">
        <f t="shared" ca="1" si="45"/>
        <v>10034.978670791084</v>
      </c>
      <c r="J169" s="42">
        <f t="shared" ca="1" si="46"/>
        <v>14323.757268760024</v>
      </c>
      <c r="L169" s="29">
        <f t="shared" ca="1" si="37"/>
        <v>3629.0608528383586</v>
      </c>
      <c r="M169" s="29">
        <f t="shared" ca="1" si="38"/>
        <v>5180.0595173081747</v>
      </c>
      <c r="O169" s="29">
        <f ca="1">SUM($L$12:L169)</f>
        <v>442198.85573073017</v>
      </c>
      <c r="P169" s="29">
        <f ca="1">SUM($M$12:M169)</f>
        <v>546733.94428853691</v>
      </c>
      <c r="R169" s="29">
        <f t="shared" ca="1" si="47"/>
        <v>1417936.2767207706</v>
      </c>
      <c r="S169" s="29">
        <f t="shared" ca="1" si="48"/>
        <v>2023938.0387957075</v>
      </c>
    </row>
    <row r="170" spans="2:19" x14ac:dyDescent="0.25">
      <c r="B170" s="12">
        <f t="shared" ca="1" si="39"/>
        <v>2</v>
      </c>
      <c r="C170" s="28">
        <f t="shared" ca="1" si="40"/>
        <v>13</v>
      </c>
      <c r="D170" s="45">
        <f t="shared" ca="1" si="41"/>
        <v>141.53488018691252</v>
      </c>
      <c r="E170" s="46">
        <f t="shared" ca="1" si="42"/>
        <v>3.0687204159745692E-2</v>
      </c>
      <c r="F170" s="21">
        <f t="shared" ca="1" si="43"/>
        <v>50922</v>
      </c>
      <c r="G170" s="47">
        <f t="shared" ca="1" si="44"/>
        <v>0.36194248033507748</v>
      </c>
      <c r="H170" s="29">
        <f t="shared" si="36"/>
        <v>3000</v>
      </c>
      <c r="I170" s="42">
        <f t="shared" ca="1" si="45"/>
        <v>10056.174859292732</v>
      </c>
      <c r="J170" s="42">
        <f t="shared" ca="1" si="46"/>
        <v>14381.552629921212</v>
      </c>
      <c r="L170" s="29">
        <f t="shared" ca="1" si="37"/>
        <v>3639.7568712556604</v>
      </c>
      <c r="M170" s="29">
        <f t="shared" ca="1" si="38"/>
        <v>5205.29482994314</v>
      </c>
      <c r="O170" s="29">
        <f ca="1">SUM($L$12:L170)</f>
        <v>445838.61260198581</v>
      </c>
      <c r="P170" s="29">
        <f ca="1">SUM($M$12:M170)</f>
        <v>551939.23911848001</v>
      </c>
      <c r="R170" s="29">
        <f t="shared" ca="1" si="47"/>
        <v>1423299.5038486386</v>
      </c>
      <c r="S170" s="29">
        <f t="shared" ca="1" si="48"/>
        <v>2035491.3283776755</v>
      </c>
    </row>
    <row r="171" spans="2:19" x14ac:dyDescent="0.25">
      <c r="B171" s="12">
        <f t="shared" ca="1" si="39"/>
        <v>3</v>
      </c>
      <c r="C171" s="28">
        <f t="shared" ca="1" si="40"/>
        <v>13</v>
      </c>
      <c r="D171" s="45">
        <f t="shared" ca="1" si="41"/>
        <v>141.77077165389071</v>
      </c>
      <c r="E171" s="46">
        <f t="shared" ca="1" si="42"/>
        <v>3.0661674039812455E-2</v>
      </c>
      <c r="F171" s="21">
        <f t="shared" ca="1" si="43"/>
        <v>50952</v>
      </c>
      <c r="G171" s="47">
        <f t="shared" ca="1" si="44"/>
        <v>0.36224409906869004</v>
      </c>
      <c r="H171" s="29">
        <f t="shared" si="36"/>
        <v>3000</v>
      </c>
      <c r="I171" s="42">
        <f t="shared" ca="1" si="45"/>
        <v>10077.335779593879</v>
      </c>
      <c r="J171" s="42">
        <f t="shared" ca="1" si="46"/>
        <v>14439.429826569158</v>
      </c>
      <c r="L171" s="29">
        <f t="shared" ca="1" si="37"/>
        <v>3650.4554204916599</v>
      </c>
      <c r="M171" s="29">
        <f t="shared" ca="1" si="38"/>
        <v>5230.5982485911154</v>
      </c>
      <c r="O171" s="29">
        <f ca="1">SUM($L$12:L171)</f>
        <v>449489.06802247744</v>
      </c>
      <c r="P171" s="29">
        <f ca="1">SUM($M$12:M171)</f>
        <v>557169.83736707107</v>
      </c>
      <c r="R171" s="29">
        <f t="shared" ca="1" si="47"/>
        <v>1428671.6696883866</v>
      </c>
      <c r="S171" s="29">
        <f t="shared" ca="1" si="48"/>
        <v>2047089.1087549147</v>
      </c>
    </row>
    <row r="172" spans="2:19" x14ac:dyDescent="0.25">
      <c r="B172" s="12">
        <f t="shared" ca="1" si="39"/>
        <v>3</v>
      </c>
      <c r="C172" s="28">
        <f t="shared" ca="1" si="40"/>
        <v>13</v>
      </c>
      <c r="D172" s="45">
        <f t="shared" ca="1" si="41"/>
        <v>142.00705627331385</v>
      </c>
      <c r="E172" s="46">
        <f t="shared" ca="1" si="42"/>
        <v>3.0636165159579672E-2</v>
      </c>
      <c r="F172" s="21">
        <f t="shared" ca="1" si="43"/>
        <v>50983</v>
      </c>
      <c r="G172" s="47">
        <f t="shared" ca="1" si="44"/>
        <v>0.36254596915124726</v>
      </c>
      <c r="H172" s="29">
        <f t="shared" si="36"/>
        <v>3000</v>
      </c>
      <c r="I172" s="42">
        <f t="shared" ca="1" si="45"/>
        <v>10098.461490377054</v>
      </c>
      <c r="J172" s="42">
        <f t="shared" ca="1" si="46"/>
        <v>14497.388905959904</v>
      </c>
      <c r="L172" s="29">
        <f t="shared" ca="1" si="37"/>
        <v>3661.1565079652978</v>
      </c>
      <c r="M172" s="29">
        <f t="shared" ca="1" si="38"/>
        <v>5255.9699110737738</v>
      </c>
      <c r="O172" s="29">
        <f ca="1">SUM($L$12:L172)</f>
        <v>453150.22453044273</v>
      </c>
      <c r="P172" s="29">
        <f ca="1">SUM($M$12:M172)</f>
        <v>562425.80727814487</v>
      </c>
      <c r="R172" s="29">
        <f t="shared" ca="1" si="47"/>
        <v>1434052.7891378673</v>
      </c>
      <c r="S172" s="29">
        <f t="shared" ca="1" si="48"/>
        <v>2058731.522184764</v>
      </c>
    </row>
    <row r="173" spans="2:19" x14ac:dyDescent="0.25">
      <c r="B173" s="12">
        <f t="shared" ca="1" si="39"/>
        <v>3</v>
      </c>
      <c r="C173" s="28">
        <f t="shared" ca="1" si="40"/>
        <v>13</v>
      </c>
      <c r="D173" s="45">
        <f t="shared" ca="1" si="41"/>
        <v>142.24373470043605</v>
      </c>
      <c r="E173" s="46">
        <f t="shared" ca="1" si="42"/>
        <v>3.0610677501377019E-2</v>
      </c>
      <c r="F173" s="21">
        <f t="shared" ca="1" si="43"/>
        <v>51014</v>
      </c>
      <c r="G173" s="47">
        <f t="shared" ca="1" si="44"/>
        <v>0.36284809079220665</v>
      </c>
      <c r="H173" s="29">
        <f t="shared" si="36"/>
        <v>3000</v>
      </c>
      <c r="I173" s="42">
        <f t="shared" ca="1" si="45"/>
        <v>10119.552050227145</v>
      </c>
      <c r="J173" s="42">
        <f t="shared" ca="1" si="46"/>
        <v>14555.429915136589</v>
      </c>
      <c r="L173" s="29">
        <f t="shared" ca="1" si="37"/>
        <v>3671.8601410972801</v>
      </c>
      <c r="M173" s="29">
        <f t="shared" ca="1" si="38"/>
        <v>5281.4099553670812</v>
      </c>
      <c r="O173" s="29">
        <f ca="1">SUM($L$12:L173)</f>
        <v>456822.08467154001</v>
      </c>
      <c r="P173" s="29">
        <f ca="1">SUM($M$12:M173)</f>
        <v>567707.21723351197</v>
      </c>
      <c r="R173" s="29">
        <f t="shared" ca="1" si="47"/>
        <v>1439442.8771197638</v>
      </c>
      <c r="S173" s="29">
        <f t="shared" ca="1" si="48"/>
        <v>2070418.7112994792</v>
      </c>
    </row>
    <row r="174" spans="2:19" x14ac:dyDescent="0.25">
      <c r="B174" s="12">
        <f t="shared" ca="1" si="39"/>
        <v>4</v>
      </c>
      <c r="C174" s="28">
        <f t="shared" ca="1" si="40"/>
        <v>13</v>
      </c>
      <c r="D174" s="45">
        <f t="shared" ca="1" si="41"/>
        <v>142.48080759160345</v>
      </c>
      <c r="E174" s="46">
        <f t="shared" ca="1" si="42"/>
        <v>3.0585211047548921E-2</v>
      </c>
      <c r="F174" s="21">
        <f t="shared" ca="1" si="43"/>
        <v>51044</v>
      </c>
      <c r="G174" s="47">
        <f t="shared" ca="1" si="44"/>
        <v>0.36315046420120017</v>
      </c>
      <c r="H174" s="29">
        <f t="shared" si="36"/>
        <v>3000</v>
      </c>
      <c r="I174" s="42">
        <f t="shared" ca="1" si="45"/>
        <v>10140.607517631561</v>
      </c>
      <c r="J174" s="42">
        <f t="shared" ca="1" si="46"/>
        <v>14613.552900929204</v>
      </c>
      <c r="L174" s="29">
        <f t="shared" ca="1" si="37"/>
        <v>3682.5663273100813</v>
      </c>
      <c r="M174" s="29">
        <f t="shared" ca="1" si="38"/>
        <v>5306.9185196012359</v>
      </c>
      <c r="O174" s="29">
        <f ca="1">SUM($L$12:L174)</f>
        <v>460504.65099885012</v>
      </c>
      <c r="P174" s="29">
        <f ca="1">SUM($M$12:M174)</f>
        <v>573014.13575311319</v>
      </c>
      <c r="R174" s="29">
        <f t="shared" ca="1" si="47"/>
        <v>1444841.9485816299</v>
      </c>
      <c r="S174" s="29">
        <f t="shared" ca="1" si="48"/>
        <v>2082150.8191070124</v>
      </c>
    </row>
    <row r="175" spans="2:19" x14ac:dyDescent="0.25">
      <c r="B175" s="12">
        <f t="shared" ca="1" si="39"/>
        <v>4</v>
      </c>
      <c r="C175" s="28">
        <f t="shared" ca="1" si="40"/>
        <v>13</v>
      </c>
      <c r="D175" s="45">
        <f t="shared" ca="1" si="41"/>
        <v>142.71827560425612</v>
      </c>
      <c r="E175" s="46">
        <f t="shared" ca="1" si="42"/>
        <v>3.0559765780454454E-2</v>
      </c>
      <c r="F175" s="21">
        <f t="shared" ca="1" si="43"/>
        <v>51075</v>
      </c>
      <c r="G175" s="47">
        <f t="shared" ca="1" si="44"/>
        <v>0.36345308958803452</v>
      </c>
      <c r="H175" s="29">
        <f t="shared" si="36"/>
        <v>3000</v>
      </c>
      <c r="I175" s="42">
        <f t="shared" ca="1" si="45"/>
        <v>10161.627950980397</v>
      </c>
      <c r="J175" s="42">
        <f t="shared" ca="1" si="46"/>
        <v>14671.757909954365</v>
      </c>
      <c r="L175" s="29">
        <f t="shared" ca="1" si="37"/>
        <v>3693.2750740279539</v>
      </c>
      <c r="M175" s="29">
        <f t="shared" ca="1" si="38"/>
        <v>5332.4957420605979</v>
      </c>
      <c r="O175" s="29">
        <f ca="1">SUM($L$12:L175)</f>
        <v>464197.92607287806</v>
      </c>
      <c r="P175" s="29">
        <f ca="1">SUM($M$12:M175)</f>
        <v>578346.63149517379</v>
      </c>
      <c r="R175" s="29">
        <f t="shared" ca="1" si="47"/>
        <v>1450250.0184959327</v>
      </c>
      <c r="S175" s="29">
        <f t="shared" ca="1" si="48"/>
        <v>2093927.9889917918</v>
      </c>
    </row>
    <row r="176" spans="2:19" x14ac:dyDescent="0.25">
      <c r="B176" s="12">
        <f t="shared" ca="1" si="39"/>
        <v>4</v>
      </c>
      <c r="C176" s="28">
        <f t="shared" ca="1" si="40"/>
        <v>13</v>
      </c>
      <c r="D176" s="45">
        <f t="shared" ca="1" si="41"/>
        <v>142.9561393969299</v>
      </c>
      <c r="E176" s="46">
        <f t="shared" ca="1" si="42"/>
        <v>3.0534341682467388E-2</v>
      </c>
      <c r="F176" s="21">
        <f t="shared" ca="1" si="43"/>
        <v>51105</v>
      </c>
      <c r="G176" s="47">
        <f t="shared" ca="1" si="44"/>
        <v>0.36375596716269121</v>
      </c>
      <c r="H176" s="29">
        <f t="shared" si="36"/>
        <v>3000</v>
      </c>
      <c r="I176" s="42">
        <f t="shared" ca="1" si="45"/>
        <v>10182.613408566589</v>
      </c>
      <c r="J176" s="42">
        <f t="shared" ca="1" si="46"/>
        <v>14730.044988615078</v>
      </c>
      <c r="L176" s="29">
        <f t="shared" ca="1" si="37"/>
        <v>3703.9863886769272</v>
      </c>
      <c r="M176" s="29">
        <f t="shared" ca="1" si="38"/>
        <v>5358.1417611836305</v>
      </c>
      <c r="O176" s="29">
        <f ca="1">SUM($L$12:L176)</f>
        <v>467901.91246155498</v>
      </c>
      <c r="P176" s="29">
        <f ca="1">SUM($M$12:M176)</f>
        <v>583704.77325635741</v>
      </c>
      <c r="R176" s="29">
        <f t="shared" ca="1" si="47"/>
        <v>1455667.1018600927</v>
      </c>
      <c r="S176" s="29">
        <f t="shared" ca="1" si="48"/>
        <v>2105750.3647155059</v>
      </c>
    </row>
    <row r="177" spans="2:19" x14ac:dyDescent="0.25">
      <c r="B177" s="12">
        <f t="shared" ca="1" si="39"/>
        <v>1</v>
      </c>
      <c r="C177" s="28">
        <f t="shared" ca="1" si="40"/>
        <v>14</v>
      </c>
      <c r="D177" s="45">
        <f t="shared" ca="1" si="41"/>
        <v>143.19439962925813</v>
      </c>
      <c r="E177" s="46">
        <f t="shared" ca="1" si="42"/>
        <v>3.0508938735976147E-2</v>
      </c>
      <c r="F177" s="21">
        <f t="shared" ca="1" si="43"/>
        <v>51136</v>
      </c>
      <c r="G177" s="47">
        <f t="shared" ca="1" si="44"/>
        <v>0.3640590971353268</v>
      </c>
      <c r="H177" s="29">
        <f t="shared" si="36"/>
        <v>3000</v>
      </c>
      <c r="I177" s="42">
        <f t="shared" ca="1" si="45"/>
        <v>10203.563948586081</v>
      </c>
      <c r="J177" s="42">
        <f t="shared" ca="1" si="46"/>
        <v>14788.414183100502</v>
      </c>
      <c r="L177" s="29">
        <f t="shared" ca="1" si="37"/>
        <v>3714.7002786848188</v>
      </c>
      <c r="M177" s="29">
        <f t="shared" ca="1" si="38"/>
        <v>5383.8567155628298</v>
      </c>
      <c r="O177" s="29">
        <f ca="1">SUM($L$12:L177)</f>
        <v>471616.61274023983</v>
      </c>
      <c r="P177" s="29">
        <f ca="1">SUM($M$12:M177)</f>
        <v>589088.62997192028</v>
      </c>
      <c r="R177" s="29">
        <f t="shared" ca="1" si="47"/>
        <v>1461093.2136965264</v>
      </c>
      <c r="S177" s="29">
        <f t="shared" ca="1" si="48"/>
        <v>2117618.090417882</v>
      </c>
    </row>
    <row r="178" spans="2:19" x14ac:dyDescent="0.25">
      <c r="B178" s="12">
        <f t="shared" ca="1" si="39"/>
        <v>1</v>
      </c>
      <c r="C178" s="28">
        <f t="shared" ca="1" si="40"/>
        <v>14</v>
      </c>
      <c r="D178" s="45">
        <f t="shared" ca="1" si="41"/>
        <v>143.43305696197356</v>
      </c>
      <c r="E178" s="46">
        <f t="shared" ca="1" si="42"/>
        <v>3.0483556923383819E-2</v>
      </c>
      <c r="F178" s="21">
        <f t="shared" ca="1" si="43"/>
        <v>51167</v>
      </c>
      <c r="G178" s="47">
        <f t="shared" ca="1" si="44"/>
        <v>0.36436247971627289</v>
      </c>
      <c r="H178" s="29">
        <f t="shared" si="36"/>
        <v>3000</v>
      </c>
      <c r="I178" s="42">
        <f t="shared" ca="1" si="45"/>
        <v>10224.479629137988</v>
      </c>
      <c r="J178" s="42">
        <f t="shared" ca="1" si="46"/>
        <v>14846.865539385724</v>
      </c>
      <c r="L178" s="29">
        <f t="shared" ca="1" si="37"/>
        <v>3725.4167514812357</v>
      </c>
      <c r="M178" s="29">
        <f t="shared" ca="1" si="38"/>
        <v>5409.6407439446621</v>
      </c>
      <c r="O178" s="29">
        <f ca="1">SUM($L$12:L178)</f>
        <v>475342.02949172107</v>
      </c>
      <c r="P178" s="29">
        <f ca="1">SUM($M$12:M178)</f>
        <v>594498.27071586496</v>
      </c>
      <c r="R178" s="29">
        <f t="shared" ca="1" si="47"/>
        <v>1466528.3690526874</v>
      </c>
      <c r="S178" s="29">
        <f t="shared" ca="1" si="48"/>
        <v>2129531.3106174748</v>
      </c>
    </row>
    <row r="179" spans="2:19" x14ac:dyDescent="0.25">
      <c r="B179" s="12">
        <f t="shared" ca="1" si="39"/>
        <v>1</v>
      </c>
      <c r="C179" s="28">
        <f t="shared" ca="1" si="40"/>
        <v>14</v>
      </c>
      <c r="D179" s="45">
        <f t="shared" ca="1" si="41"/>
        <v>143.67211205691018</v>
      </c>
      <c r="E179" s="46">
        <f t="shared" ca="1" si="42"/>
        <v>3.0458196227108127E-2</v>
      </c>
      <c r="F179" s="21">
        <f t="shared" ca="1" si="43"/>
        <v>51196</v>
      </c>
      <c r="G179" s="47">
        <f t="shared" ca="1" si="44"/>
        <v>0.36466611511603647</v>
      </c>
      <c r="H179" s="29">
        <f t="shared" si="36"/>
        <v>3000</v>
      </c>
      <c r="I179" s="42">
        <f t="shared" ca="1" si="45"/>
        <v>10245.36050822475</v>
      </c>
      <c r="J179" s="42">
        <f t="shared" ca="1" si="46"/>
        <v>14905.399103231528</v>
      </c>
      <c r="L179" s="29">
        <f t="shared" ca="1" si="37"/>
        <v>3736.1358144975807</v>
      </c>
      <c r="M179" s="29">
        <f t="shared" ca="1" si="38"/>
        <v>5435.4939852294956</v>
      </c>
      <c r="O179" s="29">
        <f ca="1">SUM($L$12:L179)</f>
        <v>479078.16530621867</v>
      </c>
      <c r="P179" s="29">
        <f ca="1">SUM($M$12:M179)</f>
        <v>599933.76470109448</v>
      </c>
      <c r="R179" s="29">
        <f t="shared" ca="1" si="47"/>
        <v>1471972.5830011086</v>
      </c>
      <c r="S179" s="29">
        <f t="shared" ca="1" si="48"/>
        <v>2141490.1702124486</v>
      </c>
    </row>
    <row r="180" spans="2:19" x14ac:dyDescent="0.25">
      <c r="B180" s="12">
        <f t="shared" ca="1" si="39"/>
        <v>2</v>
      </c>
      <c r="C180" s="28">
        <f t="shared" ca="1" si="40"/>
        <v>14</v>
      </c>
      <c r="D180" s="45">
        <f t="shared" ca="1" si="41"/>
        <v>143.91156557700504</v>
      </c>
      <c r="E180" s="46">
        <f t="shared" ca="1" si="42"/>
        <v>3.0432856629581416E-2</v>
      </c>
      <c r="F180" s="21">
        <f t="shared" ca="1" si="43"/>
        <v>51227</v>
      </c>
      <c r="G180" s="47">
        <f t="shared" ca="1" si="44"/>
        <v>0.36497000354529985</v>
      </c>
      <c r="H180" s="29">
        <f t="shared" si="36"/>
        <v>3000</v>
      </c>
      <c r="I180" s="42">
        <f t="shared" ca="1" si="45"/>
        <v>10266.206643752299</v>
      </c>
      <c r="J180" s="42">
        <f t="shared" ca="1" si="46"/>
        <v>14964.014920184167</v>
      </c>
      <c r="L180" s="29">
        <f t="shared" ca="1" si="37"/>
        <v>3746.8574751670576</v>
      </c>
      <c r="M180" s="29">
        <f t="shared" ca="1" si="38"/>
        <v>5461.4165784715351</v>
      </c>
      <c r="O180" s="29">
        <f ca="1">SUM($L$12:L180)</f>
        <v>482825.02278138575</v>
      </c>
      <c r="P180" s="29">
        <f ca="1">SUM($M$12:M180)</f>
        <v>605395.18127956602</v>
      </c>
      <c r="R180" s="29">
        <f t="shared" ca="1" si="47"/>
        <v>1477425.8706394436</v>
      </c>
      <c r="S180" s="29">
        <f t="shared" ca="1" si="48"/>
        <v>2153494.8144813655</v>
      </c>
    </row>
    <row r="181" spans="2:19" x14ac:dyDescent="0.25">
      <c r="B181" s="12">
        <f t="shared" ca="1" si="39"/>
        <v>2</v>
      </c>
      <c r="C181" s="28">
        <f t="shared" ca="1" si="40"/>
        <v>14</v>
      </c>
      <c r="D181" s="45">
        <f t="shared" ca="1" si="41"/>
        <v>144.15141818630005</v>
      </c>
      <c r="E181" s="46">
        <f t="shared" ca="1" si="42"/>
        <v>3.0407538113250646E-2</v>
      </c>
      <c r="F181" s="21">
        <f t="shared" ca="1" si="43"/>
        <v>51257</v>
      </c>
      <c r="G181" s="47">
        <f t="shared" ca="1" si="44"/>
        <v>0.36527414521492091</v>
      </c>
      <c r="H181" s="29">
        <f t="shared" si="36"/>
        <v>3000</v>
      </c>
      <c r="I181" s="42">
        <f t="shared" ca="1" si="45"/>
        <v>10287.018093530218</v>
      </c>
      <c r="J181" s="42">
        <f t="shared" ca="1" si="46"/>
        <v>15022.713035575138</v>
      </c>
      <c r="L181" s="29">
        <f t="shared" ca="1" si="37"/>
        <v>3757.5817409246756</v>
      </c>
      <c r="M181" s="29">
        <f t="shared" ca="1" si="38"/>
        <v>5487.4086628787582</v>
      </c>
      <c r="O181" s="29">
        <f ca="1">SUM($L$12:L181)</f>
        <v>486582.60452231043</v>
      </c>
      <c r="P181" s="29">
        <f ca="1">SUM($M$12:M181)</f>
        <v>610882.58994244481</v>
      </c>
      <c r="R181" s="29">
        <f t="shared" ca="1" si="47"/>
        <v>1482888.2470905094</v>
      </c>
      <c r="S181" s="29">
        <f t="shared" ca="1" si="48"/>
        <v>2165545.3890839727</v>
      </c>
    </row>
    <row r="182" spans="2:19" x14ac:dyDescent="0.25">
      <c r="B182" s="12">
        <f t="shared" ca="1" si="39"/>
        <v>2</v>
      </c>
      <c r="C182" s="28">
        <f t="shared" ca="1" si="40"/>
        <v>14</v>
      </c>
      <c r="D182" s="45">
        <f t="shared" ca="1" si="41"/>
        <v>144.39167054994388</v>
      </c>
      <c r="E182" s="46">
        <f t="shared" ca="1" si="42"/>
        <v>3.0382240660577393E-2</v>
      </c>
      <c r="F182" s="21">
        <f t="shared" ca="1" si="43"/>
        <v>51288</v>
      </c>
      <c r="G182" s="47">
        <f t="shared" ca="1" si="44"/>
        <v>0.36557854033593334</v>
      </c>
      <c r="H182" s="29">
        <f t="shared" si="36"/>
        <v>3000</v>
      </c>
      <c r="I182" s="42">
        <f t="shared" ca="1" si="45"/>
        <v>10307.794915271901</v>
      </c>
      <c r="J182" s="42">
        <f t="shared" ca="1" si="46"/>
        <v>15081.493494520953</v>
      </c>
      <c r="L182" s="29">
        <f t="shared" ca="1" si="37"/>
        <v>3768.3086192072574</v>
      </c>
      <c r="M182" s="29">
        <f t="shared" ca="1" si="38"/>
        <v>5513.4703778128451</v>
      </c>
      <c r="O182" s="29">
        <f ca="1">SUM($L$12:L182)</f>
        <v>490350.91314151767</v>
      </c>
      <c r="P182" s="29">
        <f ca="1">SUM($M$12:M182)</f>
        <v>616396.06032025767</v>
      </c>
      <c r="R182" s="29">
        <f t="shared" ca="1" si="47"/>
        <v>1488359.7275023269</v>
      </c>
      <c r="S182" s="29">
        <f t="shared" ca="1" si="48"/>
        <v>2177642.0400619912</v>
      </c>
    </row>
    <row r="183" spans="2:19" x14ac:dyDescent="0.25">
      <c r="B183" s="12">
        <f t="shared" ca="1" si="39"/>
        <v>3</v>
      </c>
      <c r="C183" s="28">
        <f t="shared" ca="1" si="40"/>
        <v>14</v>
      </c>
      <c r="D183" s="45">
        <f t="shared" ca="1" si="41"/>
        <v>144.63232333419379</v>
      </c>
      <c r="E183" s="46">
        <f t="shared" ca="1" si="42"/>
        <v>3.0356964254037812E-2</v>
      </c>
      <c r="F183" s="21">
        <f t="shared" ca="1" si="43"/>
        <v>51318</v>
      </c>
      <c r="G183" s="47">
        <f t="shared" ca="1" si="44"/>
        <v>0.36588318911954665</v>
      </c>
      <c r="H183" s="29">
        <f t="shared" si="36"/>
        <v>3000</v>
      </c>
      <c r="I183" s="42">
        <f t="shared" ca="1" si="45"/>
        <v>10328.537166594713</v>
      </c>
      <c r="J183" s="42">
        <f t="shared" ca="1" si="46"/>
        <v>15140.356341922921</v>
      </c>
      <c r="L183" s="29">
        <f t="shared" ca="1" si="37"/>
        <v>3779.03811745344</v>
      </c>
      <c r="M183" s="29">
        <f t="shared" ca="1" si="38"/>
        <v>5539.6018627891117</v>
      </c>
      <c r="O183" s="29">
        <f ca="1">SUM($L$12:L183)</f>
        <v>494129.95125897112</v>
      </c>
      <c r="P183" s="29">
        <f ca="1">SUM($M$12:M183)</f>
        <v>621935.66218304681</v>
      </c>
      <c r="R183" s="29">
        <f t="shared" ca="1" si="47"/>
        <v>1493840.3270481643</v>
      </c>
      <c r="S183" s="29">
        <f t="shared" ca="1" si="48"/>
        <v>2189784.9138399074</v>
      </c>
    </row>
    <row r="184" spans="2:19" x14ac:dyDescent="0.25">
      <c r="B184" s="12">
        <f t="shared" ca="1" si="39"/>
        <v>3</v>
      </c>
      <c r="C184" s="28">
        <f t="shared" ca="1" si="40"/>
        <v>14</v>
      </c>
      <c r="D184" s="45">
        <f t="shared" ca="1" si="41"/>
        <v>144.87337720641744</v>
      </c>
      <c r="E184" s="46">
        <f t="shared" ca="1" si="42"/>
        <v>3.0331708876122642E-2</v>
      </c>
      <c r="F184" s="21">
        <f t="shared" ca="1" si="43"/>
        <v>51349</v>
      </c>
      <c r="G184" s="47">
        <f t="shared" ca="1" si="44"/>
        <v>0.36618809177714629</v>
      </c>
      <c r="H184" s="29">
        <f t="shared" si="36"/>
        <v>3000</v>
      </c>
      <c r="I184" s="42">
        <f t="shared" ca="1" si="45"/>
        <v>10349.244905020149</v>
      </c>
      <c r="J184" s="42">
        <f t="shared" ca="1" si="46"/>
        <v>15199.301622466923</v>
      </c>
      <c r="L184" s="29">
        <f t="shared" ca="1" si="37"/>
        <v>3789.7702431036819</v>
      </c>
      <c r="M184" s="29">
        <f t="shared" ca="1" si="38"/>
        <v>5565.8032574764457</v>
      </c>
      <c r="O184" s="29">
        <f ca="1">SUM($L$12:L184)</f>
        <v>497919.7215020748</v>
      </c>
      <c r="P184" s="29">
        <f ca="1">SUM($M$12:M184)</f>
        <v>627501.46544052323</v>
      </c>
      <c r="R184" s="29">
        <f t="shared" ca="1" si="47"/>
        <v>1499330.0609265778</v>
      </c>
      <c r="S184" s="29">
        <f t="shared" ca="1" si="48"/>
        <v>2201974.157225763</v>
      </c>
    </row>
    <row r="185" spans="2:19" x14ac:dyDescent="0.25">
      <c r="B185" s="12">
        <f t="shared" ca="1" si="39"/>
        <v>3</v>
      </c>
      <c r="C185" s="28">
        <f t="shared" ca="1" si="40"/>
        <v>14</v>
      </c>
      <c r="D185" s="45">
        <f t="shared" ca="1" si="41"/>
        <v>145.1148328350948</v>
      </c>
      <c r="E185" s="46">
        <f t="shared" ca="1" si="42"/>
        <v>3.0306474509337183E-2</v>
      </c>
      <c r="F185" s="21">
        <f t="shared" ca="1" si="43"/>
        <v>51380</v>
      </c>
      <c r="G185" s="47">
        <f t="shared" ca="1" si="44"/>
        <v>0.36649324852029391</v>
      </c>
      <c r="H185" s="29">
        <f t="shared" si="36"/>
        <v>3000</v>
      </c>
      <c r="I185" s="42">
        <f t="shared" ca="1" si="45"/>
        <v>10369.918187973995</v>
      </c>
      <c r="J185" s="42">
        <f t="shared" ca="1" si="46"/>
        <v>15258.329380623185</v>
      </c>
      <c r="L185" s="29">
        <f t="shared" ca="1" si="37"/>
        <v>3800.5050036002694</v>
      </c>
      <c r="M185" s="29">
        <f t="shared" ca="1" si="38"/>
        <v>5592.0747016972355</v>
      </c>
      <c r="O185" s="29">
        <f ca="1">SUM($L$12:L185)</f>
        <v>501720.22650567506</v>
      </c>
      <c r="P185" s="29">
        <f ca="1">SUM($M$12:M185)</f>
        <v>633093.54014222044</v>
      </c>
      <c r="R185" s="29">
        <f t="shared" ca="1" si="47"/>
        <v>1504828.9443614555</v>
      </c>
      <c r="S185" s="29">
        <f t="shared" ca="1" si="48"/>
        <v>2214209.917411949</v>
      </c>
    </row>
    <row r="186" spans="2:19" x14ac:dyDescent="0.25">
      <c r="B186" s="12">
        <f t="shared" ca="1" si="39"/>
        <v>4</v>
      </c>
      <c r="C186" s="28">
        <f t="shared" ca="1" si="40"/>
        <v>14</v>
      </c>
      <c r="D186" s="45">
        <f t="shared" ca="1" si="41"/>
        <v>145.35669088981996</v>
      </c>
      <c r="E186" s="46">
        <f t="shared" ca="1" si="42"/>
        <v>3.0281261136201294E-2</v>
      </c>
      <c r="F186" s="21">
        <f t="shared" ca="1" si="43"/>
        <v>51410</v>
      </c>
      <c r="G186" s="47">
        <f t="shared" ca="1" si="44"/>
        <v>0.36679865956072749</v>
      </c>
      <c r="H186" s="29">
        <f t="shared" si="36"/>
        <v>3000</v>
      </c>
      <c r="I186" s="42">
        <f t="shared" ca="1" si="45"/>
        <v>10390.557072786487</v>
      </c>
      <c r="J186" s="42">
        <f t="shared" ca="1" si="46"/>
        <v>15317.43966064607</v>
      </c>
      <c r="L186" s="29">
        <f t="shared" ca="1" si="37"/>
        <v>3811.24240638732</v>
      </c>
      <c r="M186" s="29">
        <f t="shared" ca="1" si="38"/>
        <v>5618.4163354273032</v>
      </c>
      <c r="O186" s="29">
        <f ca="1">SUM($L$12:L186)</f>
        <v>505531.46891206241</v>
      </c>
      <c r="P186" s="29">
        <f ca="1">SUM($M$12:M186)</f>
        <v>638711.95647764776</v>
      </c>
      <c r="R186" s="29">
        <f t="shared" ca="1" si="47"/>
        <v>1510336.992602058</v>
      </c>
      <c r="S186" s="29">
        <f t="shared" ca="1" si="48"/>
        <v>2226492.3419759995</v>
      </c>
    </row>
    <row r="187" spans="2:19" x14ac:dyDescent="0.25">
      <c r="B187" s="12">
        <f t="shared" ca="1" si="39"/>
        <v>4</v>
      </c>
      <c r="C187" s="28">
        <f t="shared" ca="1" si="40"/>
        <v>14</v>
      </c>
      <c r="D187" s="45">
        <f t="shared" ca="1" si="41"/>
        <v>145.59895204130299</v>
      </c>
      <c r="E187" s="46">
        <f t="shared" ca="1" si="42"/>
        <v>3.0256068739249384E-2</v>
      </c>
      <c r="F187" s="21">
        <f t="shared" ca="1" si="43"/>
        <v>51441</v>
      </c>
      <c r="G187" s="47">
        <f t="shared" ca="1" si="44"/>
        <v>0.36710432511036145</v>
      </c>
      <c r="H187" s="29">
        <f t="shared" si="36"/>
        <v>3000</v>
      </c>
      <c r="I187" s="42">
        <f t="shared" ca="1" si="45"/>
        <v>10411.161616692469</v>
      </c>
      <c r="J187" s="42">
        <f t="shared" ca="1" si="46"/>
        <v>15376.632506573853</v>
      </c>
      <c r="L187" s="29">
        <f t="shared" ca="1" si="37"/>
        <v>3821.9824589107884</v>
      </c>
      <c r="M187" s="29">
        <f t="shared" ca="1" si="38"/>
        <v>5644.8282987958401</v>
      </c>
      <c r="O187" s="29">
        <f ca="1">SUM($L$12:L187)</f>
        <v>509353.4513709732</v>
      </c>
      <c r="P187" s="29">
        <f ca="1">SUM($M$12:M187)</f>
        <v>644356.78477644362</v>
      </c>
      <c r="R187" s="29">
        <f t="shared" ca="1" si="47"/>
        <v>1515854.2209230612</v>
      </c>
      <c r="S187" s="29">
        <f t="shared" ca="1" si="48"/>
        <v>2238821.5788813871</v>
      </c>
    </row>
    <row r="188" spans="2:19" x14ac:dyDescent="0.25">
      <c r="B188" s="12">
        <f t="shared" ca="1" si="39"/>
        <v>4</v>
      </c>
      <c r="C188" s="28">
        <f t="shared" ca="1" si="40"/>
        <v>14</v>
      </c>
      <c r="D188" s="45">
        <f t="shared" ca="1" si="41"/>
        <v>145.84161696137184</v>
      </c>
      <c r="E188" s="46">
        <f t="shared" ca="1" si="42"/>
        <v>3.0230897301030367E-2</v>
      </c>
      <c r="F188" s="21">
        <f t="shared" ca="1" si="43"/>
        <v>51471</v>
      </c>
      <c r="G188" s="47">
        <f t="shared" ca="1" si="44"/>
        <v>0.36741024538128675</v>
      </c>
      <c r="H188" s="29">
        <f t="shared" si="36"/>
        <v>3000</v>
      </c>
      <c r="I188" s="42">
        <f t="shared" ca="1" si="45"/>
        <v>10431.731876831553</v>
      </c>
      <c r="J188" s="42">
        <f t="shared" ca="1" si="46"/>
        <v>15435.907962228501</v>
      </c>
      <c r="L188" s="29">
        <f t="shared" ca="1" si="37"/>
        <v>3832.7251686184718</v>
      </c>
      <c r="M188" s="29">
        <f t="shared" ca="1" si="38"/>
        <v>5671.3107320853314</v>
      </c>
      <c r="O188" s="29">
        <f ca="1">SUM($L$12:L188)</f>
        <v>513186.17653959169</v>
      </c>
      <c r="P188" s="29">
        <f ca="1">SUM($M$12:M188)</f>
        <v>650028.09550852899</v>
      </c>
      <c r="R188" s="29">
        <f t="shared" ca="1" si="47"/>
        <v>1521380.6446246</v>
      </c>
      <c r="S188" s="29">
        <f t="shared" ca="1" si="48"/>
        <v>2251197.776478319</v>
      </c>
    </row>
    <row r="189" spans="2:19" x14ac:dyDescent="0.25">
      <c r="B189" s="12">
        <f t="shared" ca="1" si="39"/>
        <v>1</v>
      </c>
      <c r="C189" s="28">
        <f t="shared" ca="1" si="40"/>
        <v>15</v>
      </c>
      <c r="D189" s="45">
        <f t="shared" ca="1" si="41"/>
        <v>146.08468632297414</v>
      </c>
      <c r="E189" s="46">
        <f t="shared" ca="1" si="42"/>
        <v>3.020574680410771E-2</v>
      </c>
      <c r="F189" s="21">
        <f t="shared" ca="1" si="43"/>
        <v>51502</v>
      </c>
      <c r="G189" s="47">
        <f t="shared" ca="1" si="44"/>
        <v>0.36771642058577114</v>
      </c>
      <c r="H189" s="29">
        <f t="shared" si="36"/>
        <v>3000</v>
      </c>
      <c r="I189" s="42">
        <f t="shared" ca="1" si="45"/>
        <v>10452.267910248274</v>
      </c>
      <c r="J189" s="42">
        <f t="shared" ca="1" si="46"/>
        <v>15495.266071215463</v>
      </c>
      <c r="L189" s="29">
        <f t="shared" ca="1" si="37"/>
        <v>3843.4705429600135</v>
      </c>
      <c r="M189" s="29">
        <f t="shared" ca="1" si="38"/>
        <v>5697.8637757314946</v>
      </c>
      <c r="O189" s="29">
        <f ca="1">SUM($L$12:L189)</f>
        <v>517029.64708255167</v>
      </c>
      <c r="P189" s="29">
        <f ca="1">SUM($M$12:M189)</f>
        <v>655725.95928426052</v>
      </c>
      <c r="R189" s="29">
        <f t="shared" ca="1" si="47"/>
        <v>1526916.2790323074</v>
      </c>
      <c r="S189" s="29">
        <f t="shared" ca="1" si="48"/>
        <v>2263621.0835045348</v>
      </c>
    </row>
    <row r="190" spans="2:19" x14ac:dyDescent="0.25">
      <c r="B190" s="12">
        <f t="shared" ca="1" si="39"/>
        <v>1</v>
      </c>
      <c r="C190" s="28">
        <f t="shared" ca="1" si="40"/>
        <v>15</v>
      </c>
      <c r="D190" s="45">
        <f t="shared" ca="1" si="41"/>
        <v>146.32816080017909</v>
      </c>
      <c r="E190" s="46">
        <f t="shared" ca="1" si="42"/>
        <v>3.0180617231059373E-2</v>
      </c>
      <c r="F190" s="21">
        <f t="shared" ca="1" si="43"/>
        <v>51533</v>
      </c>
      <c r="G190" s="47">
        <f t="shared" ca="1" si="44"/>
        <v>0.3680228509362593</v>
      </c>
      <c r="H190" s="29">
        <f t="shared" si="36"/>
        <v>3000</v>
      </c>
      <c r="I190" s="42">
        <f t="shared" ca="1" si="45"/>
        <v>10472.769773892256</v>
      </c>
      <c r="J190" s="42">
        <f t="shared" ca="1" si="46"/>
        <v>15554.706876923457</v>
      </c>
      <c r="L190" s="29">
        <f t="shared" ca="1" si="37"/>
        <v>3854.2185893869118</v>
      </c>
      <c r="M190" s="29">
        <f t="shared" ca="1" si="38"/>
        <v>5724.4875703232092</v>
      </c>
      <c r="O190" s="29">
        <f ca="1">SUM($L$12:L190)</f>
        <v>520883.86567193858</v>
      </c>
      <c r="P190" s="29">
        <f ca="1">SUM($M$12:M190)</f>
        <v>661450.44685458369</v>
      </c>
      <c r="R190" s="29">
        <f t="shared" ca="1" si="47"/>
        <v>1532461.1394973614</v>
      </c>
      <c r="S190" s="29">
        <f t="shared" ca="1" si="48"/>
        <v>2276091.649086107</v>
      </c>
    </row>
    <row r="191" spans="2:19" x14ac:dyDescent="0.25">
      <c r="B191" s="12">
        <f t="shared" ca="1" si="39"/>
        <v>1</v>
      </c>
      <c r="C191" s="28">
        <f t="shared" ca="1" si="40"/>
        <v>15</v>
      </c>
      <c r="D191" s="45">
        <f t="shared" ca="1" si="41"/>
        <v>146.5720410681794</v>
      </c>
      <c r="E191" s="46">
        <f t="shared" ca="1" si="42"/>
        <v>3.0155508564477788E-2</v>
      </c>
      <c r="F191" s="21">
        <f t="shared" ca="1" si="43"/>
        <v>51561</v>
      </c>
      <c r="G191" s="47">
        <f t="shared" ca="1" si="44"/>
        <v>0.36832953664537288</v>
      </c>
      <c r="H191" s="29">
        <f t="shared" si="36"/>
        <v>3000</v>
      </c>
      <c r="I191" s="42">
        <f t="shared" ca="1" si="45"/>
        <v>10493.237524618362</v>
      </c>
      <c r="J191" s="42">
        <f t="shared" ca="1" si="46"/>
        <v>15614.230422524251</v>
      </c>
      <c r="L191" s="29">
        <f t="shared" ca="1" si="37"/>
        <v>3864.9693153525209</v>
      </c>
      <c r="M191" s="29">
        <f t="shared" ca="1" si="38"/>
        <v>5751.1822566024421</v>
      </c>
      <c r="O191" s="29">
        <f ca="1">SUM($L$12:L191)</f>
        <v>524748.83498729113</v>
      </c>
      <c r="P191" s="29">
        <f ca="1">SUM($M$12:M191)</f>
        <v>667201.62911118614</v>
      </c>
      <c r="R191" s="29">
        <f t="shared" ca="1" si="47"/>
        <v>1538015.2413965238</v>
      </c>
      <c r="S191" s="29">
        <f t="shared" ca="1" si="48"/>
        <v>2288609.6227382408</v>
      </c>
    </row>
    <row r="192" spans="2:19" x14ac:dyDescent="0.25">
      <c r="B192" s="12">
        <f t="shared" ca="1" si="39"/>
        <v>2</v>
      </c>
      <c r="C192" s="28">
        <f t="shared" ca="1" si="40"/>
        <v>15</v>
      </c>
      <c r="D192" s="45">
        <f t="shared" ca="1" si="41"/>
        <v>146.81632780329304</v>
      </c>
      <c r="E192" s="46">
        <f t="shared" ca="1" si="42"/>
        <v>3.0130420786969904E-2</v>
      </c>
      <c r="F192" s="21">
        <f t="shared" ca="1" si="43"/>
        <v>51592</v>
      </c>
      <c r="G192" s="47">
        <f t="shared" ca="1" si="44"/>
        <v>0.3686364779259107</v>
      </c>
      <c r="H192" s="29">
        <f t="shared" si="36"/>
        <v>3000</v>
      </c>
      <c r="I192" s="42">
        <f t="shared" ca="1" si="45"/>
        <v>10513.671219186854</v>
      </c>
      <c r="J192" s="42">
        <f t="shared" ca="1" si="46"/>
        <v>15673.836750972456</v>
      </c>
      <c r="L192" s="29">
        <f t="shared" ca="1" si="37"/>
        <v>3875.7227283120574</v>
      </c>
      <c r="M192" s="29">
        <f t="shared" ca="1" si="38"/>
        <v>5777.9479754641852</v>
      </c>
      <c r="O192" s="29">
        <f ca="1">SUM($L$12:L192)</f>
        <v>528624.55771560315</v>
      </c>
      <c r="P192" s="29">
        <f ca="1">SUM($M$12:M192)</f>
        <v>672979.5770866503</v>
      </c>
      <c r="R192" s="29">
        <f t="shared" ca="1" si="47"/>
        <v>1543578.6001321846</v>
      </c>
      <c r="S192" s="29">
        <f t="shared" ca="1" si="48"/>
        <v>2301175.1543660737</v>
      </c>
    </row>
    <row r="193" spans="2:19" x14ac:dyDescent="0.25">
      <c r="B193" s="12">
        <f t="shared" ca="1" si="39"/>
        <v>2</v>
      </c>
      <c r="C193" s="28">
        <f t="shared" ca="1" si="40"/>
        <v>15</v>
      </c>
      <c r="D193" s="45">
        <f t="shared" ca="1" si="41"/>
        <v>147.06102168296519</v>
      </c>
      <c r="E193" s="46">
        <f t="shared" ca="1" si="42"/>
        <v>3.0105353881157117E-2</v>
      </c>
      <c r="F193" s="21">
        <f t="shared" ca="1" si="43"/>
        <v>51622</v>
      </c>
      <c r="G193" s="47">
        <f t="shared" ca="1" si="44"/>
        <v>0.36894367499084896</v>
      </c>
      <c r="H193" s="29">
        <f t="shared" si="36"/>
        <v>3000</v>
      </c>
      <c r="I193" s="42">
        <f t="shared" ca="1" si="45"/>
        <v>10534.070914263551</v>
      </c>
      <c r="J193" s="42">
        <f t="shared" ca="1" si="46"/>
        <v>15733.525905005316</v>
      </c>
      <c r="L193" s="29">
        <f t="shared" ca="1" si="37"/>
        <v>3886.4788357226071</v>
      </c>
      <c r="M193" s="29">
        <f t="shared" ca="1" si="38"/>
        <v>5804.784867956384</v>
      </c>
      <c r="O193" s="29">
        <f ca="1">SUM($L$12:L193)</f>
        <v>532511.03655132581</v>
      </c>
      <c r="P193" s="29">
        <f ca="1">SUM($M$12:M193)</f>
        <v>678784.36195460672</v>
      </c>
      <c r="R193" s="29">
        <f t="shared" ca="1" si="47"/>
        <v>1549151.2311324051</v>
      </c>
      <c r="S193" s="29">
        <f t="shared" ca="1" si="48"/>
        <v>2313788.3942654813</v>
      </c>
    </row>
    <row r="194" spans="2:19" x14ac:dyDescent="0.25">
      <c r="B194" s="12">
        <f t="shared" ca="1" si="39"/>
        <v>2</v>
      </c>
      <c r="C194" s="28">
        <f t="shared" ca="1" si="40"/>
        <v>15</v>
      </c>
      <c r="D194" s="45">
        <f t="shared" ca="1" si="41"/>
        <v>147.30612338577015</v>
      </c>
      <c r="E194" s="46">
        <f t="shared" ca="1" si="42"/>
        <v>3.0080307829675287E-2</v>
      </c>
      <c r="F194" s="21">
        <f t="shared" ca="1" si="43"/>
        <v>51653</v>
      </c>
      <c r="G194" s="47">
        <f t="shared" ca="1" si="44"/>
        <v>0.36925112805334132</v>
      </c>
      <c r="H194" s="29">
        <f t="shared" si="36"/>
        <v>3000</v>
      </c>
      <c r="I194" s="42">
        <f t="shared" ca="1" si="45"/>
        <v>10554.436666419988</v>
      </c>
      <c r="J194" s="42">
        <f t="shared" ca="1" si="46"/>
        <v>15793.297927142496</v>
      </c>
      <c r="L194" s="29">
        <f t="shared" ca="1" si="37"/>
        <v>3897.2376450431279</v>
      </c>
      <c r="M194" s="29">
        <f t="shared" ca="1" si="38"/>
        <v>5831.6930752798635</v>
      </c>
      <c r="O194" s="29">
        <f ca="1">SUM($L$12:L194)</f>
        <v>536408.27419636899</v>
      </c>
      <c r="P194" s="29">
        <f ca="1">SUM($M$12:M194)</f>
        <v>684616.05502988654</v>
      </c>
      <c r="R194" s="29">
        <f t="shared" ca="1" si="47"/>
        <v>1554733.1498509594</v>
      </c>
      <c r="S194" s="29">
        <f t="shared" ca="1" si="48"/>
        <v>2326449.4931238806</v>
      </c>
    </row>
    <row r="195" spans="2:19" x14ac:dyDescent="0.25">
      <c r="B195" s="12">
        <f t="shared" ca="1" si="39"/>
        <v>3</v>
      </c>
      <c r="C195" s="28">
        <f t="shared" ca="1" si="40"/>
        <v>15</v>
      </c>
      <c r="D195" s="45">
        <f t="shared" ca="1" si="41"/>
        <v>147.55163359141309</v>
      </c>
      <c r="E195" s="46">
        <f t="shared" ca="1" si="42"/>
        <v>3.005528261517473E-2</v>
      </c>
      <c r="F195" s="21">
        <f t="shared" ca="1" si="43"/>
        <v>51683</v>
      </c>
      <c r="G195" s="47">
        <f t="shared" ca="1" si="44"/>
        <v>0.36955883732671913</v>
      </c>
      <c r="H195" s="29">
        <f t="shared" si="36"/>
        <v>3000</v>
      </c>
      <c r="I195" s="42">
        <f t="shared" ca="1" si="45"/>
        <v>10574.768532133568</v>
      </c>
      <c r="J195" s="42">
        <f t="shared" ca="1" si="46"/>
        <v>15853.152859685877</v>
      </c>
      <c r="L195" s="29">
        <f t="shared" ca="1" si="37"/>
        <v>3907.9991637344579</v>
      </c>
      <c r="M195" s="29">
        <f t="shared" ca="1" si="38"/>
        <v>5858.6727387882647</v>
      </c>
      <c r="O195" s="29">
        <f ca="1">SUM($L$12:L195)</f>
        <v>540316.27336010349</v>
      </c>
      <c r="P195" s="29">
        <f ca="1">SUM($M$12:M195)</f>
        <v>690474.72776867484</v>
      </c>
      <c r="R195" s="29">
        <f t="shared" ca="1" si="47"/>
        <v>1560324.3717673775</v>
      </c>
      <c r="S195" s="29">
        <f t="shared" ca="1" si="48"/>
        <v>2339158.6020210334</v>
      </c>
    </row>
    <row r="196" spans="2:19" x14ac:dyDescent="0.25">
      <c r="B196" s="12">
        <f t="shared" ca="1" si="39"/>
        <v>3</v>
      </c>
      <c r="C196" s="28">
        <f t="shared" ca="1" si="40"/>
        <v>15</v>
      </c>
      <c r="D196" s="45">
        <f t="shared" ca="1" si="41"/>
        <v>147.79755298073212</v>
      </c>
      <c r="E196" s="46">
        <f t="shared" ca="1" si="42"/>
        <v>3.0030278220320172E-2</v>
      </c>
      <c r="F196" s="21">
        <f t="shared" ca="1" si="43"/>
        <v>51714</v>
      </c>
      <c r="G196" s="47">
        <f t="shared" ca="1" si="44"/>
        <v>0.36986680302449138</v>
      </c>
      <c r="H196" s="29">
        <f t="shared" si="36"/>
        <v>3000</v>
      </c>
      <c r="I196" s="42">
        <f t="shared" ca="1" si="45"/>
        <v>10595.066567787726</v>
      </c>
      <c r="J196" s="42">
        <f t="shared" ca="1" si="46"/>
        <v>15913.090744719353</v>
      </c>
      <c r="L196" s="29">
        <f t="shared" ca="1" si="37"/>
        <v>3918.7633992593169</v>
      </c>
      <c r="M196" s="29">
        <f t="shared" ca="1" si="38"/>
        <v>5885.7239999879694</v>
      </c>
      <c r="O196" s="29">
        <f ca="1">SUM($L$12:L196)</f>
        <v>544235.03675936279</v>
      </c>
      <c r="P196" s="29">
        <f ca="1">SUM($M$12:M196)</f>
        <v>696360.45176866278</v>
      </c>
      <c r="R196" s="29">
        <f t="shared" ca="1" si="47"/>
        <v>1565924.9123869902</v>
      </c>
      <c r="S196" s="29">
        <f t="shared" ca="1" si="48"/>
        <v>2351915.8724298566</v>
      </c>
    </row>
    <row r="197" spans="2:19" x14ac:dyDescent="0.25">
      <c r="B197" s="12">
        <f t="shared" ca="1" si="39"/>
        <v>3</v>
      </c>
      <c r="C197" s="28">
        <f t="shared" ca="1" si="40"/>
        <v>15</v>
      </c>
      <c r="D197" s="45">
        <f t="shared" ca="1" si="41"/>
        <v>148.04388223570001</v>
      </c>
      <c r="E197" s="46">
        <f t="shared" ca="1" si="42"/>
        <v>3.000529462779079E-2</v>
      </c>
      <c r="F197" s="21">
        <f t="shared" ca="1" si="43"/>
        <v>51745</v>
      </c>
      <c r="G197" s="47">
        <f t="shared" ca="1" si="44"/>
        <v>0.37017502536034513</v>
      </c>
      <c r="H197" s="29">
        <f t="shared" si="36"/>
        <v>3000</v>
      </c>
      <c r="I197" s="42">
        <f t="shared" ca="1" si="45"/>
        <v>10615.330829672075</v>
      </c>
      <c r="J197" s="42">
        <f t="shared" ca="1" si="46"/>
        <v>15973.111624108622</v>
      </c>
      <c r="L197" s="29">
        <f t="shared" ca="1" si="37"/>
        <v>3929.5303590823141</v>
      </c>
      <c r="M197" s="29">
        <f t="shared" ca="1" si="38"/>
        <v>5912.8470005380332</v>
      </c>
      <c r="O197" s="29">
        <f ca="1">SUM($L$12:L197)</f>
        <v>548164.56711844506</v>
      </c>
      <c r="P197" s="29">
        <f ca="1">SUM($M$12:M197)</f>
        <v>702273.2987692008</v>
      </c>
      <c r="R197" s="29">
        <f t="shared" ca="1" si="47"/>
        <v>1571534.7872409683</v>
      </c>
      <c r="S197" s="29">
        <f t="shared" ca="1" si="48"/>
        <v>2364721.456217228</v>
      </c>
    </row>
    <row r="198" spans="2:19" x14ac:dyDescent="0.25">
      <c r="B198" s="12">
        <f t="shared" ca="1" si="39"/>
        <v>4</v>
      </c>
      <c r="C198" s="28">
        <f t="shared" ca="1" si="40"/>
        <v>15</v>
      </c>
      <c r="D198" s="45">
        <f t="shared" ca="1" si="41"/>
        <v>148.29062203942618</v>
      </c>
      <c r="E198" s="46">
        <f t="shared" ca="1" si="42"/>
        <v>2.9980331820280148E-2</v>
      </c>
      <c r="F198" s="21">
        <f t="shared" ca="1" si="43"/>
        <v>51775</v>
      </c>
      <c r="G198" s="47">
        <f t="shared" ca="1" si="44"/>
        <v>0.37048350454814544</v>
      </c>
      <c r="H198" s="29">
        <f t="shared" si="36"/>
        <v>3000</v>
      </c>
      <c r="I198" s="42">
        <f t="shared" ca="1" si="45"/>
        <v>10635.561373982573</v>
      </c>
      <c r="J198" s="42">
        <f t="shared" ca="1" si="46"/>
        <v>16033.215539500981</v>
      </c>
      <c r="L198" s="29">
        <f t="shared" ca="1" si="37"/>
        <v>3940.3000506699527</v>
      </c>
      <c r="M198" s="29">
        <f t="shared" ca="1" si="38"/>
        <v>5940.0418822501078</v>
      </c>
      <c r="O198" s="29">
        <f ca="1">SUM($L$12:L198)</f>
        <v>552104.86716911499</v>
      </c>
      <c r="P198" s="29">
        <f ca="1">SUM($M$12:M198)</f>
        <v>708213.34065145091</v>
      </c>
      <c r="R198" s="29">
        <f t="shared" ca="1" si="47"/>
        <v>1577154.0118863699</v>
      </c>
      <c r="S198" s="29">
        <f t="shared" ca="1" si="48"/>
        <v>2377575.5056447946</v>
      </c>
    </row>
    <row r="199" spans="2:19" x14ac:dyDescent="0.25">
      <c r="B199" s="12">
        <f t="shared" ca="1" si="39"/>
        <v>4</v>
      </c>
      <c r="C199" s="28">
        <f t="shared" ca="1" si="40"/>
        <v>15</v>
      </c>
      <c r="D199" s="45">
        <f t="shared" ca="1" si="41"/>
        <v>148.53777307615857</v>
      </c>
      <c r="E199" s="46">
        <f t="shared" ca="1" si="42"/>
        <v>2.9955389780496219E-2</v>
      </c>
      <c r="F199" s="21">
        <f t="shared" ca="1" si="43"/>
        <v>51806</v>
      </c>
      <c r="G199" s="47">
        <f t="shared" ca="1" si="44"/>
        <v>0.37079224080193557</v>
      </c>
      <c r="H199" s="29">
        <f t="shared" si="36"/>
        <v>3000</v>
      </c>
      <c r="I199" s="42">
        <f t="shared" ca="1" si="45"/>
        <v>10655.758256821673</v>
      </c>
      <c r="J199" s="42">
        <f t="shared" ca="1" si="46"/>
        <v>16093.402532325132</v>
      </c>
      <c r="L199" s="29">
        <f t="shared" ca="1" si="37"/>
        <v>3951.0724814906348</v>
      </c>
      <c r="M199" s="29">
        <f t="shared" ca="1" si="38"/>
        <v>5967.3087870883801</v>
      </c>
      <c r="O199" s="29">
        <f ca="1">SUM($L$12:L199)</f>
        <v>556055.93965060567</v>
      </c>
      <c r="P199" s="29">
        <f ca="1">SUM($M$12:M199)</f>
        <v>714180.64943853929</v>
      </c>
      <c r="R199" s="29">
        <f t="shared" ca="1" si="47"/>
        <v>1582782.6019061806</v>
      </c>
      <c r="S199" s="29">
        <f t="shared" ca="1" si="48"/>
        <v>2390478.1733697862</v>
      </c>
    </row>
    <row r="200" spans="2:19" x14ac:dyDescent="0.25">
      <c r="B200" s="12">
        <f t="shared" ca="1" si="39"/>
        <v>4</v>
      </c>
      <c r="C200" s="28">
        <f t="shared" ca="1" si="40"/>
        <v>15</v>
      </c>
      <c r="D200" s="45">
        <f t="shared" ca="1" si="41"/>
        <v>148.78533603128551</v>
      </c>
      <c r="E200" s="46">
        <f t="shared" ca="1" si="42"/>
        <v>2.993046849116136E-2</v>
      </c>
      <c r="F200" s="21">
        <f t="shared" ca="1" si="43"/>
        <v>51836</v>
      </c>
      <c r="G200" s="47">
        <f t="shared" ca="1" si="44"/>
        <v>0.37110123433593717</v>
      </c>
      <c r="H200" s="29">
        <f t="shared" si="36"/>
        <v>3000</v>
      </c>
      <c r="I200" s="42">
        <f t="shared" ca="1" si="45"/>
        <v>10675.921534198478</v>
      </c>
      <c r="J200" s="42">
        <f t="shared" ca="1" si="46"/>
        <v>16153.672643790975</v>
      </c>
      <c r="L200" s="29">
        <f t="shared" ca="1" si="37"/>
        <v>3961.8476590146674</v>
      </c>
      <c r="M200" s="29">
        <f t="shared" ca="1" si="38"/>
        <v>5994.6478571694925</v>
      </c>
      <c r="O200" s="29">
        <f ca="1">SUM($L$12:L200)</f>
        <v>560017.7873096203</v>
      </c>
      <c r="P200" s="29">
        <f ca="1">SUM($M$12:M200)</f>
        <v>720175.29729570879</v>
      </c>
      <c r="R200" s="29">
        <f t="shared" ca="1" si="47"/>
        <v>1588420.5729093577</v>
      </c>
      <c r="S200" s="29">
        <f t="shared" ca="1" si="48"/>
        <v>2403429.6124458243</v>
      </c>
    </row>
    <row r="201" spans="2:19" x14ac:dyDescent="0.25">
      <c r="B201" s="12">
        <f t="shared" ca="1" si="39"/>
        <v>1</v>
      </c>
      <c r="C201" s="28">
        <f t="shared" ca="1" si="40"/>
        <v>16</v>
      </c>
      <c r="D201" s="45">
        <f t="shared" ca="1" si="41"/>
        <v>149.03331159133765</v>
      </c>
      <c r="E201" s="46">
        <f t="shared" ca="1" si="42"/>
        <v>2.9905567935012312E-2</v>
      </c>
      <c r="F201" s="21">
        <f t="shared" ca="1" si="43"/>
        <v>51867</v>
      </c>
      <c r="G201" s="47">
        <f t="shared" ca="1" si="44"/>
        <v>0.37141048536455046</v>
      </c>
      <c r="H201" s="29">
        <f t="shared" si="36"/>
        <v>3000</v>
      </c>
      <c r="I201" s="42">
        <f t="shared" ca="1" si="45"/>
        <v>10696.051262028899</v>
      </c>
      <c r="J201" s="42">
        <f t="shared" ca="1" si="46"/>
        <v>16214.025914889409</v>
      </c>
      <c r="L201" s="29">
        <f t="shared" ca="1" si="37"/>
        <v>3972.6255907142659</v>
      </c>
      <c r="M201" s="29">
        <f t="shared" ca="1" si="38"/>
        <v>6022.0592347624752</v>
      </c>
      <c r="O201" s="29">
        <f ca="1">SUM($L$12:L201)</f>
        <v>563990.41290033457</v>
      </c>
      <c r="P201" s="29">
        <f ca="1">SUM($M$12:M201)</f>
        <v>726197.35653047124</v>
      </c>
      <c r="R201" s="29">
        <f t="shared" ca="1" si="47"/>
        <v>1594067.9405308731</v>
      </c>
      <c r="S201" s="29">
        <f t="shared" ca="1" si="48"/>
        <v>2416429.9763237368</v>
      </c>
    </row>
    <row r="202" spans="2:19" x14ac:dyDescent="0.25">
      <c r="B202" s="12">
        <f t="shared" ca="1" si="39"/>
        <v>1</v>
      </c>
      <c r="C202" s="28">
        <f t="shared" ca="1" si="40"/>
        <v>16</v>
      </c>
      <c r="D202" s="45">
        <f t="shared" ca="1" si="41"/>
        <v>149.28170044398988</v>
      </c>
      <c r="E202" s="46">
        <f t="shared" ca="1" si="42"/>
        <v>2.9880688094800149E-2</v>
      </c>
      <c r="F202" s="21">
        <f t="shared" ca="1" si="43"/>
        <v>51898</v>
      </c>
      <c r="G202" s="47">
        <f t="shared" ca="1" si="44"/>
        <v>0.37171999410235423</v>
      </c>
      <c r="H202" s="29">
        <f t="shared" si="36"/>
        <v>3000</v>
      </c>
      <c r="I202" s="42">
        <f t="shared" ca="1" si="45"/>
        <v>10716.147496135809</v>
      </c>
      <c r="J202" s="42">
        <f t="shared" ca="1" si="46"/>
        <v>16274.462386392141</v>
      </c>
      <c r="L202" s="29">
        <f t="shared" ca="1" si="37"/>
        <v>3983.4062840635611</v>
      </c>
      <c r="M202" s="29">
        <f t="shared" ca="1" si="38"/>
        <v>6049.5430622886724</v>
      </c>
      <c r="O202" s="29">
        <f ca="1">SUM($L$12:L202)</f>
        <v>567973.81918439816</v>
      </c>
      <c r="P202" s="29">
        <f ca="1">SUM($M$12:M202)</f>
        <v>732246.8995927599</v>
      </c>
      <c r="R202" s="29">
        <f t="shared" ca="1" si="47"/>
        <v>1599724.7204317581</v>
      </c>
      <c r="S202" s="29">
        <f t="shared" ca="1" si="48"/>
        <v>2429479.4188523721</v>
      </c>
    </row>
    <row r="203" spans="2:19" x14ac:dyDescent="0.25">
      <c r="B203" s="12">
        <f t="shared" ca="1" si="39"/>
        <v>1</v>
      </c>
      <c r="C203" s="28">
        <f t="shared" ca="1" si="40"/>
        <v>16</v>
      </c>
      <c r="D203" s="45">
        <f t="shared" ca="1" si="41"/>
        <v>149.53050327806321</v>
      </c>
      <c r="E203" s="46">
        <f t="shared" ca="1" si="42"/>
        <v>2.985582895329033E-2</v>
      </c>
      <c r="F203" s="21">
        <f t="shared" ca="1" si="43"/>
        <v>51926</v>
      </c>
      <c r="G203" s="47">
        <f t="shared" ca="1" si="44"/>
        <v>0.37202976076410621</v>
      </c>
      <c r="H203" s="29">
        <f t="shared" si="36"/>
        <v>3000</v>
      </c>
      <c r="I203" s="42">
        <f t="shared" ca="1" si="45"/>
        <v>10736.210292249196</v>
      </c>
      <c r="J203" s="42">
        <f t="shared" ca="1" si="46"/>
        <v>16334.98209885148</v>
      </c>
      <c r="L203" s="29">
        <f t="shared" ca="1" si="37"/>
        <v>3994.1897465386032</v>
      </c>
      <c r="M203" s="29">
        <f t="shared" ca="1" si="38"/>
        <v>6077.0994823216733</v>
      </c>
      <c r="O203" s="29">
        <f ca="1">SUM($L$12:L203)</f>
        <v>571968.0089309368</v>
      </c>
      <c r="P203" s="29">
        <f ca="1">SUM($M$12:M203)</f>
        <v>738323.99907508155</v>
      </c>
      <c r="R203" s="29">
        <f t="shared" ca="1" si="47"/>
        <v>1605390.9282991444</v>
      </c>
      <c r="S203" s="29">
        <f t="shared" ca="1" si="48"/>
        <v>2442578.094279415</v>
      </c>
    </row>
    <row r="204" spans="2:19" x14ac:dyDescent="0.25">
      <c r="B204" s="12">
        <f t="shared" ca="1" si="39"/>
        <v>2</v>
      </c>
      <c r="C204" s="28">
        <f t="shared" ca="1" si="40"/>
        <v>16</v>
      </c>
      <c r="D204" s="45">
        <f t="shared" ca="1" si="41"/>
        <v>149.77972078352664</v>
      </c>
      <c r="E204" s="46">
        <f t="shared" ca="1" si="42"/>
        <v>2.9830990493262634E-2</v>
      </c>
      <c r="F204" s="21">
        <f t="shared" ca="1" si="43"/>
        <v>51957</v>
      </c>
      <c r="G204" s="47">
        <f t="shared" ca="1" si="44"/>
        <v>0.37233978556474295</v>
      </c>
      <c r="H204" s="29">
        <f t="shared" si="36"/>
        <v>3000</v>
      </c>
      <c r="I204" s="42">
        <f t="shared" ca="1" si="45"/>
        <v>10756.239706006321</v>
      </c>
      <c r="J204" s="42">
        <f t="shared" ca="1" si="46"/>
        <v>16395.585092600151</v>
      </c>
      <c r="L204" s="29">
        <f t="shared" ca="1" si="37"/>
        <v>4004.9759856173673</v>
      </c>
      <c r="M204" s="29">
        <f t="shared" ca="1" si="38"/>
        <v>6104.7286375872363</v>
      </c>
      <c r="O204" s="29">
        <f ca="1">SUM($L$12:L204)</f>
        <v>575972.98491655418</v>
      </c>
      <c r="P204" s="29">
        <f ca="1">SUM($M$12:M204)</f>
        <v>744428.72771266883</v>
      </c>
      <c r="R204" s="29">
        <f t="shared" ca="1" si="47"/>
        <v>1611066.5798463095</v>
      </c>
      <c r="S204" s="29">
        <f t="shared" ca="1" si="48"/>
        <v>2455726.1572522023</v>
      </c>
    </row>
    <row r="205" spans="2:19" x14ac:dyDescent="0.25">
      <c r="B205" s="12">
        <f t="shared" ca="1" si="39"/>
        <v>2</v>
      </c>
      <c r="C205" s="28">
        <f t="shared" ca="1" si="40"/>
        <v>16</v>
      </c>
      <c r="D205" s="45">
        <f t="shared" ca="1" si="41"/>
        <v>150.02935365149918</v>
      </c>
      <c r="E205" s="46">
        <f t="shared" ca="1" si="42"/>
        <v>2.9806172697511173E-2</v>
      </c>
      <c r="F205" s="21">
        <f t="shared" ca="1" si="43"/>
        <v>51987</v>
      </c>
      <c r="G205" s="47">
        <f t="shared" ca="1" si="44"/>
        <v>0.37265006871938022</v>
      </c>
      <c r="H205" s="29">
        <f t="shared" si="36"/>
        <v>3000</v>
      </c>
      <c r="I205" s="42">
        <f t="shared" ca="1" si="45"/>
        <v>10776.235792951871</v>
      </c>
      <c r="J205" s="42">
        <f t="shared" ca="1" si="46"/>
        <v>16456.271407751094</v>
      </c>
      <c r="L205" s="29">
        <f t="shared" ca="1" si="37"/>
        <v>4015.7650087797597</v>
      </c>
      <c r="M205" s="29">
        <f t="shared" ca="1" si="38"/>
        <v>6132.4306709632174</v>
      </c>
      <c r="O205" s="29">
        <f ca="1">SUM($L$12:L205)</f>
        <v>579988.74992533389</v>
      </c>
      <c r="P205" s="29">
        <f ca="1">SUM($M$12:M205)</f>
        <v>750561.15838363208</v>
      </c>
      <c r="R205" s="29">
        <f t="shared" ca="1" si="47"/>
        <v>1616751.69081272</v>
      </c>
      <c r="S205" s="29">
        <f t="shared" ca="1" si="48"/>
        <v>2468923.7628185432</v>
      </c>
    </row>
    <row r="206" spans="2:19" x14ac:dyDescent="0.25">
      <c r="B206" s="12">
        <f t="shared" ca="1" si="39"/>
        <v>2</v>
      </c>
      <c r="C206" s="28">
        <f t="shared" ca="1" si="40"/>
        <v>16</v>
      </c>
      <c r="D206" s="45">
        <f t="shared" ca="1" si="41"/>
        <v>150.27940257425169</v>
      </c>
      <c r="E206" s="46">
        <f t="shared" ca="1" si="42"/>
        <v>2.9781375548844354E-2</v>
      </c>
      <c r="F206" s="21">
        <f t="shared" ca="1" si="43"/>
        <v>52018</v>
      </c>
      <c r="G206" s="47">
        <f t="shared" ca="1" si="44"/>
        <v>0.37296061044331302</v>
      </c>
      <c r="H206" s="29">
        <f t="shared" ref="H206:H269" si="49">IF($F$5="Mensuel",$E$5,0)</f>
        <v>3000</v>
      </c>
      <c r="I206" s="42">
        <f t="shared" ca="1" si="45"/>
        <v>10796.19860853811</v>
      </c>
      <c r="J206" s="42">
        <f t="shared" ca="1" si="46"/>
        <v>16517.041084197277</v>
      </c>
      <c r="L206" s="29">
        <f t="shared" ref="L206:L269" ca="1" si="50">I206*G206</f>
        <v>4026.5568235076203</v>
      </c>
      <c r="M206" s="29">
        <f t="shared" ref="M206:M269" ca="1" si="51">J206*G206</f>
        <v>6160.2057254794972</v>
      </c>
      <c r="O206" s="29">
        <f ca="1">SUM($L$12:L206)</f>
        <v>584015.30674884154</v>
      </c>
      <c r="P206" s="29">
        <f ca="1">SUM($M$12:M206)</f>
        <v>756721.3641091116</v>
      </c>
      <c r="R206" s="29">
        <f t="shared" ca="1" si="47"/>
        <v>1622446.2769640747</v>
      </c>
      <c r="S206" s="29">
        <f t="shared" ca="1" si="48"/>
        <v>2482171.0664275372</v>
      </c>
    </row>
    <row r="207" spans="2:19" x14ac:dyDescent="0.25">
      <c r="B207" s="12">
        <f t="shared" ca="1" si="39"/>
        <v>3</v>
      </c>
      <c r="C207" s="28">
        <f t="shared" ca="1" si="40"/>
        <v>16</v>
      </c>
      <c r="D207" s="45">
        <f t="shared" ca="1" si="41"/>
        <v>150.52986824520877</v>
      </c>
      <c r="E207" s="46">
        <f t="shared" ca="1" si="42"/>
        <v>2.9756599030084912E-2</v>
      </c>
      <c r="F207" s="21">
        <f t="shared" ca="1" si="43"/>
        <v>52048</v>
      </c>
      <c r="G207" s="47">
        <f t="shared" ca="1" si="44"/>
        <v>0.37327141095201577</v>
      </c>
      <c r="H207" s="29">
        <f t="shared" si="49"/>
        <v>3000</v>
      </c>
      <c r="I207" s="42">
        <f t="shared" ca="1" si="45"/>
        <v>10816.128208125037</v>
      </c>
      <c r="J207" s="42">
        <f t="shared" ca="1" si="46"/>
        <v>16577.894161611508</v>
      </c>
      <c r="L207" s="29">
        <f t="shared" ca="1" si="50"/>
        <v>4037.3514372847308</v>
      </c>
      <c r="M207" s="29">
        <f t="shared" ca="1" si="51"/>
        <v>6188.0539443179123</v>
      </c>
      <c r="O207" s="29">
        <f ca="1">SUM($L$12:L207)</f>
        <v>588052.65818612627</v>
      </c>
      <c r="P207" s="29">
        <f ca="1">SUM($M$12:M207)</f>
        <v>762909.41805342946</v>
      </c>
      <c r="R207" s="29">
        <f t="shared" ca="1" si="47"/>
        <v>1628150.3540923479</v>
      </c>
      <c r="S207" s="29">
        <f t="shared" ca="1" si="48"/>
        <v>2495468.2239303961</v>
      </c>
    </row>
    <row r="208" spans="2:19" x14ac:dyDescent="0.25">
      <c r="B208" s="12">
        <f t="shared" ca="1" si="39"/>
        <v>3</v>
      </c>
      <c r="C208" s="28">
        <f t="shared" ca="1" si="40"/>
        <v>16</v>
      </c>
      <c r="D208" s="45">
        <f t="shared" ca="1" si="41"/>
        <v>150.78075135895079</v>
      </c>
      <c r="E208" s="46">
        <f t="shared" ca="1" si="42"/>
        <v>2.973184312406987E-2</v>
      </c>
      <c r="F208" s="21">
        <f t="shared" ca="1" si="43"/>
        <v>52079</v>
      </c>
      <c r="G208" s="47">
        <f t="shared" ca="1" si="44"/>
        <v>0.37358247046114246</v>
      </c>
      <c r="H208" s="29">
        <f t="shared" si="49"/>
        <v>3000</v>
      </c>
      <c r="I208" s="42">
        <f t="shared" ca="1" si="45"/>
        <v>10836.024646980539</v>
      </c>
      <c r="J208" s="42">
        <f t="shared" ca="1" si="46"/>
        <v>16638.830679446233</v>
      </c>
      <c r="L208" s="29">
        <f t="shared" ca="1" si="50"/>
        <v>4048.1488575968187</v>
      </c>
      <c r="M208" s="29">
        <f t="shared" ca="1" si="51"/>
        <v>6215.9754708121736</v>
      </c>
      <c r="O208" s="29">
        <f ca="1">SUM($L$12:L208)</f>
        <v>592100.80704372306</v>
      </c>
      <c r="P208" s="29">
        <f ca="1">SUM($M$12:M208)</f>
        <v>769125.39352424163</v>
      </c>
      <c r="R208" s="29">
        <f t="shared" ca="1" si="47"/>
        <v>1633863.9380158351</v>
      </c>
      <c r="S208" s="29">
        <f t="shared" ca="1" si="48"/>
        <v>2508815.3915812648</v>
      </c>
    </row>
    <row r="209" spans="2:19" x14ac:dyDescent="0.25">
      <c r="B209" s="12">
        <f t="shared" ca="1" si="39"/>
        <v>3</v>
      </c>
      <c r="C209" s="28">
        <f t="shared" ca="1" si="40"/>
        <v>16</v>
      </c>
      <c r="D209" s="45">
        <f t="shared" ca="1" si="41"/>
        <v>151.03205261121573</v>
      </c>
      <c r="E209" s="46">
        <f t="shared" ca="1" si="42"/>
        <v>2.9707107813650505E-2</v>
      </c>
      <c r="F209" s="21">
        <f t="shared" ca="1" si="43"/>
        <v>52110</v>
      </c>
      <c r="G209" s="47">
        <f t="shared" ca="1" si="44"/>
        <v>0.37389378918652677</v>
      </c>
      <c r="H209" s="29">
        <f t="shared" si="49"/>
        <v>3000</v>
      </c>
      <c r="I209" s="42">
        <f t="shared" ca="1" si="45"/>
        <v>10855.88798028054</v>
      </c>
      <c r="J209" s="42">
        <f t="shared" ca="1" si="46"/>
        <v>16699.850676933362</v>
      </c>
      <c r="L209" s="29">
        <f t="shared" ca="1" si="50"/>
        <v>4058.9490919315622</v>
      </c>
      <c r="M209" s="29">
        <f t="shared" ca="1" si="51"/>
        <v>6243.9704484477988</v>
      </c>
      <c r="O209" s="29">
        <f ca="1">SUM($L$12:L209)</f>
        <v>596159.75613565464</v>
      </c>
      <c r="P209" s="29">
        <f ca="1">SUM($M$12:M209)</f>
        <v>775369.36397268949</v>
      </c>
      <c r="R209" s="29">
        <f t="shared" ca="1" si="47"/>
        <v>1639587.0445791951</v>
      </c>
      <c r="S209" s="29">
        <f t="shared" ca="1" si="48"/>
        <v>2522212.7260380462</v>
      </c>
    </row>
    <row r="210" spans="2:19" x14ac:dyDescent="0.25">
      <c r="B210" s="12">
        <f t="shared" ca="1" si="39"/>
        <v>4</v>
      </c>
      <c r="C210" s="28">
        <f t="shared" ca="1" si="40"/>
        <v>16</v>
      </c>
      <c r="D210" s="45">
        <f t="shared" ca="1" si="41"/>
        <v>151.28377269890109</v>
      </c>
      <c r="E210" s="46">
        <f t="shared" ca="1" si="42"/>
        <v>2.9682393081692397E-2</v>
      </c>
      <c r="F210" s="21">
        <f t="shared" ca="1" si="43"/>
        <v>52140</v>
      </c>
      <c r="G210" s="47">
        <f t="shared" ca="1" si="44"/>
        <v>0.37420536734418219</v>
      </c>
      <c r="H210" s="29">
        <f t="shared" si="49"/>
        <v>3000</v>
      </c>
      <c r="I210" s="42">
        <f t="shared" ca="1" si="45"/>
        <v>10875.718263109162</v>
      </c>
      <c r="J210" s="42">
        <f t="shared" ca="1" si="46"/>
        <v>16760.954193084071</v>
      </c>
      <c r="L210" s="29">
        <f t="shared" ca="1" si="50"/>
        <v>4069.7521477785949</v>
      </c>
      <c r="M210" s="29">
        <f t="shared" ca="1" si="51"/>
        <v>6272.0390208620356</v>
      </c>
      <c r="O210" s="29">
        <f ca="1">SUM($L$12:L210)</f>
        <v>600229.50828343327</v>
      </c>
      <c r="P210" s="29">
        <f ca="1">SUM($M$12:M210)</f>
        <v>781641.40299355157</v>
      </c>
      <c r="R210" s="29">
        <f t="shared" ca="1" si="47"/>
        <v>1645319.6896534937</v>
      </c>
      <c r="S210" s="29">
        <f t="shared" ca="1" si="48"/>
        <v>2535660.3843632238</v>
      </c>
    </row>
    <row r="211" spans="2:19" x14ac:dyDescent="0.25">
      <c r="B211" s="12">
        <f t="shared" ca="1" si="39"/>
        <v>4</v>
      </c>
      <c r="C211" s="28">
        <f t="shared" ca="1" si="40"/>
        <v>16</v>
      </c>
      <c r="D211" s="45">
        <f t="shared" ca="1" si="41"/>
        <v>151.53591232006593</v>
      </c>
      <c r="E211" s="46">
        <f t="shared" ca="1" si="42"/>
        <v>2.9657698911075343E-2</v>
      </c>
      <c r="F211" s="21">
        <f t="shared" ca="1" si="43"/>
        <v>52171</v>
      </c>
      <c r="G211" s="47">
        <f t="shared" ca="1" si="44"/>
        <v>0.37451720515030235</v>
      </c>
      <c r="H211" s="29">
        <f t="shared" si="49"/>
        <v>3000</v>
      </c>
      <c r="I211" s="42">
        <f t="shared" ca="1" si="45"/>
        <v>10895.515550458867</v>
      </c>
      <c r="J211" s="42">
        <f t="shared" ca="1" si="46"/>
        <v>16822.141266688632</v>
      </c>
      <c r="L211" s="29">
        <f t="shared" ca="1" si="50"/>
        <v>4080.558032629513</v>
      </c>
      <c r="M211" s="29">
        <f t="shared" ca="1" si="51"/>
        <v>6300.1813318437935</v>
      </c>
      <c r="O211" s="29">
        <f ca="1">SUM($L$12:L211)</f>
        <v>604310.06631606282</v>
      </c>
      <c r="P211" s="29">
        <f ca="1">SUM($M$12:M211)</f>
        <v>787941.58432539541</v>
      </c>
      <c r="R211" s="29">
        <f t="shared" ca="1" si="47"/>
        <v>1651061.8891362499</v>
      </c>
      <c r="S211" s="29">
        <f t="shared" ca="1" si="48"/>
        <v>2549158.5240246914</v>
      </c>
    </row>
    <row r="212" spans="2:19" x14ac:dyDescent="0.25">
      <c r="B212" s="12">
        <f t="shared" ca="1" si="39"/>
        <v>4</v>
      </c>
      <c r="C212" s="28">
        <f t="shared" ca="1" si="40"/>
        <v>16</v>
      </c>
      <c r="D212" s="45">
        <f t="shared" ca="1" si="41"/>
        <v>151.78847217393272</v>
      </c>
      <c r="E212" s="46">
        <f t="shared" ca="1" si="42"/>
        <v>2.9633025284693412E-2</v>
      </c>
      <c r="F212" s="21">
        <f t="shared" ca="1" si="43"/>
        <v>52201</v>
      </c>
      <c r="G212" s="47">
        <f t="shared" ca="1" si="44"/>
        <v>0.37482930282126092</v>
      </c>
      <c r="H212" s="29">
        <f t="shared" si="49"/>
        <v>3000</v>
      </c>
      <c r="I212" s="42">
        <f t="shared" ca="1" si="45"/>
        <v>10915.279897230619</v>
      </c>
      <c r="J212" s="42">
        <f t="shared" ca="1" si="46"/>
        <v>16883.41193631621</v>
      </c>
      <c r="L212" s="29">
        <f t="shared" ca="1" si="50"/>
        <v>4091.3667539778776</v>
      </c>
      <c r="M212" s="29">
        <f t="shared" ca="1" si="51"/>
        <v>6328.3975253335602</v>
      </c>
      <c r="O212" s="29">
        <f ca="1">SUM($L$12:L212)</f>
        <v>608401.43307004066</v>
      </c>
      <c r="P212" s="29">
        <f ca="1">SUM($M$12:M212)</f>
        <v>794269.98185072897</v>
      </c>
      <c r="R212" s="29">
        <f t="shared" ca="1" si="47"/>
        <v>1656813.6589514769</v>
      </c>
      <c r="S212" s="29">
        <f t="shared" ca="1" si="48"/>
        <v>2562707.3028965765</v>
      </c>
    </row>
    <row r="213" spans="2:19" x14ac:dyDescent="0.25">
      <c r="B213" s="12">
        <f t="shared" ca="1" si="39"/>
        <v>1</v>
      </c>
      <c r="C213" s="28">
        <f t="shared" ca="1" si="40"/>
        <v>17</v>
      </c>
      <c r="D213" s="45">
        <f t="shared" ca="1" si="41"/>
        <v>152.04145296088927</v>
      </c>
      <c r="E213" s="46">
        <f t="shared" ca="1" si="42"/>
        <v>2.9608372185454902E-2</v>
      </c>
      <c r="F213" s="21">
        <f t="shared" ca="1" si="43"/>
        <v>52232</v>
      </c>
      <c r="G213" s="47">
        <f t="shared" ca="1" si="44"/>
        <v>0.37514166057361198</v>
      </c>
      <c r="H213" s="29">
        <f t="shared" si="49"/>
        <v>3000</v>
      </c>
      <c r="I213" s="42">
        <f t="shared" ca="1" si="45"/>
        <v>10935.011358234033</v>
      </c>
      <c r="J213" s="42">
        <f t="shared" ca="1" si="46"/>
        <v>16944.766240314693</v>
      </c>
      <c r="L213" s="29">
        <f t="shared" ca="1" si="50"/>
        <v>4102.1783193192232</v>
      </c>
      <c r="M213" s="29">
        <f t="shared" ca="1" si="51"/>
        <v>6356.6877454233336</v>
      </c>
      <c r="O213" s="29">
        <f ca="1">SUM($L$12:L213)</f>
        <v>612503.61138935992</v>
      </c>
      <c r="P213" s="29">
        <f ca="1">SUM($M$12:M213)</f>
        <v>800626.66959615226</v>
      </c>
      <c r="R213" s="29">
        <f t="shared" ca="1" si="47"/>
        <v>1662575.0150497297</v>
      </c>
      <c r="S213" s="29">
        <f t="shared" ca="1" si="48"/>
        <v>2576306.8792600711</v>
      </c>
    </row>
    <row r="214" spans="2:19" x14ac:dyDescent="0.25">
      <c r="B214" s="12">
        <f t="shared" ca="1" si="39"/>
        <v>1</v>
      </c>
      <c r="C214" s="28">
        <f t="shared" ca="1" si="40"/>
        <v>17</v>
      </c>
      <c r="D214" s="45">
        <f t="shared" ca="1" si="41"/>
        <v>152.29485538249077</v>
      </c>
      <c r="E214" s="46">
        <f t="shared" ca="1" si="42"/>
        <v>2.9583739596282306E-2</v>
      </c>
      <c r="F214" s="21">
        <f t="shared" ca="1" si="43"/>
        <v>52263</v>
      </c>
      <c r="G214" s="47">
        <f t="shared" ca="1" si="44"/>
        <v>0.37545427862408998</v>
      </c>
      <c r="H214" s="29">
        <f t="shared" si="49"/>
        <v>3000</v>
      </c>
      <c r="I214" s="42">
        <f t="shared" ca="1" si="45"/>
        <v>10954.709988187524</v>
      </c>
      <c r="J214" s="42">
        <f t="shared" ca="1" si="46"/>
        <v>17006.204216810511</v>
      </c>
      <c r="L214" s="29">
        <f t="shared" ca="1" si="50"/>
        <v>4112.9927361510599</v>
      </c>
      <c r="M214" s="29">
        <f t="shared" ca="1" si="51"/>
        <v>6385.0521363565476</v>
      </c>
      <c r="O214" s="29">
        <f ca="1">SUM($L$12:L214)</f>
        <v>616616.60412551102</v>
      </c>
      <c r="P214" s="29">
        <f ca="1">SUM($M$12:M214)</f>
        <v>807011.72173250886</v>
      </c>
      <c r="R214" s="29">
        <f t="shared" ca="1" si="47"/>
        <v>1668345.9734081461</v>
      </c>
      <c r="S214" s="29">
        <f t="shared" ca="1" si="48"/>
        <v>2589957.4118042616</v>
      </c>
    </row>
    <row r="215" spans="2:19" x14ac:dyDescent="0.25">
      <c r="B215" s="12">
        <f t="shared" ca="1" si="39"/>
        <v>1</v>
      </c>
      <c r="C215" s="28">
        <f t="shared" ca="1" si="40"/>
        <v>17</v>
      </c>
      <c r="D215" s="45">
        <f t="shared" ca="1" si="41"/>
        <v>152.5486801414616</v>
      </c>
      <c r="E215" s="46">
        <f t="shared" ca="1" si="42"/>
        <v>2.9559127500112355E-2</v>
      </c>
      <c r="F215" s="21">
        <f t="shared" ca="1" si="43"/>
        <v>52291</v>
      </c>
      <c r="G215" s="47">
        <f t="shared" ca="1" si="44"/>
        <v>0.37576715718961007</v>
      </c>
      <c r="H215" s="29">
        <f t="shared" si="49"/>
        <v>3000</v>
      </c>
      <c r="I215" s="42">
        <f t="shared" ca="1" si="45"/>
        <v>10974.375841718462</v>
      </c>
      <c r="J215" s="42">
        <f t="shared" ca="1" si="46"/>
        <v>17067.725903708448</v>
      </c>
      <c r="L215" s="29">
        <f t="shared" ca="1" si="50"/>
        <v>4123.8100119728806</v>
      </c>
      <c r="M215" s="29">
        <f t="shared" ca="1" si="51"/>
        <v>6413.4908425279918</v>
      </c>
      <c r="O215" s="29">
        <f ca="1">SUM($L$12:L215)</f>
        <v>620740.41413748392</v>
      </c>
      <c r="P215" s="29">
        <f ca="1">SUM($M$12:M215)</f>
        <v>813425.2125750368</v>
      </c>
      <c r="R215" s="29">
        <f t="shared" ca="1" si="47"/>
        <v>1674126.5500304932</v>
      </c>
      <c r="S215" s="29">
        <f t="shared" ca="1" si="48"/>
        <v>2603659.0596269588</v>
      </c>
    </row>
    <row r="216" spans="2:19" x14ac:dyDescent="0.25">
      <c r="B216" s="12">
        <f t="shared" ca="1" si="39"/>
        <v>2</v>
      </c>
      <c r="C216" s="28">
        <f t="shared" ca="1" si="40"/>
        <v>17</v>
      </c>
      <c r="D216" s="45">
        <f t="shared" ca="1" si="41"/>
        <v>152.80292794169739</v>
      </c>
      <c r="E216" s="46">
        <f t="shared" ca="1" si="42"/>
        <v>2.9534535879895952E-2</v>
      </c>
      <c r="F216" s="21">
        <f t="shared" ca="1" si="43"/>
        <v>52322</v>
      </c>
      <c r="G216" s="47">
        <f t="shared" ca="1" si="44"/>
        <v>0.3760802964872681</v>
      </c>
      <c r="H216" s="29">
        <f t="shared" si="49"/>
        <v>3000</v>
      </c>
      <c r="I216" s="42">
        <f t="shared" ca="1" si="45"/>
        <v>10994.008973363325</v>
      </c>
      <c r="J216" s="42">
        <f t="shared" ca="1" si="46"/>
        <v>17129.331338691471</v>
      </c>
      <c r="L216" s="29">
        <f t="shared" ca="1" si="50"/>
        <v>4134.6301542861647</v>
      </c>
      <c r="M216" s="29">
        <f t="shared" ca="1" si="51"/>
        <v>6442.004008483741</v>
      </c>
      <c r="O216" s="29">
        <f ca="1">SUM($L$12:L216)</f>
        <v>624875.04429177009</v>
      </c>
      <c r="P216" s="29">
        <f ca="1">SUM($M$12:M216)</f>
        <v>819867.21658352052</v>
      </c>
      <c r="R216" s="29">
        <f t="shared" ca="1" si="47"/>
        <v>1679916.7609472107</v>
      </c>
      <c r="S216" s="29">
        <f t="shared" ca="1" si="48"/>
        <v>2617411.9822355318</v>
      </c>
    </row>
    <row r="217" spans="2:19" x14ac:dyDescent="0.25">
      <c r="B217" s="12">
        <f t="shared" ca="1" si="39"/>
        <v>2</v>
      </c>
      <c r="C217" s="28">
        <f t="shared" ca="1" si="40"/>
        <v>17</v>
      </c>
      <c r="D217" s="45">
        <f t="shared" ca="1" si="41"/>
        <v>153.0575994882669</v>
      </c>
      <c r="E217" s="46">
        <f t="shared" ca="1" si="42"/>
        <v>2.9509964718598194E-2</v>
      </c>
      <c r="F217" s="21">
        <f t="shared" ca="1" si="43"/>
        <v>52352</v>
      </c>
      <c r="G217" s="47">
        <f t="shared" ca="1" si="44"/>
        <v>0.37639369673434081</v>
      </c>
      <c r="H217" s="29">
        <f t="shared" si="49"/>
        <v>3000</v>
      </c>
      <c r="I217" s="42">
        <f t="shared" ca="1" si="45"/>
        <v>11013.609437567848</v>
      </c>
      <c r="J217" s="42">
        <f t="shared" ca="1" si="46"/>
        <v>17191.020559220553</v>
      </c>
      <c r="L217" s="29">
        <f t="shared" ca="1" si="50"/>
        <v>4145.4531705943864</v>
      </c>
      <c r="M217" s="29">
        <f t="shared" ca="1" si="51"/>
        <v>6470.5917789210789</v>
      </c>
      <c r="O217" s="29">
        <f ca="1">SUM($L$12:L217)</f>
        <v>629020.4974623645</v>
      </c>
      <c r="P217" s="29">
        <f ca="1">SUM($M$12:M217)</f>
        <v>826337.8083624416</v>
      </c>
      <c r="R217" s="29">
        <f t="shared" ca="1" si="47"/>
        <v>1685716.6222154561</v>
      </c>
      <c r="S217" s="29">
        <f t="shared" ca="1" si="48"/>
        <v>2631216.3395477417</v>
      </c>
    </row>
    <row r="218" spans="2:19" x14ac:dyDescent="0.25">
      <c r="B218" s="12">
        <f t="shared" ca="1" si="39"/>
        <v>2</v>
      </c>
      <c r="C218" s="28">
        <f t="shared" ca="1" si="40"/>
        <v>17</v>
      </c>
      <c r="D218" s="45">
        <f t="shared" ca="1" si="41"/>
        <v>153.31269548741403</v>
      </c>
      <c r="E218" s="46">
        <f t="shared" ca="1" si="42"/>
        <v>2.9485413999198361E-2</v>
      </c>
      <c r="F218" s="21">
        <f t="shared" ca="1" si="43"/>
        <v>52383</v>
      </c>
      <c r="G218" s="47">
        <f t="shared" ca="1" si="44"/>
        <v>0.3767073581482861</v>
      </c>
      <c r="H218" s="29">
        <f t="shared" si="49"/>
        <v>3000</v>
      </c>
      <c r="I218" s="42">
        <f t="shared" ca="1" si="45"/>
        <v>11033.177288687171</v>
      </c>
      <c r="J218" s="42">
        <f t="shared" ca="1" si="46"/>
        <v>17252.793602534493</v>
      </c>
      <c r="L218" s="29">
        <f t="shared" ca="1" si="50"/>
        <v>4156.2790684030142</v>
      </c>
      <c r="M218" s="29">
        <f t="shared" ca="1" si="51"/>
        <v>6499.2542986884209</v>
      </c>
      <c r="O218" s="29">
        <f ca="1">SUM($L$12:L218)</f>
        <v>633176.77653076756</v>
      </c>
      <c r="P218" s="29">
        <f ca="1">SUM($M$12:M218)</f>
        <v>832837.06266112998</v>
      </c>
      <c r="R218" s="29">
        <f t="shared" ca="1" si="47"/>
        <v>1691526.1499191488</v>
      </c>
      <c r="S218" s="29">
        <f t="shared" ca="1" si="48"/>
        <v>2645072.2918925756</v>
      </c>
    </row>
    <row r="219" spans="2:19" x14ac:dyDescent="0.25">
      <c r="B219" s="12">
        <f t="shared" ca="1" si="39"/>
        <v>3</v>
      </c>
      <c r="C219" s="28">
        <f t="shared" ca="1" si="40"/>
        <v>17</v>
      </c>
      <c r="D219" s="45">
        <f t="shared" ca="1" si="41"/>
        <v>153.56821664655973</v>
      </c>
      <c r="E219" s="46">
        <f t="shared" ca="1" si="42"/>
        <v>2.9460883704689873E-2</v>
      </c>
      <c r="F219" s="21">
        <f t="shared" ca="1" si="43"/>
        <v>52413</v>
      </c>
      <c r="G219" s="47">
        <f t="shared" ca="1" si="44"/>
        <v>0.37702128094674298</v>
      </c>
      <c r="H219" s="29">
        <f t="shared" si="49"/>
        <v>3000</v>
      </c>
      <c r="I219" s="42">
        <f t="shared" ca="1" si="45"/>
        <v>11052.712580985997</v>
      </c>
      <c r="J219" s="42">
        <f t="shared" ca="1" si="46"/>
        <v>17314.650505649748</v>
      </c>
      <c r="L219" s="29">
        <f t="shared" ca="1" si="50"/>
        <v>4167.1078552195222</v>
      </c>
      <c r="M219" s="29">
        <f t="shared" ca="1" si="51"/>
        <v>6527.9917127852386</v>
      </c>
      <c r="O219" s="29">
        <f ca="1">SUM($L$12:L219)</f>
        <v>637343.88438598707</v>
      </c>
      <c r="P219" s="29">
        <f ca="1">SUM($M$12:M219)</f>
        <v>839365.05437391519</v>
      </c>
      <c r="R219" s="29">
        <f t="shared" ca="1" si="47"/>
        <v>1697345.360169014</v>
      </c>
      <c r="S219" s="29">
        <f t="shared" ca="1" si="48"/>
        <v>2658980.0000110855</v>
      </c>
    </row>
    <row r="220" spans="2:19" x14ac:dyDescent="0.25">
      <c r="B220" s="12">
        <f t="shared" ca="1" si="39"/>
        <v>3</v>
      </c>
      <c r="C220" s="28">
        <f t="shared" ca="1" si="40"/>
        <v>17</v>
      </c>
      <c r="D220" s="45">
        <f t="shared" ca="1" si="41"/>
        <v>153.824163674304</v>
      </c>
      <c r="E220" s="46">
        <f t="shared" ca="1" si="42"/>
        <v>2.943637381808031E-2</v>
      </c>
      <c r="F220" s="21">
        <f t="shared" ca="1" si="43"/>
        <v>52444</v>
      </c>
      <c r="G220" s="47">
        <f t="shared" ca="1" si="44"/>
        <v>0.37733546534753193</v>
      </c>
      <c r="H220" s="29">
        <f t="shared" si="49"/>
        <v>3000</v>
      </c>
      <c r="I220" s="42">
        <f t="shared" ca="1" si="45"/>
        <v>11072.215368638736</v>
      </c>
      <c r="J220" s="42">
        <f t="shared" ca="1" si="46"/>
        <v>17376.591305360249</v>
      </c>
      <c r="L220" s="29">
        <f t="shared" ca="1" si="50"/>
        <v>4177.9395385533917</v>
      </c>
      <c r="M220" s="29">
        <f t="shared" ca="1" si="51"/>
        <v>6556.804166361987</v>
      </c>
      <c r="O220" s="29">
        <f ca="1">SUM($L$12:L220)</f>
        <v>641521.82392454043</v>
      </c>
      <c r="P220" s="29">
        <f ca="1">SUM($M$12:M220)</f>
        <v>845921.85854027723</v>
      </c>
      <c r="R220" s="29">
        <f t="shared" ca="1" si="47"/>
        <v>1703174.269102629</v>
      </c>
      <c r="S220" s="29">
        <f t="shared" ca="1" si="48"/>
        <v>2672939.6250572228</v>
      </c>
    </row>
    <row r="221" spans="2:19" x14ac:dyDescent="0.25">
      <c r="B221" s="12">
        <f t="shared" ref="B221:B284" ca="1" si="52">ROUNDUP(MONTH(F221)/3,0)</f>
        <v>3</v>
      </c>
      <c r="C221" s="28">
        <f t="shared" ref="C221:C284" ca="1" si="53">YEAR(F221)-YEAR(TODAY())</f>
        <v>17</v>
      </c>
      <c r="D221" s="45">
        <f t="shared" ref="D221:D284" ca="1" si="54">D220*(1+($C$5/12))</f>
        <v>154.08053728042785</v>
      </c>
      <c r="E221" s="46">
        <f t="shared" ref="E221:E284" ca="1" si="55">(G221*12)/D221</f>
        <v>2.9411884322391391E-2</v>
      </c>
      <c r="F221" s="21">
        <f t="shared" ref="F221:F284" ca="1" si="56">EDATE(F220,1)</f>
        <v>52475</v>
      </c>
      <c r="G221" s="47">
        <f t="shared" ref="G221:G284" ca="1" si="57">($H$5/12)*G220+G220</f>
        <v>0.37764991156865485</v>
      </c>
      <c r="H221" s="29">
        <f t="shared" si="49"/>
        <v>3000</v>
      </c>
      <c r="I221" s="42">
        <f t="shared" ref="I221:I284" ca="1" si="58">I220+H221/D221</f>
        <v>11091.685705729655</v>
      </c>
      <c r="J221" s="42">
        <f t="shared" ref="J221:J284" ca="1" si="59">J220+(H221+G220*J220)/D221</f>
        <v>17438.61603823724</v>
      </c>
      <c r="L221" s="29">
        <f t="shared" ca="1" si="50"/>
        <v>4188.7741259161176</v>
      </c>
      <c r="M221" s="29">
        <f t="shared" ca="1" si="51"/>
        <v>6585.6918047200197</v>
      </c>
      <c r="O221" s="29">
        <f ca="1">SUM($L$12:L221)</f>
        <v>645710.59805045649</v>
      </c>
      <c r="P221" s="29">
        <f ca="1">SUM($M$12:M221)</f>
        <v>852507.5503449972</v>
      </c>
      <c r="R221" s="29">
        <f t="shared" ref="R221:R284" ca="1" si="60">I221*D221</f>
        <v>1709012.8928844668</v>
      </c>
      <c r="S221" s="29">
        <f t="shared" ref="S221:S284" ca="1" si="61">J221*D221</f>
        <v>2686951.32859868</v>
      </c>
    </row>
    <row r="222" spans="2:19" x14ac:dyDescent="0.25">
      <c r="B222" s="12">
        <f t="shared" ca="1" si="52"/>
        <v>4</v>
      </c>
      <c r="C222" s="28">
        <f t="shared" ca="1" si="53"/>
        <v>17</v>
      </c>
      <c r="D222" s="45">
        <f t="shared" ca="1" si="54"/>
        <v>154.33733817589524</v>
      </c>
      <c r="E222" s="46">
        <f t="shared" ca="1" si="55"/>
        <v>2.9387415200658951E-2</v>
      </c>
      <c r="F222" s="21">
        <f t="shared" ca="1" si="56"/>
        <v>52505</v>
      </c>
      <c r="G222" s="47">
        <f t="shared" ca="1" si="57"/>
        <v>0.37796461982829538</v>
      </c>
      <c r="H222" s="29">
        <f t="shared" si="49"/>
        <v>3000</v>
      </c>
      <c r="I222" s="42">
        <f t="shared" ca="1" si="58"/>
        <v>11111.123646253036</v>
      </c>
      <c r="J222" s="42">
        <f t="shared" ca="1" si="59"/>
        <v>17500.72474062911</v>
      </c>
      <c r="L222" s="29">
        <f t="shared" ca="1" si="50"/>
        <v>4199.611624821212</v>
      </c>
      <c r="M222" s="29">
        <f t="shared" ca="1" si="51"/>
        <v>6614.6547733115249</v>
      </c>
      <c r="O222" s="29">
        <f ca="1">SUM($L$12:L222)</f>
        <v>649910.2096752777</v>
      </c>
      <c r="P222" s="29">
        <f ca="1">SUM($M$12:M222)</f>
        <v>859122.20511830878</v>
      </c>
      <c r="R222" s="29">
        <f t="shared" ca="1" si="60"/>
        <v>1714861.2477059411</v>
      </c>
      <c r="S222" s="29">
        <f t="shared" ca="1" si="61"/>
        <v>2701015.2726177312</v>
      </c>
    </row>
    <row r="223" spans="2:19" x14ac:dyDescent="0.25">
      <c r="B223" s="12">
        <f t="shared" ca="1" si="52"/>
        <v>4</v>
      </c>
      <c r="C223" s="28">
        <f t="shared" ca="1" si="53"/>
        <v>17</v>
      </c>
      <c r="D223" s="45">
        <f t="shared" ca="1" si="54"/>
        <v>154.59456707285509</v>
      </c>
      <c r="E223" s="46">
        <f t="shared" ca="1" si="55"/>
        <v>2.9362966435932943E-2</v>
      </c>
      <c r="F223" s="21">
        <f t="shared" ca="1" si="56"/>
        <v>52536</v>
      </c>
      <c r="G223" s="47">
        <f t="shared" ca="1" si="57"/>
        <v>0.37827959034481895</v>
      </c>
      <c r="H223" s="29">
        <f t="shared" si="49"/>
        <v>3000</v>
      </c>
      <c r="I223" s="42">
        <f t="shared" ca="1" si="58"/>
        <v>11130.529244113317</v>
      </c>
      <c r="J223" s="42">
        <f t="shared" ca="1" si="59"/>
        <v>17562.917448661214</v>
      </c>
      <c r="L223" s="29">
        <f t="shared" ca="1" si="50"/>
        <v>4210.4520427842126</v>
      </c>
      <c r="M223" s="29">
        <f t="shared" ca="1" si="51"/>
        <v>6643.6932177394365</v>
      </c>
      <c r="O223" s="29">
        <f ca="1">SUM($L$12:L223)</f>
        <v>654120.66171806189</v>
      </c>
      <c r="P223" s="29">
        <f ca="1">SUM($M$12:M223)</f>
        <v>865765.89833604824</v>
      </c>
      <c r="R223" s="29">
        <f t="shared" ca="1" si="60"/>
        <v>1720719.3497854511</v>
      </c>
      <c r="S223" s="29">
        <f t="shared" ca="1" si="61"/>
        <v>2715131.6195120728</v>
      </c>
    </row>
    <row r="224" spans="2:19" x14ac:dyDescent="0.25">
      <c r="B224" s="12">
        <f t="shared" ca="1" si="52"/>
        <v>4</v>
      </c>
      <c r="C224" s="28">
        <f t="shared" ca="1" si="53"/>
        <v>17</v>
      </c>
      <c r="D224" s="45">
        <f t="shared" ca="1" si="54"/>
        <v>154.85222468464318</v>
      </c>
      <c r="E224" s="46">
        <f t="shared" ca="1" si="55"/>
        <v>2.9338538011277417E-2</v>
      </c>
      <c r="F224" s="21">
        <f t="shared" ca="1" si="56"/>
        <v>52566</v>
      </c>
      <c r="G224" s="47">
        <f t="shared" ca="1" si="57"/>
        <v>0.37859482333677297</v>
      </c>
      <c r="H224" s="29">
        <f t="shared" si="49"/>
        <v>3000</v>
      </c>
      <c r="I224" s="42">
        <f t="shared" ca="1" si="58"/>
        <v>11149.902553125245</v>
      </c>
      <c r="J224" s="42">
        <f t="shared" ca="1" si="59"/>
        <v>17625.194198235713</v>
      </c>
      <c r="L224" s="29">
        <f t="shared" ca="1" si="50"/>
        <v>4221.2953873226861</v>
      </c>
      <c r="M224" s="29">
        <f t="shared" ca="1" si="51"/>
        <v>6672.8072837573654</v>
      </c>
      <c r="O224" s="29">
        <f ca="1">SUM($L$12:L224)</f>
        <v>658341.95710538456</v>
      </c>
      <c r="P224" s="29">
        <f ca="1">SUM($M$12:M224)</f>
        <v>872438.70561980561</v>
      </c>
      <c r="R224" s="29">
        <f t="shared" ca="1" si="60"/>
        <v>1726587.2153684269</v>
      </c>
      <c r="S224" s="29">
        <f t="shared" ca="1" si="61"/>
        <v>2729300.532095666</v>
      </c>
    </row>
    <row r="225" spans="2:19" x14ac:dyDescent="0.25">
      <c r="B225" s="12">
        <f t="shared" ca="1" si="52"/>
        <v>1</v>
      </c>
      <c r="C225" s="28">
        <f t="shared" ca="1" si="53"/>
        <v>18</v>
      </c>
      <c r="D225" s="45">
        <f t="shared" ca="1" si="54"/>
        <v>155.11031172578424</v>
      </c>
      <c r="E225" s="46">
        <f t="shared" ca="1" si="55"/>
        <v>2.9314129909770534E-2</v>
      </c>
      <c r="F225" s="21">
        <f t="shared" ca="1" si="56"/>
        <v>52597</v>
      </c>
      <c r="G225" s="47">
        <f t="shared" ca="1" si="57"/>
        <v>0.37891031902288697</v>
      </c>
      <c r="H225" s="29">
        <f t="shared" si="49"/>
        <v>3000</v>
      </c>
      <c r="I225" s="42">
        <f t="shared" ca="1" si="58"/>
        <v>11169.243627014024</v>
      </c>
      <c r="J225" s="42">
        <f t="shared" ca="1" si="59"/>
        <v>17687.555025031405</v>
      </c>
      <c r="L225" s="29">
        <f t="shared" ca="1" si="50"/>
        <v>4232.141665956231</v>
      </c>
      <c r="M225" s="29">
        <f t="shared" ca="1" si="51"/>
        <v>6701.9971172695168</v>
      </c>
      <c r="O225" s="29">
        <f ca="1">SUM($L$12:L225)</f>
        <v>662574.0987713408</v>
      </c>
      <c r="P225" s="29">
        <f ca="1">SUM($M$12:M225)</f>
        <v>879140.70273707516</v>
      </c>
      <c r="R225" s="29">
        <f t="shared" ca="1" si="60"/>
        <v>1732464.8607273744</v>
      </c>
      <c r="S225" s="29">
        <f t="shared" ca="1" si="61"/>
        <v>2743522.1735995826</v>
      </c>
    </row>
    <row r="226" spans="2:19" x14ac:dyDescent="0.25">
      <c r="B226" s="12">
        <f t="shared" ca="1" si="52"/>
        <v>1</v>
      </c>
      <c r="C226" s="28">
        <f t="shared" ca="1" si="53"/>
        <v>18</v>
      </c>
      <c r="D226" s="45">
        <f t="shared" ca="1" si="54"/>
        <v>155.36882891199389</v>
      </c>
      <c r="E226" s="46">
        <f t="shared" ca="1" si="55"/>
        <v>2.9289742114504504E-2</v>
      </c>
      <c r="F226" s="21">
        <f t="shared" ca="1" si="56"/>
        <v>52628</v>
      </c>
      <c r="G226" s="47">
        <f t="shared" ca="1" si="57"/>
        <v>0.37922607762207272</v>
      </c>
      <c r="H226" s="29">
        <f t="shared" si="49"/>
        <v>3000</v>
      </c>
      <c r="I226" s="42">
        <f t="shared" ca="1" si="58"/>
        <v>11188.552519415467</v>
      </c>
      <c r="J226" s="42">
        <f t="shared" ca="1" si="59"/>
        <v>17749.999964503564</v>
      </c>
      <c r="L226" s="29">
        <f t="shared" ca="1" si="50"/>
        <v>4242.9908862064876</v>
      </c>
      <c r="M226" s="29">
        <f t="shared" ca="1" si="51"/>
        <v>6731.262864330617</v>
      </c>
      <c r="O226" s="29">
        <f ca="1">SUM($L$12:L226)</f>
        <v>666817.0896575473</v>
      </c>
      <c r="P226" s="29">
        <f ca="1">SUM($M$12:M226)</f>
        <v>885871.96560140583</v>
      </c>
      <c r="R226" s="29">
        <f t="shared" ca="1" si="60"/>
        <v>1738352.3021619199</v>
      </c>
      <c r="S226" s="29">
        <f t="shared" ca="1" si="61"/>
        <v>2757796.7076728516</v>
      </c>
    </row>
    <row r="227" spans="2:19" x14ac:dyDescent="0.25">
      <c r="B227" s="12">
        <f t="shared" ca="1" si="52"/>
        <v>1</v>
      </c>
      <c r="C227" s="28">
        <f t="shared" ca="1" si="53"/>
        <v>18</v>
      </c>
      <c r="D227" s="45">
        <f t="shared" ca="1" si="54"/>
        <v>155.62777696018054</v>
      </c>
      <c r="E227" s="46">
        <f t="shared" ca="1" si="55"/>
        <v>2.9265374608585616E-2</v>
      </c>
      <c r="F227" s="21">
        <f t="shared" ca="1" si="56"/>
        <v>52657</v>
      </c>
      <c r="G227" s="47">
        <f t="shared" ca="1" si="57"/>
        <v>0.37954209935342442</v>
      </c>
      <c r="H227" s="29">
        <f t="shared" si="49"/>
        <v>3000</v>
      </c>
      <c r="I227" s="42">
        <f t="shared" ca="1" si="58"/>
        <v>11207.829283876143</v>
      </c>
      <c r="J227" s="42">
        <f t="shared" ca="1" si="59"/>
        <v>17812.529051883772</v>
      </c>
      <c r="L227" s="29">
        <f t="shared" ca="1" si="50"/>
        <v>4253.843055597139</v>
      </c>
      <c r="M227" s="29">
        <f t="shared" ca="1" si="51"/>
        <v>6760.6046711458293</v>
      </c>
      <c r="O227" s="29">
        <f ca="1">SUM($L$12:L227)</f>
        <v>671070.93271314446</v>
      </c>
      <c r="P227" s="29">
        <f ca="1">SUM($M$12:M227)</f>
        <v>892632.57027255162</v>
      </c>
      <c r="R227" s="29">
        <f t="shared" ca="1" si="60"/>
        <v>1744249.5559988562</v>
      </c>
      <c r="S227" s="29">
        <f t="shared" ca="1" si="61"/>
        <v>2772124.2983833039</v>
      </c>
    </row>
    <row r="228" spans="2:19" x14ac:dyDescent="0.25">
      <c r="B228" s="12">
        <f t="shared" ca="1" si="52"/>
        <v>2</v>
      </c>
      <c r="C228" s="28">
        <f t="shared" ca="1" si="53"/>
        <v>18</v>
      </c>
      <c r="D228" s="45">
        <f t="shared" ca="1" si="54"/>
        <v>155.88715658844751</v>
      </c>
      <c r="E228" s="46">
        <f t="shared" ca="1" si="55"/>
        <v>2.9241027375134215E-2</v>
      </c>
      <c r="F228" s="21">
        <f t="shared" ca="1" si="56"/>
        <v>52688</v>
      </c>
      <c r="G228" s="47">
        <f t="shared" ca="1" si="57"/>
        <v>0.37985838443621894</v>
      </c>
      <c r="H228" s="29">
        <f t="shared" si="49"/>
        <v>3000</v>
      </c>
      <c r="I228" s="42">
        <f t="shared" ca="1" si="58"/>
        <v>11227.073973853523</v>
      </c>
      <c r="J228" s="42">
        <f t="shared" ca="1" si="59"/>
        <v>17875.142322179763</v>
      </c>
      <c r="L228" s="29">
        <f t="shared" ca="1" si="50"/>
        <v>4264.6981816539201</v>
      </c>
      <c r="M228" s="29">
        <f t="shared" ca="1" si="51"/>
        <v>6790.0226840706882</v>
      </c>
      <c r="O228" s="29">
        <f ca="1">SUM($L$12:L228)</f>
        <v>675335.63089479844</v>
      </c>
      <c r="P228" s="29">
        <f ca="1">SUM($M$12:M228)</f>
        <v>899422.59295662225</v>
      </c>
      <c r="R228" s="29">
        <f t="shared" ca="1" si="60"/>
        <v>1750156.6385921878</v>
      </c>
      <c r="S228" s="29">
        <f t="shared" ca="1" si="61"/>
        <v>2786505.110218422</v>
      </c>
    </row>
    <row r="229" spans="2:19" x14ac:dyDescent="0.25">
      <c r="B229" s="12">
        <f t="shared" ca="1" si="52"/>
        <v>2</v>
      </c>
      <c r="C229" s="28">
        <f t="shared" ca="1" si="53"/>
        <v>18</v>
      </c>
      <c r="D229" s="45">
        <f t="shared" ca="1" si="54"/>
        <v>156.14696851609492</v>
      </c>
      <c r="E229" s="46">
        <f t="shared" ca="1" si="55"/>
        <v>2.9216700397284686E-2</v>
      </c>
      <c r="F229" s="21">
        <f t="shared" ca="1" si="56"/>
        <v>52718</v>
      </c>
      <c r="G229" s="47">
        <f t="shared" ca="1" si="57"/>
        <v>0.38017493308991579</v>
      </c>
      <c r="H229" s="29">
        <f t="shared" si="49"/>
        <v>3000</v>
      </c>
      <c r="I229" s="42">
        <f t="shared" ca="1" si="58"/>
        <v>11246.286642716132</v>
      </c>
      <c r="J229" s="42">
        <f t="shared" ca="1" si="59"/>
        <v>17937.839810175257</v>
      </c>
      <c r="L229" s="29">
        <f t="shared" ca="1" si="50"/>
        <v>4275.5562719046193</v>
      </c>
      <c r="M229" s="29">
        <f t="shared" ca="1" si="51"/>
        <v>6819.5170496110059</v>
      </c>
      <c r="O229" s="29">
        <f ca="1">SUM($L$12:L229)</f>
        <v>679611.18716670305</v>
      </c>
      <c r="P229" s="29">
        <f ca="1">SUM($M$12:M229)</f>
        <v>906242.11000623321</v>
      </c>
      <c r="R229" s="29">
        <f t="shared" ca="1" si="60"/>
        <v>1756073.5663231746</v>
      </c>
      <c r="S229" s="29">
        <f t="shared" ca="1" si="61"/>
        <v>2800939.3080861899</v>
      </c>
    </row>
    <row r="230" spans="2:19" x14ac:dyDescent="0.25">
      <c r="B230" s="12">
        <f t="shared" ca="1" si="52"/>
        <v>2</v>
      </c>
      <c r="C230" s="28">
        <f t="shared" ca="1" si="53"/>
        <v>18</v>
      </c>
      <c r="D230" s="45">
        <f t="shared" ca="1" si="54"/>
        <v>156.40721346362176</v>
      </c>
      <c r="E230" s="46">
        <f t="shared" ca="1" si="55"/>
        <v>2.9192393658185441E-2</v>
      </c>
      <c r="F230" s="21">
        <f t="shared" ca="1" si="56"/>
        <v>52749</v>
      </c>
      <c r="G230" s="47">
        <f t="shared" ca="1" si="57"/>
        <v>0.38049174553415738</v>
      </c>
      <c r="H230" s="29">
        <f t="shared" si="49"/>
        <v>3000</v>
      </c>
      <c r="I230" s="42">
        <f t="shared" ca="1" si="58"/>
        <v>11265.467343743694</v>
      </c>
      <c r="J230" s="42">
        <f t="shared" ca="1" si="59"/>
        <v>18000.621550429805</v>
      </c>
      <c r="L230" s="29">
        <f t="shared" ca="1" si="50"/>
        <v>4286.4173338790852</v>
      </c>
      <c r="M230" s="29">
        <f t="shared" ca="1" si="51"/>
        <v>6849.0879144228065</v>
      </c>
      <c r="O230" s="29">
        <f ca="1">SUM($L$12:L230)</f>
        <v>683897.60450058209</v>
      </c>
      <c r="P230" s="29">
        <f ca="1">SUM($M$12:M230)</f>
        <v>913091.19792065606</v>
      </c>
      <c r="R230" s="29">
        <f t="shared" ca="1" si="60"/>
        <v>1762000.3556003799</v>
      </c>
      <c r="S230" s="29">
        <f t="shared" ca="1" si="61"/>
        <v>2815427.0573159447</v>
      </c>
    </row>
    <row r="231" spans="2:19" x14ac:dyDescent="0.25">
      <c r="B231" s="12">
        <f t="shared" ca="1" si="52"/>
        <v>3</v>
      </c>
      <c r="C231" s="28">
        <f t="shared" ca="1" si="53"/>
        <v>18</v>
      </c>
      <c r="D231" s="45">
        <f t="shared" ca="1" si="54"/>
        <v>156.6678921527278</v>
      </c>
      <c r="E231" s="46">
        <f t="shared" ca="1" si="55"/>
        <v>2.9168107140998933E-2</v>
      </c>
      <c r="F231" s="21">
        <f t="shared" ca="1" si="56"/>
        <v>52779</v>
      </c>
      <c r="G231" s="47">
        <f t="shared" ca="1" si="57"/>
        <v>0.3808088219887692</v>
      </c>
      <c r="H231" s="29">
        <f t="shared" si="49"/>
        <v>3000</v>
      </c>
      <c r="I231" s="42">
        <f t="shared" ca="1" si="58"/>
        <v>11284.616130127284</v>
      </c>
      <c r="J231" s="42">
        <f t="shared" ca="1" si="59"/>
        <v>18063.487577278633</v>
      </c>
      <c r="L231" s="29">
        <f t="shared" ca="1" si="50"/>
        <v>4297.2813751092344</v>
      </c>
      <c r="M231" s="29">
        <f t="shared" ca="1" si="51"/>
        <v>6878.735425312243</v>
      </c>
      <c r="O231" s="29">
        <f ca="1">SUM($L$12:L231)</f>
        <v>688194.88587569131</v>
      </c>
      <c r="P231" s="29">
        <f ca="1">SUM($M$12:M231)</f>
        <v>919969.93334596825</v>
      </c>
      <c r="R231" s="29">
        <f t="shared" ca="1" si="60"/>
        <v>1767937.022859714</v>
      </c>
      <c r="S231" s="29">
        <f t="shared" ca="1" si="61"/>
        <v>2829968.5236592274</v>
      </c>
    </row>
    <row r="232" spans="2:19" x14ac:dyDescent="0.25">
      <c r="B232" s="12">
        <f t="shared" ca="1" si="52"/>
        <v>3</v>
      </c>
      <c r="C232" s="28">
        <f t="shared" ca="1" si="53"/>
        <v>18</v>
      </c>
      <c r="D232" s="45">
        <f t="shared" ca="1" si="54"/>
        <v>156.9290053063157</v>
      </c>
      <c r="E232" s="46">
        <f t="shared" ca="1" si="55"/>
        <v>2.9143840828901587E-2</v>
      </c>
      <c r="F232" s="21">
        <f t="shared" ca="1" si="56"/>
        <v>52810</v>
      </c>
      <c r="G232" s="47">
        <f t="shared" ca="1" si="57"/>
        <v>0.38112616267375982</v>
      </c>
      <c r="H232" s="29">
        <f t="shared" si="49"/>
        <v>3000</v>
      </c>
      <c r="I232" s="42">
        <f t="shared" ca="1" si="58"/>
        <v>11303.733054969471</v>
      </c>
      <c r="J232" s="42">
        <f t="shared" ca="1" si="59"/>
        <v>18126.43792483248</v>
      </c>
      <c r="L232" s="29">
        <f t="shared" ca="1" si="50"/>
        <v>4308.1484031290502</v>
      </c>
      <c r="M232" s="29">
        <f t="shared" ca="1" si="51"/>
        <v>6908.4597292355129</v>
      </c>
      <c r="O232" s="29">
        <f ca="1">SUM($L$12:L232)</f>
        <v>692503.03427882039</v>
      </c>
      <c r="P232" s="29">
        <f ca="1">SUM($M$12:M232)</f>
        <v>926878.39307520376</v>
      </c>
      <c r="R232" s="29">
        <f t="shared" ca="1" si="60"/>
        <v>1773883.5845644802</v>
      </c>
      <c r="S232" s="29">
        <f t="shared" ca="1" si="61"/>
        <v>2844563.8732906384</v>
      </c>
    </row>
    <row r="233" spans="2:19" x14ac:dyDescent="0.25">
      <c r="B233" s="12">
        <f t="shared" ca="1" si="52"/>
        <v>3</v>
      </c>
      <c r="C233" s="28">
        <f t="shared" ca="1" si="53"/>
        <v>18</v>
      </c>
      <c r="D233" s="45">
        <f t="shared" ca="1" si="54"/>
        <v>157.19055364849291</v>
      </c>
      <c r="E233" s="46">
        <f t="shared" ca="1" si="55"/>
        <v>2.9119594705083865E-2</v>
      </c>
      <c r="F233" s="21">
        <f t="shared" ca="1" si="56"/>
        <v>52841</v>
      </c>
      <c r="G233" s="47">
        <f t="shared" ca="1" si="57"/>
        <v>0.38144376780932127</v>
      </c>
      <c r="H233" s="29">
        <f t="shared" si="49"/>
        <v>3000</v>
      </c>
      <c r="I233" s="42">
        <f t="shared" ca="1" si="58"/>
        <v>11322.818171284465</v>
      </c>
      <c r="J233" s="42">
        <f t="shared" ca="1" si="59"/>
        <v>18189.472626977451</v>
      </c>
      <c r="L233" s="29">
        <f t="shared" ca="1" si="50"/>
        <v>4319.0184254745955</v>
      </c>
      <c r="M233" s="29">
        <f t="shared" ca="1" si="51"/>
        <v>6938.2609732987921</v>
      </c>
      <c r="O233" s="29">
        <f ca="1">SUM($L$12:L233)</f>
        <v>696822.05270429503</v>
      </c>
      <c r="P233" s="29">
        <f ca="1">SUM($M$12:M233)</f>
        <v>933816.65404850256</v>
      </c>
      <c r="R233" s="29">
        <f t="shared" ca="1" si="60"/>
        <v>1779840.0572054212</v>
      </c>
      <c r="S233" s="29">
        <f t="shared" ca="1" si="61"/>
        <v>2859213.2728086924</v>
      </c>
    </row>
    <row r="234" spans="2:19" x14ac:dyDescent="0.25">
      <c r="B234" s="12">
        <f t="shared" ca="1" si="52"/>
        <v>4</v>
      </c>
      <c r="C234" s="28">
        <f t="shared" ca="1" si="53"/>
        <v>18</v>
      </c>
      <c r="D234" s="45">
        <f t="shared" ca="1" si="54"/>
        <v>157.45253790457375</v>
      </c>
      <c r="E234" s="46">
        <f t="shared" ca="1" si="55"/>
        <v>2.9095368752750182E-2</v>
      </c>
      <c r="F234" s="21">
        <f t="shared" ca="1" si="56"/>
        <v>52871</v>
      </c>
      <c r="G234" s="47">
        <f t="shared" ca="1" si="57"/>
        <v>0.38176163761582904</v>
      </c>
      <c r="H234" s="29">
        <f t="shared" si="49"/>
        <v>3000</v>
      </c>
      <c r="I234" s="42">
        <f t="shared" ca="1" si="58"/>
        <v>11341.871531998271</v>
      </c>
      <c r="J234" s="42">
        <f t="shared" ca="1" si="59"/>
        <v>18252.591717374849</v>
      </c>
      <c r="L234" s="29">
        <f t="shared" ca="1" si="50"/>
        <v>4329.8914496840116</v>
      </c>
      <c r="M234" s="29">
        <f t="shared" ca="1" si="51"/>
        <v>6968.1393047581396</v>
      </c>
      <c r="O234" s="29">
        <f ca="1">SUM($L$12:L234)</f>
        <v>701151.94415397907</v>
      </c>
      <c r="P234" s="29">
        <f ca="1">SUM($M$12:M234)</f>
        <v>940784.79335326073</v>
      </c>
      <c r="R234" s="29">
        <f t="shared" ca="1" si="60"/>
        <v>1785806.4573007636</v>
      </c>
      <c r="S234" s="29">
        <f t="shared" ca="1" si="61"/>
        <v>2873916.8892366723</v>
      </c>
    </row>
    <row r="235" spans="2:19" x14ac:dyDescent="0.25">
      <c r="B235" s="12">
        <f t="shared" ca="1" si="52"/>
        <v>4</v>
      </c>
      <c r="C235" s="28">
        <f t="shared" ca="1" si="53"/>
        <v>18</v>
      </c>
      <c r="D235" s="45">
        <f t="shared" ca="1" si="54"/>
        <v>157.71495880108137</v>
      </c>
      <c r="E235" s="46">
        <f t="shared" ca="1" si="55"/>
        <v>2.907116295511894E-2</v>
      </c>
      <c r="F235" s="21">
        <f t="shared" ca="1" si="56"/>
        <v>52902</v>
      </c>
      <c r="G235" s="47">
        <f t="shared" ca="1" si="57"/>
        <v>0.38207977231384221</v>
      </c>
      <c r="H235" s="29">
        <f t="shared" si="49"/>
        <v>3000</v>
      </c>
      <c r="I235" s="42">
        <f t="shared" ca="1" si="58"/>
        <v>11360.893189948825</v>
      </c>
      <c r="J235" s="42">
        <f t="shared" ca="1" si="59"/>
        <v>18315.795229461048</v>
      </c>
      <c r="L235" s="29">
        <f t="shared" ca="1" si="50"/>
        <v>4340.7674832975281</v>
      </c>
      <c r="M235" s="29">
        <f t="shared" ca="1" si="51"/>
        <v>6998.0948710194343</v>
      </c>
      <c r="O235" s="29">
        <f ca="1">SUM($L$12:L235)</f>
        <v>705492.71163727657</v>
      </c>
      <c r="P235" s="29">
        <f ca="1">SUM($M$12:M235)</f>
        <v>947782.88822428021</v>
      </c>
      <c r="R235" s="29">
        <f t="shared" ca="1" si="60"/>
        <v>1791782.8013962649</v>
      </c>
      <c r="S235" s="29">
        <f t="shared" ca="1" si="61"/>
        <v>2888674.8900234918</v>
      </c>
    </row>
    <row r="236" spans="2:19" x14ac:dyDescent="0.25">
      <c r="B236" s="12">
        <f t="shared" ca="1" si="52"/>
        <v>4</v>
      </c>
      <c r="C236" s="28">
        <f t="shared" ca="1" si="53"/>
        <v>18</v>
      </c>
      <c r="D236" s="45">
        <f t="shared" ca="1" si="54"/>
        <v>157.97781706574983</v>
      </c>
      <c r="E236" s="46">
        <f t="shared" ca="1" si="55"/>
        <v>2.9046977295422508E-2</v>
      </c>
      <c r="F236" s="21">
        <f t="shared" ca="1" si="56"/>
        <v>52932</v>
      </c>
      <c r="G236" s="47">
        <f t="shared" ca="1" si="57"/>
        <v>0.38239817212410376</v>
      </c>
      <c r="H236" s="29">
        <f t="shared" si="49"/>
        <v>3000</v>
      </c>
      <c r="I236" s="42">
        <f t="shared" ca="1" si="58"/>
        <v>11379.883197886151</v>
      </c>
      <c r="J236" s="42">
        <f t="shared" ca="1" si="59"/>
        <v>18379.083196447315</v>
      </c>
      <c r="L236" s="29">
        <f t="shared" ca="1" si="50"/>
        <v>4351.6465338574644</v>
      </c>
      <c r="M236" s="29">
        <f t="shared" ca="1" si="51"/>
        <v>7028.1278196382837</v>
      </c>
      <c r="O236" s="29">
        <f ca="1">SUM($L$12:L236)</f>
        <v>709844.35817113402</v>
      </c>
      <c r="P236" s="29">
        <f ca="1">SUM($M$12:M236)</f>
        <v>954811.01604391844</v>
      </c>
      <c r="R236" s="29">
        <f t="shared" ca="1" si="60"/>
        <v>1797769.1060652586</v>
      </c>
      <c r="S236" s="29">
        <f t="shared" ca="1" si="61"/>
        <v>2903487.4430445507</v>
      </c>
    </row>
    <row r="237" spans="2:19" x14ac:dyDescent="0.25">
      <c r="B237" s="12">
        <f t="shared" ca="1" si="52"/>
        <v>1</v>
      </c>
      <c r="C237" s="28">
        <f t="shared" ca="1" si="53"/>
        <v>19</v>
      </c>
      <c r="D237" s="45">
        <f t="shared" ca="1" si="54"/>
        <v>158.2411134275261</v>
      </c>
      <c r="E237" s="46">
        <f t="shared" ca="1" si="55"/>
        <v>2.9022811756907175E-2</v>
      </c>
      <c r="F237" s="21">
        <f t="shared" ca="1" si="56"/>
        <v>52963</v>
      </c>
      <c r="G237" s="47">
        <f t="shared" ca="1" si="57"/>
        <v>0.38271683726754052</v>
      </c>
      <c r="H237" s="29">
        <f t="shared" si="49"/>
        <v>3000</v>
      </c>
      <c r="I237" s="42">
        <f t="shared" ca="1" si="58"/>
        <v>11398.8416084725</v>
      </c>
      <c r="J237" s="42">
        <f t="shared" ca="1" si="59"/>
        <v>18442.455651319677</v>
      </c>
      <c r="L237" s="29">
        <f t="shared" ca="1" si="50"/>
        <v>4362.5286089082392</v>
      </c>
      <c r="M237" s="29">
        <f t="shared" ca="1" si="51"/>
        <v>7058.2382983199459</v>
      </c>
      <c r="O237" s="29">
        <f ca="1">SUM($L$12:L237)</f>
        <v>714206.88678004232</v>
      </c>
      <c r="P237" s="29">
        <f ca="1">SUM($M$12:M237)</f>
        <v>961869.25434223842</v>
      </c>
      <c r="R237" s="29">
        <f t="shared" ca="1" si="60"/>
        <v>1803765.3879087009</v>
      </c>
      <c r="S237" s="29">
        <f t="shared" ca="1" si="61"/>
        <v>2918354.7166025969</v>
      </c>
    </row>
    <row r="238" spans="2:19" x14ac:dyDescent="0.25">
      <c r="B238" s="12">
        <f t="shared" ca="1" si="52"/>
        <v>1</v>
      </c>
      <c r="C238" s="28">
        <f t="shared" ca="1" si="53"/>
        <v>19</v>
      </c>
      <c r="D238" s="45">
        <f t="shared" ca="1" si="54"/>
        <v>158.50484861657199</v>
      </c>
      <c r="E238" s="46">
        <f t="shared" ca="1" si="55"/>
        <v>2.8998666322833207E-2</v>
      </c>
      <c r="F238" s="21">
        <f t="shared" ca="1" si="56"/>
        <v>52994</v>
      </c>
      <c r="G238" s="47">
        <f t="shared" ca="1" si="57"/>
        <v>0.38303576796526345</v>
      </c>
      <c r="H238" s="29">
        <f t="shared" si="49"/>
        <v>3000</v>
      </c>
      <c r="I238" s="42">
        <f t="shared" ca="1" si="58"/>
        <v>11417.768474282499</v>
      </c>
      <c r="J238" s="42">
        <f t="shared" ca="1" si="59"/>
        <v>18505.912626838774</v>
      </c>
      <c r="L238" s="29">
        <f t="shared" ca="1" si="50"/>
        <v>4373.4137159963711</v>
      </c>
      <c r="M238" s="29">
        <f t="shared" ca="1" si="51"/>
        <v>7088.4264549192558</v>
      </c>
      <c r="O238" s="29">
        <f ca="1">SUM($L$12:L238)</f>
        <v>718580.30049603863</v>
      </c>
      <c r="P238" s="29">
        <f ca="1">SUM($M$12:M238)</f>
        <v>968957.68079715769</v>
      </c>
      <c r="R238" s="29">
        <f t="shared" ca="1" si="60"/>
        <v>1809771.6635552156</v>
      </c>
      <c r="S238" s="29">
        <f t="shared" ca="1" si="61"/>
        <v>2933276.8794285879</v>
      </c>
    </row>
    <row r="239" spans="2:19" x14ac:dyDescent="0.25">
      <c r="B239" s="12">
        <f t="shared" ca="1" si="52"/>
        <v>1</v>
      </c>
      <c r="C239" s="28">
        <f t="shared" ca="1" si="53"/>
        <v>19</v>
      </c>
      <c r="D239" s="45">
        <f t="shared" ca="1" si="54"/>
        <v>158.76902336426627</v>
      </c>
      <c r="E239" s="46">
        <f t="shared" ca="1" si="55"/>
        <v>2.8974540976474773E-2</v>
      </c>
      <c r="F239" s="21">
        <f t="shared" ca="1" si="56"/>
        <v>53022</v>
      </c>
      <c r="G239" s="47">
        <f t="shared" ca="1" si="57"/>
        <v>0.38335496443856781</v>
      </c>
      <c r="H239" s="29">
        <f t="shared" si="49"/>
        <v>3000</v>
      </c>
      <c r="I239" s="42">
        <f t="shared" ca="1" si="58"/>
        <v>11436.663847803296</v>
      </c>
      <c r="J239" s="42">
        <f t="shared" ca="1" si="59"/>
        <v>18569.454155539705</v>
      </c>
      <c r="L239" s="29">
        <f t="shared" ca="1" si="50"/>
        <v>4384.301862670487</v>
      </c>
      <c r="M239" s="29">
        <f t="shared" ca="1" si="51"/>
        <v>7118.6924374405389</v>
      </c>
      <c r="O239" s="29">
        <f ca="1">SUM($L$12:L239)</f>
        <v>722964.60235870909</v>
      </c>
      <c r="P239" s="29">
        <f ca="1">SUM($M$12:M239)</f>
        <v>976076.3732345982</v>
      </c>
      <c r="R239" s="29">
        <f t="shared" ca="1" si="60"/>
        <v>1815787.949661141</v>
      </c>
      <c r="S239" s="29">
        <f t="shared" ca="1" si="61"/>
        <v>2948254.1006825548</v>
      </c>
    </row>
    <row r="240" spans="2:19" x14ac:dyDescent="0.25">
      <c r="B240" s="12">
        <f t="shared" ca="1" si="52"/>
        <v>2</v>
      </c>
      <c r="C240" s="28">
        <f t="shared" ca="1" si="53"/>
        <v>19</v>
      </c>
      <c r="D240" s="45">
        <f t="shared" ca="1" si="54"/>
        <v>159.03363840320674</v>
      </c>
      <c r="E240" s="46">
        <f t="shared" ca="1" si="55"/>
        <v>2.8950435701119968E-2</v>
      </c>
      <c r="F240" s="21">
        <f t="shared" ca="1" si="56"/>
        <v>53053</v>
      </c>
      <c r="G240" s="47">
        <f t="shared" ca="1" si="57"/>
        <v>0.38367442690893327</v>
      </c>
      <c r="H240" s="29">
        <f t="shared" si="49"/>
        <v>3000</v>
      </c>
      <c r="I240" s="42">
        <f t="shared" ca="1" si="58"/>
        <v>11455.527781434708</v>
      </c>
      <c r="J240" s="42">
        <f t="shared" ca="1" si="59"/>
        <v>18633.080269731887</v>
      </c>
      <c r="L240" s="29">
        <f t="shared" ca="1" si="50"/>
        <v>4395.1930564813256</v>
      </c>
      <c r="M240" s="29">
        <f t="shared" ca="1" si="51"/>
        <v>7149.0363940375337</v>
      </c>
      <c r="O240" s="29">
        <f ca="1">SUM($L$12:L240)</f>
        <v>727359.7954151904</v>
      </c>
      <c r="P240" s="29">
        <f ca="1">SUM($M$12:M240)</f>
        <v>983225.40962863574</v>
      </c>
      <c r="R240" s="29">
        <f t="shared" ca="1" si="60"/>
        <v>1821814.2629105765</v>
      </c>
      <c r="S240" s="29">
        <f t="shared" ca="1" si="61"/>
        <v>2963286.5499544665</v>
      </c>
    </row>
    <row r="241" spans="2:19" x14ac:dyDescent="0.25">
      <c r="B241" s="12">
        <f t="shared" ca="1" si="52"/>
        <v>2</v>
      </c>
      <c r="C241" s="28">
        <f t="shared" ca="1" si="53"/>
        <v>19</v>
      </c>
      <c r="D241" s="45">
        <f t="shared" ca="1" si="54"/>
        <v>159.2986944672121</v>
      </c>
      <c r="E241" s="46">
        <f t="shared" ca="1" si="55"/>
        <v>2.8926350480070775E-2</v>
      </c>
      <c r="F241" s="21">
        <f t="shared" ca="1" si="56"/>
        <v>53083</v>
      </c>
      <c r="G241" s="47">
        <f t="shared" ca="1" si="57"/>
        <v>0.38399415559802408</v>
      </c>
      <c r="H241" s="29">
        <f t="shared" si="49"/>
        <v>3000</v>
      </c>
      <c r="I241" s="42">
        <f t="shared" ca="1" si="58"/>
        <v>11474.360327489361</v>
      </c>
      <c r="J241" s="42">
        <f t="shared" ca="1" si="59"/>
        <v>18696.79100149891</v>
      </c>
      <c r="L241" s="29">
        <f t="shared" ca="1" si="50"/>
        <v>4406.0873049817446</v>
      </c>
      <c r="M241" s="29">
        <f t="shared" ca="1" si="51"/>
        <v>7179.4584730133092</v>
      </c>
      <c r="O241" s="29">
        <f ca="1">SUM($L$12:L241)</f>
        <v>731765.88272017217</v>
      </c>
      <c r="P241" s="29">
        <f ca="1">SUM($M$12:M241)</f>
        <v>990404.8681016491</v>
      </c>
      <c r="R241" s="29">
        <f t="shared" ca="1" si="60"/>
        <v>1827850.6200154275</v>
      </c>
      <c r="S241" s="29">
        <f t="shared" ca="1" si="61"/>
        <v>2978374.3972650953</v>
      </c>
    </row>
    <row r="242" spans="2:19" x14ac:dyDescent="0.25">
      <c r="B242" s="12">
        <f t="shared" ca="1" si="52"/>
        <v>2</v>
      </c>
      <c r="C242" s="28">
        <f t="shared" ca="1" si="53"/>
        <v>19</v>
      </c>
      <c r="D242" s="45">
        <f t="shared" ca="1" si="54"/>
        <v>159.56419229132413</v>
      </c>
      <c r="E242" s="46">
        <f t="shared" ca="1" si="55"/>
        <v>2.8902285296643099E-2</v>
      </c>
      <c r="F242" s="21">
        <f t="shared" ca="1" si="56"/>
        <v>53114</v>
      </c>
      <c r="G242" s="47">
        <f t="shared" ca="1" si="57"/>
        <v>0.3843141507276891</v>
      </c>
      <c r="H242" s="29">
        <f t="shared" si="49"/>
        <v>3000</v>
      </c>
      <c r="I242" s="42">
        <f t="shared" ca="1" si="58"/>
        <v>11493.161538192842</v>
      </c>
      <c r="J242" s="42">
        <f t="shared" ca="1" si="59"/>
        <v>18760.586382698399</v>
      </c>
      <c r="L242" s="29">
        <f t="shared" ca="1" si="50"/>
        <v>4416.984615726723</v>
      </c>
      <c r="M242" s="29">
        <f t="shared" ca="1" si="51"/>
        <v>7209.9588228201837</v>
      </c>
      <c r="O242" s="29">
        <f ca="1">SUM($L$12:L242)</f>
        <v>736182.86733589892</v>
      </c>
      <c r="P242" s="29">
        <f ca="1">SUM($M$12:M242)</f>
        <v>997614.82692446932</v>
      </c>
      <c r="R242" s="29">
        <f t="shared" ca="1" si="60"/>
        <v>1833897.0377154534</v>
      </c>
      <c r="S242" s="29">
        <f t="shared" ca="1" si="61"/>
        <v>2993517.8130668844</v>
      </c>
    </row>
    <row r="243" spans="2:19" x14ac:dyDescent="0.25">
      <c r="B243" s="12">
        <f t="shared" ca="1" si="52"/>
        <v>3</v>
      </c>
      <c r="C243" s="28">
        <f t="shared" ca="1" si="53"/>
        <v>19</v>
      </c>
      <c r="D243" s="45">
        <f t="shared" ca="1" si="54"/>
        <v>159.83013261180969</v>
      </c>
      <c r="E243" s="46">
        <f t="shared" ca="1" si="55"/>
        <v>2.8878240134166684E-2</v>
      </c>
      <c r="F243" s="21">
        <f t="shared" ca="1" si="56"/>
        <v>53144</v>
      </c>
      <c r="G243" s="47">
        <f t="shared" ca="1" si="57"/>
        <v>0.38463441251996217</v>
      </c>
      <c r="H243" s="29">
        <f t="shared" si="49"/>
        <v>3000</v>
      </c>
      <c r="I243" s="42">
        <f t="shared" ca="1" si="58"/>
        <v>11511.931465683838</v>
      </c>
      <c r="J243" s="42">
        <f t="shared" ca="1" si="59"/>
        <v>18824.466444961865</v>
      </c>
      <c r="L243" s="29">
        <f t="shared" ca="1" si="50"/>
        <v>4427.8849962733702</v>
      </c>
      <c r="M243" s="29">
        <f t="shared" ca="1" si="51"/>
        <v>7240.537592059648</v>
      </c>
      <c r="O243" s="29">
        <f ca="1">SUM($L$12:L243)</f>
        <v>740610.75233217224</v>
      </c>
      <c r="P243" s="29">
        <f ca="1">SUM($M$12:M243)</f>
        <v>1004855.364516529</v>
      </c>
      <c r="R243" s="29">
        <f t="shared" ca="1" si="60"/>
        <v>1839953.5327783125</v>
      </c>
      <c r="S243" s="29">
        <f t="shared" ca="1" si="61"/>
        <v>3008716.9682448166</v>
      </c>
    </row>
    <row r="244" spans="2:19" x14ac:dyDescent="0.25">
      <c r="B244" s="12">
        <f t="shared" ca="1" si="52"/>
        <v>3</v>
      </c>
      <c r="C244" s="28">
        <f t="shared" ca="1" si="53"/>
        <v>19</v>
      </c>
      <c r="D244" s="45">
        <f t="shared" ca="1" si="54"/>
        <v>160.0965161661627</v>
      </c>
      <c r="E244" s="46">
        <f t="shared" ca="1" si="55"/>
        <v>2.8854214975985185E-2</v>
      </c>
      <c r="F244" s="21">
        <f t="shared" ca="1" si="56"/>
        <v>53175</v>
      </c>
      <c r="G244" s="47">
        <f t="shared" ca="1" si="57"/>
        <v>0.38495494119706214</v>
      </c>
      <c r="H244" s="29">
        <f t="shared" si="49"/>
        <v>3000</v>
      </c>
      <c r="I244" s="42">
        <f t="shared" ca="1" si="58"/>
        <v>11530.670162014283</v>
      </c>
      <c r="J244" s="42">
        <f t="shared" ca="1" si="59"/>
        <v>18888.431219694572</v>
      </c>
      <c r="L244" s="29">
        <f t="shared" ca="1" si="50"/>
        <v>4438.7884541809271</v>
      </c>
      <c r="M244" s="29">
        <f t="shared" ca="1" si="51"/>
        <v>7271.1949294822771</v>
      </c>
      <c r="O244" s="29">
        <f ca="1">SUM($L$12:L244)</f>
        <v>745049.54078635317</v>
      </c>
      <c r="P244" s="29">
        <f ca="1">SUM($M$12:M244)</f>
        <v>1012126.5594460113</v>
      </c>
      <c r="R244" s="29">
        <f t="shared" ca="1" si="60"/>
        <v>1846020.1219996095</v>
      </c>
      <c r="S244" s="29">
        <f t="shared" ca="1" si="61"/>
        <v>3023972.0341172842</v>
      </c>
    </row>
    <row r="245" spans="2:19" x14ac:dyDescent="0.25">
      <c r="B245" s="12">
        <f t="shared" ca="1" si="52"/>
        <v>3</v>
      </c>
      <c r="C245" s="28">
        <f t="shared" ca="1" si="53"/>
        <v>19</v>
      </c>
      <c r="D245" s="45">
        <f t="shared" ca="1" si="54"/>
        <v>160.36334369310632</v>
      </c>
      <c r="E245" s="46">
        <f t="shared" ca="1" si="55"/>
        <v>2.8830209805456072E-2</v>
      </c>
      <c r="F245" s="21">
        <f t="shared" ca="1" si="56"/>
        <v>53206</v>
      </c>
      <c r="G245" s="47">
        <f t="shared" ca="1" si="57"/>
        <v>0.385275736981393</v>
      </c>
      <c r="H245" s="29">
        <f t="shared" si="49"/>
        <v>3000</v>
      </c>
      <c r="I245" s="42">
        <f t="shared" ca="1" si="58"/>
        <v>11549.377679149504</v>
      </c>
      <c r="J245" s="42">
        <f t="shared" ca="1" si="59"/>
        <v>18952.480738075399</v>
      </c>
      <c r="L245" s="29">
        <f t="shared" ca="1" si="50"/>
        <v>4449.6949970107753</v>
      </c>
      <c r="M245" s="29">
        <f t="shared" ca="1" si="51"/>
        <v>7301.9309839876541</v>
      </c>
      <c r="O245" s="29">
        <f ca="1">SUM($L$12:L245)</f>
        <v>749499.23578336393</v>
      </c>
      <c r="P245" s="29">
        <f ca="1">SUM($M$12:M245)</f>
        <v>1019428.490429999</v>
      </c>
      <c r="R245" s="29">
        <f t="shared" ca="1" si="60"/>
        <v>1852096.8222029423</v>
      </c>
      <c r="S245" s="29">
        <f t="shared" ca="1" si="61"/>
        <v>3039283.1824369626</v>
      </c>
    </row>
    <row r="246" spans="2:19" x14ac:dyDescent="0.25">
      <c r="B246" s="12">
        <f t="shared" ca="1" si="52"/>
        <v>4</v>
      </c>
      <c r="C246" s="28">
        <f t="shared" ca="1" si="53"/>
        <v>19</v>
      </c>
      <c r="D246" s="45">
        <f t="shared" ca="1" si="54"/>
        <v>160.63061593259482</v>
      </c>
      <c r="E246" s="46">
        <f t="shared" ca="1" si="55"/>
        <v>2.8806224605950705E-2</v>
      </c>
      <c r="F246" s="21">
        <f t="shared" ca="1" si="56"/>
        <v>53236</v>
      </c>
      <c r="G246" s="47">
        <f t="shared" ca="1" si="57"/>
        <v>0.38559680009554415</v>
      </c>
      <c r="H246" s="29">
        <f t="shared" si="49"/>
        <v>3000</v>
      </c>
      <c r="I246" s="42">
        <f t="shared" ca="1" si="58"/>
        <v>11568.054068968358</v>
      </c>
      <c r="J246" s="42">
        <f t="shared" ca="1" si="59"/>
        <v>19016.615031056699</v>
      </c>
      <c r="L246" s="29">
        <f t="shared" ca="1" si="50"/>
        <v>4460.6046323264381</v>
      </c>
      <c r="M246" s="29">
        <f t="shared" ca="1" si="51"/>
        <v>7332.7459046242902</v>
      </c>
      <c r="O246" s="29">
        <f ca="1">SUM($L$12:L246)</f>
        <v>753959.84041569033</v>
      </c>
      <c r="P246" s="29">
        <f ca="1">SUM($M$12:M246)</f>
        <v>1026761.2363346233</v>
      </c>
      <c r="R246" s="29">
        <f t="shared" ca="1" si="60"/>
        <v>1858183.6502399473</v>
      </c>
      <c r="S246" s="29">
        <f t="shared" ca="1" si="61"/>
        <v>3054650.5853916784</v>
      </c>
    </row>
    <row r="247" spans="2:19" x14ac:dyDescent="0.25">
      <c r="B247" s="12">
        <f t="shared" ca="1" si="52"/>
        <v>4</v>
      </c>
      <c r="C247" s="28">
        <f t="shared" ca="1" si="53"/>
        <v>19</v>
      </c>
      <c r="D247" s="45">
        <f t="shared" ca="1" si="54"/>
        <v>160.89833362581581</v>
      </c>
      <c r="E247" s="46">
        <f t="shared" ca="1" si="55"/>
        <v>2.8782259360854233E-2</v>
      </c>
      <c r="F247" s="21">
        <f t="shared" ca="1" si="56"/>
        <v>53267</v>
      </c>
      <c r="G247" s="47">
        <f t="shared" ca="1" si="57"/>
        <v>0.38591813076229042</v>
      </c>
      <c r="H247" s="29">
        <f t="shared" si="49"/>
        <v>3000</v>
      </c>
      <c r="I247" s="42">
        <f t="shared" ca="1" si="58"/>
        <v>11586.699383263389</v>
      </c>
      <c r="J247" s="42">
        <f t="shared" ca="1" si="59"/>
        <v>19080.834129364168</v>
      </c>
      <c r="L247" s="29">
        <f t="shared" ca="1" si="50"/>
        <v>4471.5173676935901</v>
      </c>
      <c r="M247" s="29">
        <f t="shared" ca="1" si="51"/>
        <v>7363.6398405895352</v>
      </c>
      <c r="O247" s="29">
        <f ca="1">SUM($L$12:L247)</f>
        <v>758431.35778338392</v>
      </c>
      <c r="P247" s="29">
        <f ca="1">SUM($M$12:M247)</f>
        <v>1034124.8761752128</v>
      </c>
      <c r="R247" s="29">
        <f t="shared" ca="1" si="60"/>
        <v>1864280.622990347</v>
      </c>
      <c r="S247" s="29">
        <f t="shared" ca="1" si="61"/>
        <v>3070074.4156052885</v>
      </c>
    </row>
    <row r="248" spans="2:19" x14ac:dyDescent="0.25">
      <c r="B248" s="12">
        <f t="shared" ca="1" si="52"/>
        <v>4</v>
      </c>
      <c r="C248" s="28">
        <f t="shared" ca="1" si="53"/>
        <v>19</v>
      </c>
      <c r="D248" s="45">
        <f t="shared" ca="1" si="54"/>
        <v>161.16649751519216</v>
      </c>
      <c r="E248" s="46">
        <f t="shared" ca="1" si="55"/>
        <v>2.8758314053565673E-2</v>
      </c>
      <c r="F248" s="21">
        <f t="shared" ca="1" si="56"/>
        <v>53297</v>
      </c>
      <c r="G248" s="47">
        <f t="shared" ca="1" si="57"/>
        <v>0.38623972920459232</v>
      </c>
      <c r="H248" s="29">
        <f t="shared" si="49"/>
        <v>3000</v>
      </c>
      <c r="I248" s="42">
        <f t="shared" ca="1" si="58"/>
        <v>11605.313673740957</v>
      </c>
      <c r="J248" s="42">
        <f t="shared" ca="1" si="59"/>
        <v>19145.13806349671</v>
      </c>
      <c r="L248" s="29">
        <f t="shared" ca="1" si="50"/>
        <v>4482.4332106800593</v>
      </c>
      <c r="M248" s="29">
        <f t="shared" ca="1" si="51"/>
        <v>7394.6129412295022</v>
      </c>
      <c r="O248" s="29">
        <f ca="1">SUM($L$12:L248)</f>
        <v>762913.79099406395</v>
      </c>
      <c r="P248" s="29">
        <f ca="1">SUM($M$12:M248)</f>
        <v>1041519.4891164423</v>
      </c>
      <c r="R248" s="29">
        <f t="shared" ca="1" si="60"/>
        <v>1870387.7573619976</v>
      </c>
      <c r="S248" s="29">
        <f t="shared" ca="1" si="61"/>
        <v>3085554.8461385532</v>
      </c>
    </row>
    <row r="249" spans="2:19" x14ac:dyDescent="0.25">
      <c r="B249" s="12">
        <f t="shared" ca="1" si="52"/>
        <v>1</v>
      </c>
      <c r="C249" s="28">
        <f t="shared" ca="1" si="53"/>
        <v>20</v>
      </c>
      <c r="D249" s="45">
        <f t="shared" ca="1" si="54"/>
        <v>161.43510834438416</v>
      </c>
      <c r="E249" s="46">
        <f t="shared" ca="1" si="55"/>
        <v>2.8734388667497814E-2</v>
      </c>
      <c r="F249" s="21">
        <f t="shared" ca="1" si="56"/>
        <v>53328</v>
      </c>
      <c r="G249" s="47">
        <f t="shared" ca="1" si="57"/>
        <v>0.38656159564559617</v>
      </c>
      <c r="H249" s="29">
        <f t="shared" si="49"/>
        <v>3000</v>
      </c>
      <c r="I249" s="42">
        <f t="shared" ca="1" si="58"/>
        <v>11623.896992021391</v>
      </c>
      <c r="J249" s="42">
        <f t="shared" ca="1" si="59"/>
        <v>19209.526863726303</v>
      </c>
      <c r="L249" s="29">
        <f t="shared" ca="1" si="50"/>
        <v>4493.3521688558349</v>
      </c>
      <c r="M249" s="29">
        <f t="shared" ca="1" si="51"/>
        <v>7425.6653560389841</v>
      </c>
      <c r="O249" s="29">
        <f ca="1">SUM($L$12:L249)</f>
        <v>767407.14316291979</v>
      </c>
      <c r="P249" s="29">
        <f ca="1">SUM($M$12:M249)</f>
        <v>1048945.1544724812</v>
      </c>
      <c r="R249" s="29">
        <f t="shared" ca="1" si="60"/>
        <v>1876505.0702909345</v>
      </c>
      <c r="S249" s="29">
        <f t="shared" ca="1" si="61"/>
        <v>3101092.0504900138</v>
      </c>
    </row>
    <row r="250" spans="2:19" x14ac:dyDescent="0.25">
      <c r="B250" s="12">
        <f t="shared" ca="1" si="52"/>
        <v>1</v>
      </c>
      <c r="C250" s="28">
        <f t="shared" ca="1" si="53"/>
        <v>20</v>
      </c>
      <c r="D250" s="45">
        <f t="shared" ca="1" si="54"/>
        <v>161.70416685829147</v>
      </c>
      <c r="E250" s="46">
        <f t="shared" ca="1" si="55"/>
        <v>2.8710483186077267E-2</v>
      </c>
      <c r="F250" s="21">
        <f t="shared" ca="1" si="56"/>
        <v>53359</v>
      </c>
      <c r="G250" s="47">
        <f t="shared" ca="1" si="57"/>
        <v>0.38688373030863416</v>
      </c>
      <c r="H250" s="29">
        <f t="shared" si="49"/>
        <v>3000</v>
      </c>
      <c r="I250" s="42">
        <f t="shared" ca="1" si="58"/>
        <v>11642.449389639129</v>
      </c>
      <c r="J250" s="42">
        <f t="shared" ca="1" si="59"/>
        <v>19274.000560097873</v>
      </c>
      <c r="L250" s="29">
        <f t="shared" ca="1" si="50"/>
        <v>4504.2742497930667</v>
      </c>
      <c r="M250" s="29">
        <f t="shared" ca="1" si="51"/>
        <v>7456.7972346613687</v>
      </c>
      <c r="O250" s="29">
        <f ca="1">SUM($L$12:L250)</f>
        <v>771911.41741271282</v>
      </c>
      <c r="P250" s="29">
        <f ca="1">SUM($M$12:M250)</f>
        <v>1056401.9517071426</v>
      </c>
      <c r="R250" s="29">
        <f t="shared" ca="1" si="60"/>
        <v>1882632.5787414194</v>
      </c>
      <c r="S250" s="29">
        <f t="shared" ca="1" si="61"/>
        <v>3116686.2025968698</v>
      </c>
    </row>
    <row r="251" spans="2:19" x14ac:dyDescent="0.25">
      <c r="B251" s="12">
        <f t="shared" ca="1" si="52"/>
        <v>1</v>
      </c>
      <c r="C251" s="28">
        <f t="shared" ca="1" si="53"/>
        <v>20</v>
      </c>
      <c r="D251" s="45">
        <f t="shared" ca="1" si="54"/>
        <v>161.97367380305531</v>
      </c>
      <c r="E251" s="46">
        <f t="shared" ca="1" si="55"/>
        <v>2.8686597592744421E-2</v>
      </c>
      <c r="F251" s="21">
        <f t="shared" ca="1" si="56"/>
        <v>53387</v>
      </c>
      <c r="G251" s="47">
        <f t="shared" ca="1" si="57"/>
        <v>0.38720613341722471</v>
      </c>
      <c r="H251" s="29">
        <f t="shared" si="49"/>
        <v>3000</v>
      </c>
      <c r="I251" s="42">
        <f t="shared" ca="1" si="58"/>
        <v>11660.97091804286</v>
      </c>
      <c r="J251" s="42">
        <f t="shared" ca="1" si="59"/>
        <v>19338.559182429151</v>
      </c>
      <c r="L251" s="29">
        <f t="shared" ca="1" si="50"/>
        <v>4515.1994610660813</v>
      </c>
      <c r="M251" s="29">
        <f t="shared" ca="1" si="51"/>
        <v>7488.0087268885582</v>
      </c>
      <c r="O251" s="29">
        <f ca="1">SUM($L$12:L251)</f>
        <v>776426.61687377887</v>
      </c>
      <c r="P251" s="29">
        <f ca="1">SUM($M$12:M251)</f>
        <v>1063889.9604340312</v>
      </c>
      <c r="R251" s="29">
        <f t="shared" ca="1" si="60"/>
        <v>1888770.2997059885</v>
      </c>
      <c r="S251" s="29">
        <f t="shared" ca="1" si="61"/>
        <v>3132337.4768358595</v>
      </c>
    </row>
    <row r="252" spans="2:19" x14ac:dyDescent="0.25">
      <c r="B252" s="12">
        <f t="shared" ca="1" si="52"/>
        <v>2</v>
      </c>
      <c r="C252" s="28">
        <f t="shared" ca="1" si="53"/>
        <v>20</v>
      </c>
      <c r="D252" s="45">
        <f t="shared" ca="1" si="54"/>
        <v>162.24362992606041</v>
      </c>
      <c r="E252" s="46">
        <f t="shared" ca="1" si="55"/>
        <v>2.8662731870953449E-2</v>
      </c>
      <c r="F252" s="21">
        <f t="shared" ca="1" si="56"/>
        <v>53418</v>
      </c>
      <c r="G252" s="47">
        <f t="shared" ca="1" si="57"/>
        <v>0.38752880519507238</v>
      </c>
      <c r="H252" s="29">
        <f t="shared" si="49"/>
        <v>3000</v>
      </c>
      <c r="I252" s="42">
        <f t="shared" ca="1" si="58"/>
        <v>11679.461628595669</v>
      </c>
      <c r="J252" s="42">
        <f t="shared" ca="1" si="59"/>
        <v>19403.202760310563</v>
      </c>
      <c r="L252" s="29">
        <f t="shared" ca="1" si="50"/>
        <v>4526.1278102513734</v>
      </c>
      <c r="M252" s="29">
        <f t="shared" ca="1" si="51"/>
        <v>7519.299982660883</v>
      </c>
      <c r="O252" s="29">
        <f ca="1">SUM($L$12:L252)</f>
        <v>780952.74468403019</v>
      </c>
      <c r="P252" s="29">
        <f ca="1">SUM($M$12:M252)</f>
        <v>1071409.2604166921</v>
      </c>
      <c r="R252" s="29">
        <f t="shared" ca="1" si="60"/>
        <v>1894918.2502054984</v>
      </c>
      <c r="S252" s="29">
        <f t="shared" ca="1" si="61"/>
        <v>3148046.0480241408</v>
      </c>
    </row>
    <row r="253" spans="2:19" x14ac:dyDescent="0.25">
      <c r="B253" s="12">
        <f t="shared" ca="1" si="52"/>
        <v>2</v>
      </c>
      <c r="C253" s="28">
        <f t="shared" ca="1" si="53"/>
        <v>20</v>
      </c>
      <c r="D253" s="45">
        <f t="shared" ca="1" si="54"/>
        <v>162.51403597593719</v>
      </c>
      <c r="E253" s="46">
        <f t="shared" ca="1" si="55"/>
        <v>2.8638886004172286E-2</v>
      </c>
      <c r="F253" s="21">
        <f t="shared" ca="1" si="56"/>
        <v>53448</v>
      </c>
      <c r="G253" s="47">
        <f t="shared" ca="1" si="57"/>
        <v>0.3878517458660683</v>
      </c>
      <c r="H253" s="29">
        <f t="shared" si="49"/>
        <v>3000</v>
      </c>
      <c r="I253" s="42">
        <f t="shared" ca="1" si="58"/>
        <v>11697.92157257518</v>
      </c>
      <c r="J253" s="42">
        <f t="shared" ca="1" si="59"/>
        <v>19467.931323105095</v>
      </c>
      <c r="L253" s="29">
        <f t="shared" ca="1" si="50"/>
        <v>4537.0593049276267</v>
      </c>
      <c r="M253" s="29">
        <f t="shared" ca="1" si="51"/>
        <v>7550.6711520670278</v>
      </c>
      <c r="O253" s="29">
        <f ca="1">SUM($L$12:L253)</f>
        <v>785489.80398895778</v>
      </c>
      <c r="P253" s="29">
        <f ca="1">SUM($M$12:M253)</f>
        <v>1078959.9315687593</v>
      </c>
      <c r="R253" s="29">
        <f t="shared" ca="1" si="60"/>
        <v>1901076.4472891747</v>
      </c>
      <c r="S253" s="29">
        <f t="shared" ca="1" si="61"/>
        <v>3163812.091420176</v>
      </c>
    </row>
    <row r="254" spans="2:19" x14ac:dyDescent="0.25">
      <c r="B254" s="12">
        <f t="shared" ca="1" si="52"/>
        <v>2</v>
      </c>
      <c r="C254" s="28">
        <f t="shared" ca="1" si="53"/>
        <v>20</v>
      </c>
      <c r="D254" s="45">
        <f t="shared" ca="1" si="54"/>
        <v>162.78489270256375</v>
      </c>
      <c r="E254" s="46">
        <f t="shared" ca="1" si="55"/>
        <v>2.861505997588263E-2</v>
      </c>
      <c r="F254" s="21">
        <f t="shared" ca="1" si="56"/>
        <v>53479</v>
      </c>
      <c r="G254" s="47">
        <f t="shared" ca="1" si="57"/>
        <v>0.38817495565429</v>
      </c>
      <c r="H254" s="29">
        <f t="shared" si="49"/>
        <v>3000</v>
      </c>
      <c r="I254" s="42">
        <f t="shared" ca="1" si="58"/>
        <v>11716.350801173694</v>
      </c>
      <c r="J254" s="42">
        <f t="shared" ca="1" si="59"/>
        <v>19532.744899948157</v>
      </c>
      <c r="L254" s="29">
        <f t="shared" ca="1" si="50"/>
        <v>4547.9939526757034</v>
      </c>
      <c r="M254" s="29">
        <f t="shared" ca="1" si="51"/>
        <v>7582.1223853439351</v>
      </c>
      <c r="O254" s="29">
        <f ca="1">SUM($L$12:L254)</f>
        <v>790037.7979416335</v>
      </c>
      <c r="P254" s="29">
        <f ca="1">SUM($M$12:M254)</f>
        <v>1086542.0539541033</v>
      </c>
      <c r="R254" s="29">
        <f t="shared" ca="1" si="60"/>
        <v>1907244.9080346567</v>
      </c>
      <c r="S254" s="29">
        <f t="shared" ca="1" si="61"/>
        <v>3179635.7827246101</v>
      </c>
    </row>
    <row r="255" spans="2:19" x14ac:dyDescent="0.25">
      <c r="B255" s="12">
        <f t="shared" ca="1" si="52"/>
        <v>3</v>
      </c>
      <c r="C255" s="28">
        <f t="shared" ca="1" si="53"/>
        <v>20</v>
      </c>
      <c r="D255" s="45">
        <f t="shared" ca="1" si="54"/>
        <v>163.05620085706803</v>
      </c>
      <c r="E255" s="46">
        <f t="shared" ca="1" si="55"/>
        <v>2.8591253769579897E-2</v>
      </c>
      <c r="F255" s="21">
        <f t="shared" ca="1" si="56"/>
        <v>53509</v>
      </c>
      <c r="G255" s="47">
        <f t="shared" ca="1" si="57"/>
        <v>0.38849843478400192</v>
      </c>
      <c r="H255" s="29">
        <f t="shared" si="49"/>
        <v>3000</v>
      </c>
      <c r="I255" s="42">
        <f t="shared" ca="1" si="58"/>
        <v>11734.749365498334</v>
      </c>
      <c r="J255" s="42">
        <f t="shared" ca="1" si="59"/>
        <v>19597.643519747475</v>
      </c>
      <c r="L255" s="29">
        <f t="shared" ca="1" si="50"/>
        <v>4558.931761078662</v>
      </c>
      <c r="M255" s="29">
        <f t="shared" ca="1" si="51"/>
        <v>7613.6538328767319</v>
      </c>
      <c r="O255" s="29">
        <f ca="1">SUM($L$12:L255)</f>
        <v>794596.72970271215</v>
      </c>
      <c r="P255" s="29">
        <f ca="1">SUM($M$12:M255)</f>
        <v>1094155.7077869801</v>
      </c>
      <c r="R255" s="29">
        <f t="shared" ca="1" si="60"/>
        <v>1913423.6495480479</v>
      </c>
      <c r="S255" s="29">
        <f t="shared" ca="1" si="61"/>
        <v>3195517.2980811619</v>
      </c>
    </row>
    <row r="256" spans="2:19" x14ac:dyDescent="0.25">
      <c r="B256" s="12">
        <f t="shared" ca="1" si="52"/>
        <v>3</v>
      </c>
      <c r="C256" s="28">
        <f t="shared" ca="1" si="53"/>
        <v>20</v>
      </c>
      <c r="D256" s="45">
        <f t="shared" ca="1" si="54"/>
        <v>163.32796119182981</v>
      </c>
      <c r="E256" s="46">
        <f t="shared" ca="1" si="55"/>
        <v>2.8567467368773258E-2</v>
      </c>
      <c r="F256" s="21">
        <f t="shared" ca="1" si="56"/>
        <v>53540</v>
      </c>
      <c r="G256" s="47">
        <f t="shared" ca="1" si="57"/>
        <v>0.38882218347965525</v>
      </c>
      <c r="H256" s="29">
        <f t="shared" si="49"/>
        <v>3000</v>
      </c>
      <c r="I256" s="42">
        <f t="shared" ca="1" si="58"/>
        <v>11753.117316571184</v>
      </c>
      <c r="J256" s="42">
        <f t="shared" ca="1" si="59"/>
        <v>19662.62721118296</v>
      </c>
      <c r="L256" s="29">
        <f t="shared" ca="1" si="50"/>
        <v>4569.8727377217547</v>
      </c>
      <c r="M256" s="29">
        <f t="shared" ca="1" si="51"/>
        <v>7645.2656451986431</v>
      </c>
      <c r="O256" s="29">
        <f ca="1">SUM($L$12:L256)</f>
        <v>799166.60244043393</v>
      </c>
      <c r="P256" s="29">
        <f ca="1">SUM($M$12:M256)</f>
        <v>1101800.9734321788</v>
      </c>
      <c r="R256" s="29">
        <f t="shared" ca="1" si="60"/>
        <v>1919612.6889639613</v>
      </c>
      <c r="S256" s="29">
        <f t="shared" ca="1" si="61"/>
        <v>3211456.8140775072</v>
      </c>
    </row>
    <row r="257" spans="2:19" x14ac:dyDescent="0.25">
      <c r="B257" s="12">
        <f t="shared" ca="1" si="52"/>
        <v>3</v>
      </c>
      <c r="C257" s="28">
        <f t="shared" ca="1" si="53"/>
        <v>20</v>
      </c>
      <c r="D257" s="45">
        <f t="shared" ca="1" si="54"/>
        <v>163.60017446048286</v>
      </c>
      <c r="E257" s="46">
        <f t="shared" ca="1" si="55"/>
        <v>2.8543700756985594E-2</v>
      </c>
      <c r="F257" s="21">
        <f t="shared" ca="1" si="56"/>
        <v>53571</v>
      </c>
      <c r="G257" s="47">
        <f t="shared" ca="1" si="57"/>
        <v>0.38914620196588828</v>
      </c>
      <c r="H257" s="29">
        <f t="shared" si="49"/>
        <v>3000</v>
      </c>
      <c r="I257" s="42">
        <f t="shared" ca="1" si="58"/>
        <v>11771.454705329437</v>
      </c>
      <c r="J257" s="42">
        <f t="shared" ca="1" si="59"/>
        <v>19727.696002706591</v>
      </c>
      <c r="L257" s="29">
        <f t="shared" ca="1" si="50"/>
        <v>4580.8168901924355</v>
      </c>
      <c r="M257" s="29">
        <f t="shared" ca="1" si="51"/>
        <v>7676.9579729909055</v>
      </c>
      <c r="O257" s="29">
        <f ca="1">SUM($L$12:L257)</f>
        <v>803747.41933062638</v>
      </c>
      <c r="P257" s="29">
        <f ca="1">SUM($M$12:M257)</f>
        <v>1109477.9314051697</v>
      </c>
      <c r="R257" s="29">
        <f t="shared" ca="1" si="60"/>
        <v>1925812.0434455678</v>
      </c>
      <c r="S257" s="29">
        <f t="shared" ca="1" si="61"/>
        <v>3227454.5077461684</v>
      </c>
    </row>
    <row r="258" spans="2:19" x14ac:dyDescent="0.25">
      <c r="B258" s="12">
        <f t="shared" ca="1" si="52"/>
        <v>4</v>
      </c>
      <c r="C258" s="28">
        <f t="shared" ca="1" si="53"/>
        <v>20</v>
      </c>
      <c r="D258" s="45">
        <f t="shared" ca="1" si="54"/>
        <v>163.87284141791702</v>
      </c>
      <c r="E258" s="46">
        <f t="shared" ca="1" si="55"/>
        <v>2.8519953917753485E-2</v>
      </c>
      <c r="F258" s="21">
        <f t="shared" ca="1" si="56"/>
        <v>53601</v>
      </c>
      <c r="G258" s="47">
        <f t="shared" ca="1" si="57"/>
        <v>0.38947049046752652</v>
      </c>
      <c r="H258" s="29">
        <f t="shared" si="49"/>
        <v>3000</v>
      </c>
      <c r="I258" s="42">
        <f t="shared" ca="1" si="58"/>
        <v>11789.761582625531</v>
      </c>
      <c r="J258" s="42">
        <f t="shared" ca="1" si="59"/>
        <v>19792.849922542289</v>
      </c>
      <c r="L258" s="29">
        <f t="shared" ca="1" si="50"/>
        <v>4591.7642260803677</v>
      </c>
      <c r="M258" s="29">
        <f t="shared" ca="1" si="51"/>
        <v>7708.7309670826899</v>
      </c>
      <c r="O258" s="29">
        <f ca="1">SUM($L$12:L258)</f>
        <v>808339.18355670676</v>
      </c>
      <c r="P258" s="29">
        <f ca="1">SUM($M$12:M258)</f>
        <v>1117186.6623722524</v>
      </c>
      <c r="R258" s="29">
        <f t="shared" ca="1" si="60"/>
        <v>1932021.730184644</v>
      </c>
      <c r="S258" s="29">
        <f t="shared" ca="1" si="61"/>
        <v>3243510.5565654035</v>
      </c>
    </row>
    <row r="259" spans="2:19" x14ac:dyDescent="0.25">
      <c r="B259" s="12">
        <f t="shared" ca="1" si="52"/>
        <v>4</v>
      </c>
      <c r="C259" s="28">
        <f t="shared" ca="1" si="53"/>
        <v>20</v>
      </c>
      <c r="D259" s="45">
        <f t="shared" ca="1" si="54"/>
        <v>164.1459628202802</v>
      </c>
      <c r="E259" s="46">
        <f t="shared" ca="1" si="55"/>
        <v>2.8496226834627238E-2</v>
      </c>
      <c r="F259" s="21">
        <f t="shared" ca="1" si="56"/>
        <v>53632</v>
      </c>
      <c r="G259" s="47">
        <f t="shared" ca="1" si="57"/>
        <v>0.3897950492095828</v>
      </c>
      <c r="H259" s="29">
        <f t="shared" si="49"/>
        <v>3000</v>
      </c>
      <c r="I259" s="42">
        <f t="shared" ca="1" si="58"/>
        <v>11808.037999227288</v>
      </c>
      <c r="J259" s="42">
        <f t="shared" ca="1" si="59"/>
        <v>19858.088998685802</v>
      </c>
      <c r="L259" s="29">
        <f t="shared" ca="1" si="50"/>
        <v>4602.7147529774247</v>
      </c>
      <c r="M259" s="29">
        <f t="shared" ca="1" si="51"/>
        <v>7740.584778451007</v>
      </c>
      <c r="O259" s="29">
        <f ca="1">SUM($L$12:L259)</f>
        <v>812941.89830968424</v>
      </c>
      <c r="P259" s="29">
        <f ca="1">SUM($M$12:M259)</f>
        <v>1124927.2471507033</v>
      </c>
      <c r="R259" s="29">
        <f t="shared" ca="1" si="60"/>
        <v>1938241.7664016183</v>
      </c>
      <c r="S259" s="29">
        <f t="shared" ca="1" si="61"/>
        <v>3259625.138460095</v>
      </c>
    </row>
    <row r="260" spans="2:19" x14ac:dyDescent="0.25">
      <c r="B260" s="12">
        <f t="shared" ca="1" si="52"/>
        <v>4</v>
      </c>
      <c r="C260" s="28">
        <f t="shared" ca="1" si="53"/>
        <v>20</v>
      </c>
      <c r="D260" s="45">
        <f t="shared" ca="1" si="54"/>
        <v>164.41953942498068</v>
      </c>
      <c r="E260" s="46">
        <f t="shared" ca="1" si="55"/>
        <v>2.8472519491170804E-2</v>
      </c>
      <c r="F260" s="21">
        <f t="shared" ca="1" si="56"/>
        <v>53662</v>
      </c>
      <c r="G260" s="47">
        <f t="shared" ca="1" si="57"/>
        <v>0.39011987841725743</v>
      </c>
      <c r="H260" s="29">
        <f t="shared" si="49"/>
        <v>3000</v>
      </c>
      <c r="I260" s="42">
        <f t="shared" ca="1" si="58"/>
        <v>11826.284005818061</v>
      </c>
      <c r="J260" s="42">
        <f t="shared" ca="1" si="59"/>
        <v>19923.413258904591</v>
      </c>
      <c r="L260" s="29">
        <f t="shared" ca="1" si="50"/>
        <v>4613.668478477698</v>
      </c>
      <c r="M260" s="29">
        <f t="shared" ca="1" si="51"/>
        <v>7772.5195582206334</v>
      </c>
      <c r="O260" s="29">
        <f ca="1">SUM($L$12:L260)</f>
        <v>817555.56678816199</v>
      </c>
      <c r="P260" s="29">
        <f ca="1">SUM($M$12:M260)</f>
        <v>1132699.766708924</v>
      </c>
      <c r="R260" s="29">
        <f t="shared" ca="1" si="60"/>
        <v>1944472.1693456213</v>
      </c>
      <c r="S260" s="29">
        <f t="shared" ca="1" si="61"/>
        <v>3275798.4318026463</v>
      </c>
    </row>
    <row r="261" spans="2:19" x14ac:dyDescent="0.25">
      <c r="B261" s="12">
        <f t="shared" ca="1" si="52"/>
        <v>1</v>
      </c>
      <c r="C261" s="28">
        <f t="shared" ca="1" si="53"/>
        <v>21</v>
      </c>
      <c r="D261" s="45">
        <f t="shared" ca="1" si="54"/>
        <v>164.69357199068898</v>
      </c>
      <c r="E261" s="46">
        <f t="shared" ca="1" si="55"/>
        <v>2.8448831870961845E-2</v>
      </c>
      <c r="F261" s="21">
        <f t="shared" ca="1" si="56"/>
        <v>53693</v>
      </c>
      <c r="G261" s="47">
        <f t="shared" ca="1" si="57"/>
        <v>0.3904449783159385</v>
      </c>
      <c r="H261" s="29">
        <f t="shared" si="49"/>
        <v>3000</v>
      </c>
      <c r="I261" s="42">
        <f t="shared" ca="1" si="58"/>
        <v>11844.499652996868</v>
      </c>
      <c r="J261" s="42">
        <f t="shared" ca="1" si="59"/>
        <v>19988.822730737709</v>
      </c>
      <c r="L261" s="29">
        <f t="shared" ca="1" si="50"/>
        <v>4624.625410177503</v>
      </c>
      <c r="M261" s="29">
        <f t="shared" ca="1" si="51"/>
        <v>7804.5354576640229</v>
      </c>
      <c r="O261" s="29">
        <f ca="1">SUM($L$12:L261)</f>
        <v>822180.1921983395</v>
      </c>
      <c r="P261" s="29">
        <f ca="1">SUM($M$12:M261)</f>
        <v>1140504.3021665879</v>
      </c>
      <c r="R261" s="29">
        <f t="shared" ca="1" si="60"/>
        <v>1950712.9562945303</v>
      </c>
      <c r="S261" s="29">
        <f t="shared" ca="1" si="61"/>
        <v>3292030.6154138711</v>
      </c>
    </row>
    <row r="262" spans="2:19" x14ac:dyDescent="0.25">
      <c r="B262" s="12">
        <f t="shared" ca="1" si="52"/>
        <v>1</v>
      </c>
      <c r="C262" s="28">
        <f t="shared" ca="1" si="53"/>
        <v>21</v>
      </c>
      <c r="D262" s="45">
        <f t="shared" ca="1" si="54"/>
        <v>164.96806127734013</v>
      </c>
      <c r="E262" s="46">
        <f t="shared" ca="1" si="55"/>
        <v>2.8425163957591662E-2</v>
      </c>
      <c r="F262" s="21">
        <f t="shared" ca="1" si="56"/>
        <v>53724</v>
      </c>
      <c r="G262" s="47">
        <f t="shared" ca="1" si="57"/>
        <v>0.39077034913120179</v>
      </c>
      <c r="H262" s="29">
        <f t="shared" si="49"/>
        <v>3000</v>
      </c>
      <c r="I262" s="42">
        <f t="shared" ca="1" si="58"/>
        <v>11862.68499127854</v>
      </c>
      <c r="J262" s="42">
        <f t="shared" ca="1" si="59"/>
        <v>20054.317441495688</v>
      </c>
      <c r="L262" s="29">
        <f t="shared" ca="1" si="50"/>
        <v>4635.5855556753822</v>
      </c>
      <c r="M262" s="29">
        <f t="shared" ca="1" si="51"/>
        <v>7836.6326282012196</v>
      </c>
      <c r="O262" s="29">
        <f ca="1">SUM($L$12:L262)</f>
        <v>826815.77775401494</v>
      </c>
      <c r="P262" s="29">
        <f ca="1">SUM($M$12:M262)</f>
        <v>1148340.9347947892</v>
      </c>
      <c r="R262" s="29">
        <f t="shared" ca="1" si="60"/>
        <v>1956964.1445550213</v>
      </c>
      <c r="S262" s="29">
        <f t="shared" ca="1" si="61"/>
        <v>3308321.8685638914</v>
      </c>
    </row>
    <row r="263" spans="2:19" x14ac:dyDescent="0.25">
      <c r="B263" s="12">
        <f t="shared" ca="1" si="52"/>
        <v>1</v>
      </c>
      <c r="C263" s="28">
        <f t="shared" ca="1" si="53"/>
        <v>21</v>
      </c>
      <c r="D263" s="45">
        <f t="shared" ca="1" si="54"/>
        <v>165.24300804613571</v>
      </c>
      <c r="E263" s="46">
        <f t="shared" ca="1" si="55"/>
        <v>2.8401515734665213E-2</v>
      </c>
      <c r="F263" s="21">
        <f t="shared" ca="1" si="56"/>
        <v>53752</v>
      </c>
      <c r="G263" s="47">
        <f t="shared" ca="1" si="57"/>
        <v>0.3910959910888111</v>
      </c>
      <c r="H263" s="29">
        <f t="shared" si="49"/>
        <v>3000</v>
      </c>
      <c r="I263" s="42">
        <f t="shared" ca="1" si="58"/>
        <v>11880.840071093853</v>
      </c>
      <c r="J263" s="42">
        <f t="shared" ca="1" si="59"/>
        <v>20119.897418260429</v>
      </c>
      <c r="L263" s="29">
        <f t="shared" ca="1" si="50"/>
        <v>4646.5489225721112</v>
      </c>
      <c r="M263" s="29">
        <f t="shared" ca="1" si="51"/>
        <v>7868.8112213997738</v>
      </c>
      <c r="O263" s="29">
        <f ca="1">SUM($L$12:L263)</f>
        <v>831462.32667658711</v>
      </c>
      <c r="P263" s="29">
        <f ca="1">SUM($M$12:M263)</f>
        <v>1156209.746016189</v>
      </c>
      <c r="R263" s="29">
        <f t="shared" ca="1" si="60"/>
        <v>1963225.7514626132</v>
      </c>
      <c r="S263" s="29">
        <f t="shared" ca="1" si="61"/>
        <v>3324672.3709730334</v>
      </c>
    </row>
    <row r="264" spans="2:19" x14ac:dyDescent="0.25">
      <c r="B264" s="12">
        <f t="shared" ca="1" si="52"/>
        <v>2</v>
      </c>
      <c r="C264" s="28">
        <f t="shared" ca="1" si="53"/>
        <v>21</v>
      </c>
      <c r="D264" s="45">
        <f t="shared" ca="1" si="54"/>
        <v>165.51841305954594</v>
      </c>
      <c r="E264" s="46">
        <f t="shared" ca="1" si="55"/>
        <v>2.8377887185801098E-2</v>
      </c>
      <c r="F264" s="21">
        <f t="shared" ca="1" si="56"/>
        <v>53783</v>
      </c>
      <c r="G264" s="47">
        <f t="shared" ca="1" si="57"/>
        <v>0.39142190441471847</v>
      </c>
      <c r="H264" s="29">
        <f t="shared" si="49"/>
        <v>3000</v>
      </c>
      <c r="I264" s="42">
        <f t="shared" ca="1" si="58"/>
        <v>11898.964942789673</v>
      </c>
      <c r="J264" s="42">
        <f t="shared" ca="1" si="59"/>
        <v>20185.562687885082</v>
      </c>
      <c r="L264" s="29">
        <f t="shared" ca="1" si="50"/>
        <v>4657.5155184707055</v>
      </c>
      <c r="M264" s="29">
        <f t="shared" ca="1" si="51"/>
        <v>7901.0713889746621</v>
      </c>
      <c r="O264" s="29">
        <f ca="1">SUM($L$12:L264)</f>
        <v>836119.84219505778</v>
      </c>
      <c r="P264" s="29">
        <f ca="1">SUM($M$12:M264)</f>
        <v>1164110.8174051635</v>
      </c>
      <c r="R264" s="29">
        <f t="shared" ca="1" si="60"/>
        <v>1969497.7943817175</v>
      </c>
      <c r="S264" s="29">
        <f t="shared" ca="1" si="61"/>
        <v>3341082.3028127211</v>
      </c>
    </row>
    <row r="265" spans="2:19" x14ac:dyDescent="0.25">
      <c r="B265" s="12">
        <f t="shared" ca="1" si="52"/>
        <v>2</v>
      </c>
      <c r="C265" s="28">
        <f t="shared" ca="1" si="53"/>
        <v>21</v>
      </c>
      <c r="D265" s="45">
        <f t="shared" ca="1" si="54"/>
        <v>165.79427708131186</v>
      </c>
      <c r="E265" s="46">
        <f t="shared" ca="1" si="55"/>
        <v>2.8354278294631545E-2</v>
      </c>
      <c r="F265" s="21">
        <f t="shared" ca="1" si="56"/>
        <v>53813</v>
      </c>
      <c r="G265" s="47">
        <f t="shared" ca="1" si="57"/>
        <v>0.39174808933506405</v>
      </c>
      <c r="H265" s="29">
        <f t="shared" si="49"/>
        <v>3000</v>
      </c>
      <c r="I265" s="42">
        <f t="shared" ca="1" si="58"/>
        <v>11917.059656629093</v>
      </c>
      <c r="J265" s="42">
        <f t="shared" ca="1" si="59"/>
        <v>20251.313276993948</v>
      </c>
      <c r="L265" s="29">
        <f t="shared" ca="1" si="50"/>
        <v>4668.4853509764216</v>
      </c>
      <c r="M265" s="29">
        <f t="shared" ca="1" si="51"/>
        <v>7933.413282788194</v>
      </c>
      <c r="O265" s="29">
        <f ca="1">SUM($L$12:L265)</f>
        <v>840788.32754603424</v>
      </c>
      <c r="P265" s="29">
        <f ca="1">SUM($M$12:M265)</f>
        <v>1172044.2306879517</v>
      </c>
      <c r="R265" s="29">
        <f t="shared" ca="1" si="60"/>
        <v>1975780.2907056871</v>
      </c>
      <c r="S265" s="29">
        <f t="shared" ca="1" si="61"/>
        <v>3357551.8447063845</v>
      </c>
    </row>
    <row r="266" spans="2:19" x14ac:dyDescent="0.25">
      <c r="B266" s="12">
        <f t="shared" ca="1" si="52"/>
        <v>2</v>
      </c>
      <c r="C266" s="28">
        <f t="shared" ca="1" si="53"/>
        <v>21</v>
      </c>
      <c r="D266" s="45">
        <f t="shared" ca="1" si="54"/>
        <v>166.0706008764474</v>
      </c>
      <c r="E266" s="46">
        <f t="shared" ca="1" si="55"/>
        <v>2.8330689044802394E-2</v>
      </c>
      <c r="F266" s="21">
        <f t="shared" ca="1" si="56"/>
        <v>53844</v>
      </c>
      <c r="G266" s="47">
        <f t="shared" ca="1" si="57"/>
        <v>0.39207454607617659</v>
      </c>
      <c r="H266" s="29">
        <f t="shared" si="49"/>
        <v>3000</v>
      </c>
      <c r="I266" s="42">
        <f t="shared" ca="1" si="58"/>
        <v>11935.124262791576</v>
      </c>
      <c r="J266" s="42">
        <f t="shared" ca="1" si="59"/>
        <v>20317.14921198236</v>
      </c>
      <c r="L266" s="29">
        <f t="shared" ca="1" si="50"/>
        <v>4679.4584276967689</v>
      </c>
      <c r="M266" s="29">
        <f t="shared" ca="1" si="51"/>
        <v>7965.8370548499324</v>
      </c>
      <c r="O266" s="29">
        <f ca="1">SUM($L$12:L266)</f>
        <v>845467.78597373096</v>
      </c>
      <c r="P266" s="29">
        <f ca="1">SUM($M$12:M266)</f>
        <v>1180010.0677428015</v>
      </c>
      <c r="R266" s="29">
        <f t="shared" ca="1" si="60"/>
        <v>1982073.2578568633</v>
      </c>
      <c r="S266" s="29">
        <f t="shared" ca="1" si="61"/>
        <v>3374081.1777303503</v>
      </c>
    </row>
    <row r="267" spans="2:19" x14ac:dyDescent="0.25">
      <c r="B267" s="12">
        <f t="shared" ca="1" si="52"/>
        <v>3</v>
      </c>
      <c r="C267" s="28">
        <f t="shared" ca="1" si="53"/>
        <v>21</v>
      </c>
      <c r="D267" s="45">
        <f t="shared" ca="1" si="54"/>
        <v>166.34738521124149</v>
      </c>
      <c r="E267" s="46">
        <f t="shared" ca="1" si="55"/>
        <v>2.8307119419973104E-2</v>
      </c>
      <c r="F267" s="21">
        <f t="shared" ca="1" si="56"/>
        <v>53874</v>
      </c>
      <c r="G267" s="47">
        <f t="shared" ca="1" si="57"/>
        <v>0.39240127486457338</v>
      </c>
      <c r="H267" s="29">
        <f t="shared" si="49"/>
        <v>3000</v>
      </c>
      <c r="I267" s="42">
        <f t="shared" ca="1" si="58"/>
        <v>11953.15881137309</v>
      </c>
      <c r="J267" s="42">
        <f t="shared" ca="1" si="59"/>
        <v>20383.070519016579</v>
      </c>
      <c r="L267" s="29">
        <f t="shared" ca="1" si="50"/>
        <v>4690.4347562415096</v>
      </c>
      <c r="M267" s="29">
        <f t="shared" ca="1" si="51"/>
        <v>7998.3428573166066</v>
      </c>
      <c r="O267" s="29">
        <f ca="1">SUM($L$12:L267)</f>
        <v>850158.22072997247</v>
      </c>
      <c r="P267" s="29">
        <f ca="1">SUM($M$12:M267)</f>
        <v>1188008.4106001181</v>
      </c>
      <c r="R267" s="29">
        <f t="shared" ca="1" si="60"/>
        <v>1988376.713286625</v>
      </c>
      <c r="S267" s="29">
        <f t="shared" ca="1" si="61"/>
        <v>3390670.483414751</v>
      </c>
    </row>
    <row r="268" spans="2:19" x14ac:dyDescent="0.25">
      <c r="B268" s="12">
        <f t="shared" ca="1" si="52"/>
        <v>3</v>
      </c>
      <c r="C268" s="28">
        <f t="shared" ca="1" si="53"/>
        <v>21</v>
      </c>
      <c r="D268" s="45">
        <f t="shared" ca="1" si="54"/>
        <v>166.62463085326024</v>
      </c>
      <c r="E268" s="46">
        <f t="shared" ca="1" si="55"/>
        <v>2.8283569403816714E-2</v>
      </c>
      <c r="F268" s="21">
        <f t="shared" ca="1" si="56"/>
        <v>53905</v>
      </c>
      <c r="G268" s="47">
        <f t="shared" ca="1" si="57"/>
        <v>0.39272827592696052</v>
      </c>
      <c r="H268" s="29">
        <f t="shared" si="49"/>
        <v>3000</v>
      </c>
      <c r="I268" s="42">
        <f t="shared" ca="1" si="58"/>
        <v>11971.163352386249</v>
      </c>
      <c r="J268" s="42">
        <f t="shared" ca="1" si="59"/>
        <v>20449.077224033692</v>
      </c>
      <c r="L268" s="29">
        <f t="shared" ca="1" si="50"/>
        <v>4701.414344222665</v>
      </c>
      <c r="M268" s="29">
        <f t="shared" ca="1" si="51"/>
        <v>8030.9308424920273</v>
      </c>
      <c r="O268" s="29">
        <f ca="1">SUM($L$12:L268)</f>
        <v>854859.6350741951</v>
      </c>
      <c r="P268" s="29">
        <f ca="1">SUM($M$12:M268)</f>
        <v>1196039.3414426101</v>
      </c>
      <c r="R268" s="29">
        <f t="shared" ca="1" si="60"/>
        <v>1994690.6744754361</v>
      </c>
      <c r="S268" s="29">
        <f t="shared" ca="1" si="61"/>
        <v>3407319.9437444257</v>
      </c>
    </row>
    <row r="269" spans="2:19" x14ac:dyDescent="0.25">
      <c r="B269" s="12">
        <f t="shared" ca="1" si="52"/>
        <v>3</v>
      </c>
      <c r="C269" s="28">
        <f t="shared" ca="1" si="53"/>
        <v>21</v>
      </c>
      <c r="D269" s="45">
        <f t="shared" ca="1" si="54"/>
        <v>166.90233857134902</v>
      </c>
      <c r="E269" s="46">
        <f t="shared" ca="1" si="55"/>
        <v>2.8260038980019858E-2</v>
      </c>
      <c r="F269" s="21">
        <f t="shared" ca="1" si="56"/>
        <v>53936</v>
      </c>
      <c r="G269" s="47">
        <f t="shared" ca="1" si="57"/>
        <v>0.39305554949023297</v>
      </c>
      <c r="H269" s="29">
        <f t="shared" si="49"/>
        <v>3000</v>
      </c>
      <c r="I269" s="42">
        <f t="shared" ca="1" si="58"/>
        <v>11989.137935760451</v>
      </c>
      <c r="J269" s="42">
        <f t="shared" ca="1" si="59"/>
        <v>20515.169352741501</v>
      </c>
      <c r="L269" s="29">
        <f t="shared" ca="1" si="50"/>
        <v>4712.3971992545212</v>
      </c>
      <c r="M269" s="29">
        <f t="shared" ca="1" si="51"/>
        <v>8063.601162826998</v>
      </c>
      <c r="O269" s="29">
        <f ca="1">SUM($L$12:L269)</f>
        <v>859572.03227344959</v>
      </c>
      <c r="P269" s="29">
        <f ca="1">SUM($M$12:M269)</f>
        <v>1204102.9426054372</v>
      </c>
      <c r="R269" s="29">
        <f t="shared" ca="1" si="60"/>
        <v>2001015.1589328954</v>
      </c>
      <c r="S269" s="29">
        <f t="shared" ca="1" si="61"/>
        <v>3424029.7411598251</v>
      </c>
    </row>
    <row r="270" spans="2:19" x14ac:dyDescent="0.25">
      <c r="B270" s="12">
        <f t="shared" ca="1" si="52"/>
        <v>4</v>
      </c>
      <c r="C270" s="28">
        <f t="shared" ca="1" si="53"/>
        <v>21</v>
      </c>
      <c r="D270" s="45">
        <f t="shared" ca="1" si="54"/>
        <v>167.18050913563459</v>
      </c>
      <c r="E270" s="46">
        <f t="shared" ca="1" si="55"/>
        <v>2.8236528132282744E-2</v>
      </c>
      <c r="F270" s="21">
        <f t="shared" ca="1" si="56"/>
        <v>53966</v>
      </c>
      <c r="G270" s="47">
        <f t="shared" ca="1" si="57"/>
        <v>0.39338309578147485</v>
      </c>
      <c r="H270" s="29">
        <f t="shared" ref="H270:H333" si="62">IF($F$5="Mensuel",$E$5,0)</f>
        <v>3000</v>
      </c>
      <c r="I270" s="42">
        <f t="shared" ca="1" si="58"/>
        <v>12007.082611342017</v>
      </c>
      <c r="J270" s="42">
        <f t="shared" ca="1" si="59"/>
        <v>20581.346930618423</v>
      </c>
      <c r="L270" s="29">
        <f t="shared" ref="L270:L333" ca="1" si="63">I270*G270</f>
        <v>4723.3833289536378</v>
      </c>
      <c r="M270" s="29">
        <f t="shared" ref="M270:M333" ca="1" si="64">J270*G270</f>
        <v>8096.353970919231</v>
      </c>
      <c r="O270" s="29">
        <f ca="1">SUM($L$12:L270)</f>
        <v>864295.41560240323</v>
      </c>
      <c r="P270" s="29">
        <f ca="1">SUM($M$12:M270)</f>
        <v>1212199.2965763565</v>
      </c>
      <c r="R270" s="29">
        <f t="shared" ca="1" si="60"/>
        <v>2007350.1841977835</v>
      </c>
      <c r="S270" s="29">
        <f t="shared" ca="1" si="61"/>
        <v>3440800.0585579183</v>
      </c>
    </row>
    <row r="271" spans="2:19" x14ac:dyDescent="0.25">
      <c r="B271" s="12">
        <f t="shared" ca="1" si="52"/>
        <v>4</v>
      </c>
      <c r="C271" s="28">
        <f t="shared" ca="1" si="53"/>
        <v>21</v>
      </c>
      <c r="D271" s="45">
        <f t="shared" ca="1" si="54"/>
        <v>167.45914331752732</v>
      </c>
      <c r="E271" s="46">
        <f t="shared" ca="1" si="55"/>
        <v>2.8213036844319112E-2</v>
      </c>
      <c r="F271" s="21">
        <f t="shared" ca="1" si="56"/>
        <v>53997</v>
      </c>
      <c r="G271" s="47">
        <f t="shared" ca="1" si="57"/>
        <v>0.39371091502795941</v>
      </c>
      <c r="H271" s="29">
        <f t="shared" si="62"/>
        <v>3000</v>
      </c>
      <c r="I271" s="42">
        <f t="shared" ca="1" si="58"/>
        <v>12024.997428894329</v>
      </c>
      <c r="J271" s="42">
        <f t="shared" ca="1" si="59"/>
        <v>20647.609982913389</v>
      </c>
      <c r="L271" s="29">
        <f t="shared" ca="1" si="63"/>
        <v>4734.3727409388457</v>
      </c>
      <c r="M271" s="29">
        <f t="shared" ca="1" si="64"/>
        <v>8129.18941951326</v>
      </c>
      <c r="O271" s="29">
        <f ca="1">SUM($L$12:L271)</f>
        <v>869029.78834334202</v>
      </c>
      <c r="P271" s="29">
        <f ca="1">SUM($M$12:M271)</f>
        <v>1220328.4859958699</v>
      </c>
      <c r="R271" s="29">
        <f t="shared" ca="1" si="60"/>
        <v>2013695.767838113</v>
      </c>
      <c r="S271" s="29">
        <f t="shared" ca="1" si="61"/>
        <v>3457631.0792931011</v>
      </c>
    </row>
    <row r="272" spans="2:19" x14ac:dyDescent="0.25">
      <c r="B272" s="12">
        <f t="shared" ca="1" si="52"/>
        <v>4</v>
      </c>
      <c r="C272" s="28">
        <f t="shared" ca="1" si="53"/>
        <v>21</v>
      </c>
      <c r="D272" s="45">
        <f t="shared" ca="1" si="54"/>
        <v>167.73824188972321</v>
      </c>
      <c r="E272" s="46">
        <f t="shared" ca="1" si="55"/>
        <v>2.8189565099856283E-2</v>
      </c>
      <c r="F272" s="21">
        <f t="shared" ca="1" si="56"/>
        <v>54027</v>
      </c>
      <c r="G272" s="47">
        <f t="shared" ca="1" si="57"/>
        <v>0.39403900745714937</v>
      </c>
      <c r="H272" s="29">
        <f t="shared" si="62"/>
        <v>3000</v>
      </c>
      <c r="I272" s="42">
        <f t="shared" ca="1" si="58"/>
        <v>12042.882438097968</v>
      </c>
      <c r="J272" s="42">
        <f t="shared" ca="1" si="59"/>
        <v>20713.958534645735</v>
      </c>
      <c r="L272" s="29">
        <f t="shared" ca="1" si="63"/>
        <v>4745.3654428312584</v>
      </c>
      <c r="M272" s="29">
        <f t="shared" ca="1" si="64"/>
        <v>8162.107661500354</v>
      </c>
      <c r="O272" s="29">
        <f ca="1">SUM($L$12:L272)</f>
        <v>873775.15378617332</v>
      </c>
      <c r="P272" s="29">
        <f ca="1">SUM($M$12:M272)</f>
        <v>1228490.5936573702</v>
      </c>
      <c r="R272" s="29">
        <f t="shared" ca="1" si="60"/>
        <v>2020051.9274511766</v>
      </c>
      <c r="S272" s="29">
        <f t="shared" ca="1" si="61"/>
        <v>3474522.9871781031</v>
      </c>
    </row>
    <row r="273" spans="2:19" x14ac:dyDescent="0.25">
      <c r="B273" s="12">
        <f t="shared" ca="1" si="52"/>
        <v>1</v>
      </c>
      <c r="C273" s="28">
        <f t="shared" ca="1" si="53"/>
        <v>22</v>
      </c>
      <c r="D273" s="45">
        <f t="shared" ca="1" si="54"/>
        <v>168.0178056262061</v>
      </c>
      <c r="E273" s="46">
        <f t="shared" ca="1" si="55"/>
        <v>2.8166112882635104E-2</v>
      </c>
      <c r="F273" s="21">
        <f t="shared" ca="1" si="56"/>
        <v>54058</v>
      </c>
      <c r="G273" s="47">
        <f t="shared" ca="1" si="57"/>
        <v>0.39436737329669702</v>
      </c>
      <c r="H273" s="29">
        <f t="shared" si="62"/>
        <v>3000</v>
      </c>
      <c r="I273" s="42">
        <f t="shared" ca="1" si="58"/>
        <v>12060.737688550853</v>
      </c>
      <c r="J273" s="42">
        <f t="shared" ca="1" si="59"/>
        <v>20780.392610605119</v>
      </c>
      <c r="L273" s="29">
        <f t="shared" ca="1" si="63"/>
        <v>4756.3614422542769</v>
      </c>
      <c r="M273" s="29">
        <f t="shared" ca="1" si="64"/>
        <v>8195.1088499184334</v>
      </c>
      <c r="O273" s="29">
        <f ca="1">SUM($L$12:L273)</f>
        <v>878531.5152284276</v>
      </c>
      <c r="P273" s="29">
        <f ca="1">SUM($M$12:M273)</f>
        <v>1236685.7025072887</v>
      </c>
      <c r="R273" s="29">
        <f t="shared" ca="1" si="60"/>
        <v>2026418.6806635954</v>
      </c>
      <c r="S273" s="29">
        <f t="shared" ca="1" si="61"/>
        <v>3491475.9664849001</v>
      </c>
    </row>
    <row r="274" spans="2:19" x14ac:dyDescent="0.25">
      <c r="B274" s="12">
        <f t="shared" ca="1" si="52"/>
        <v>1</v>
      </c>
      <c r="C274" s="28">
        <f t="shared" ca="1" si="53"/>
        <v>22</v>
      </c>
      <c r="D274" s="45">
        <f t="shared" ca="1" si="54"/>
        <v>168.29783530224978</v>
      </c>
      <c r="E274" s="46">
        <f t="shared" ca="1" si="55"/>
        <v>2.8142680176409945E-2</v>
      </c>
      <c r="F274" s="21">
        <f t="shared" ca="1" si="56"/>
        <v>54089</v>
      </c>
      <c r="G274" s="47">
        <f t="shared" ca="1" si="57"/>
        <v>0.39469601277444427</v>
      </c>
      <c r="H274" s="29">
        <f t="shared" si="62"/>
        <v>3000</v>
      </c>
      <c r="I274" s="42">
        <f t="shared" ca="1" si="58"/>
        <v>12078.563229768375</v>
      </c>
      <c r="J274" s="42">
        <f t="shared" ca="1" si="59"/>
        <v>20846.912235351407</v>
      </c>
      <c r="L274" s="29">
        <f t="shared" ca="1" si="63"/>
        <v>4767.3607468335913</v>
      </c>
      <c r="M274" s="29">
        <f t="shared" ca="1" si="64"/>
        <v>8228.1931379519774</v>
      </c>
      <c r="O274" s="29">
        <f ca="1">SUM($L$12:L274)</f>
        <v>883298.87597526121</v>
      </c>
      <c r="P274" s="29">
        <f ca="1">SUM($M$12:M274)</f>
        <v>1244913.8956452406</v>
      </c>
      <c r="R274" s="29">
        <f t="shared" ca="1" si="60"/>
        <v>2032796.0451313681</v>
      </c>
      <c r="S274" s="29">
        <f t="shared" ca="1" si="61"/>
        <v>3508490.2019456266</v>
      </c>
    </row>
    <row r="275" spans="2:19" x14ac:dyDescent="0.25">
      <c r="B275" s="12">
        <f t="shared" ca="1" si="52"/>
        <v>1</v>
      </c>
      <c r="C275" s="28">
        <f t="shared" ca="1" si="53"/>
        <v>22</v>
      </c>
      <c r="D275" s="45">
        <f t="shared" ca="1" si="54"/>
        <v>168.5783316944202</v>
      </c>
      <c r="E275" s="46">
        <f t="shared" ca="1" si="55"/>
        <v>2.8119266964948708E-2</v>
      </c>
      <c r="F275" s="21">
        <f t="shared" ca="1" si="56"/>
        <v>54118</v>
      </c>
      <c r="G275" s="47">
        <f t="shared" ca="1" si="57"/>
        <v>0.39502492611842299</v>
      </c>
      <c r="H275" s="29">
        <f t="shared" si="62"/>
        <v>3000</v>
      </c>
      <c r="I275" s="42">
        <f t="shared" ca="1" si="58"/>
        <v>12096.359111183539</v>
      </c>
      <c r="J275" s="42">
        <f t="shared" ca="1" si="59"/>
        <v>20913.517433214587</v>
      </c>
      <c r="L275" s="29">
        <f t="shared" ca="1" si="63"/>
        <v>4778.3633641971901</v>
      </c>
      <c r="M275" s="29">
        <f t="shared" ca="1" si="64"/>
        <v>8261.3606789319438</v>
      </c>
      <c r="O275" s="29">
        <f ca="1">SUM($L$12:L275)</f>
        <v>888077.23933945841</v>
      </c>
      <c r="P275" s="29">
        <f ca="1">SUM($M$12:M275)</f>
        <v>1253175.2563241725</v>
      </c>
      <c r="R275" s="29">
        <f t="shared" ca="1" si="60"/>
        <v>2039184.0385399207</v>
      </c>
      <c r="S275" s="29">
        <f t="shared" ca="1" si="61"/>
        <v>3525565.878753488</v>
      </c>
    </row>
    <row r="276" spans="2:19" x14ac:dyDescent="0.25">
      <c r="B276" s="12">
        <f t="shared" ca="1" si="52"/>
        <v>2</v>
      </c>
      <c r="C276" s="28">
        <f t="shared" ca="1" si="53"/>
        <v>22</v>
      </c>
      <c r="D276" s="45">
        <f t="shared" ca="1" si="54"/>
        <v>168.85929558057757</v>
      </c>
      <c r="E276" s="46">
        <f t="shared" ca="1" si="55"/>
        <v>2.8095873232032779E-2</v>
      </c>
      <c r="F276" s="21">
        <f t="shared" ca="1" si="56"/>
        <v>54149</v>
      </c>
      <c r="G276" s="47">
        <f t="shared" ca="1" si="57"/>
        <v>0.39535411355685501</v>
      </c>
      <c r="H276" s="29">
        <f t="shared" si="62"/>
        <v>3000</v>
      </c>
      <c r="I276" s="42">
        <f t="shared" ca="1" si="58"/>
        <v>12114.125382147096</v>
      </c>
      <c r="J276" s="42">
        <f t="shared" ca="1" si="59"/>
        <v>20980.208228294672</v>
      </c>
      <c r="L276" s="29">
        <f t="shared" ca="1" si="63"/>
        <v>4789.3693019753628</v>
      </c>
      <c r="M276" s="29">
        <f t="shared" ca="1" si="64"/>
        <v>8294.6116263356762</v>
      </c>
      <c r="O276" s="29">
        <f ca="1">SUM($L$12:L276)</f>
        <v>892866.60864143376</v>
      </c>
      <c r="P276" s="29">
        <f ca="1">SUM($M$12:M276)</f>
        <v>1261469.8679505081</v>
      </c>
      <c r="R276" s="29">
        <f t="shared" ca="1" si="60"/>
        <v>2045582.6786041537</v>
      </c>
      <c r="S276" s="29">
        <f t="shared" ca="1" si="61"/>
        <v>3542703.1825636756</v>
      </c>
    </row>
    <row r="277" spans="2:19" x14ac:dyDescent="0.25">
      <c r="B277" s="12">
        <f t="shared" ca="1" si="52"/>
        <v>2</v>
      </c>
      <c r="C277" s="28">
        <f t="shared" ca="1" si="53"/>
        <v>22</v>
      </c>
      <c r="D277" s="45">
        <f t="shared" ca="1" si="54"/>
        <v>169.14072773987854</v>
      </c>
      <c r="E277" s="46">
        <f t="shared" ca="1" si="55"/>
        <v>2.807249896145704E-2</v>
      </c>
      <c r="F277" s="21">
        <f t="shared" ca="1" si="56"/>
        <v>54179</v>
      </c>
      <c r="G277" s="47">
        <f t="shared" ca="1" si="57"/>
        <v>0.3956835753181524</v>
      </c>
      <c r="H277" s="29">
        <f t="shared" si="62"/>
        <v>3000</v>
      </c>
      <c r="I277" s="42">
        <f t="shared" ca="1" si="58"/>
        <v>12131.862091927685</v>
      </c>
      <c r="J277" s="42">
        <f t="shared" ca="1" si="59"/>
        <v>21046.984644461601</v>
      </c>
      <c r="L277" s="29">
        <f t="shared" ca="1" si="63"/>
        <v>4800.3785678007062</v>
      </c>
      <c r="M277" s="29">
        <f t="shared" ca="1" si="64"/>
        <v>8327.9461337868197</v>
      </c>
      <c r="O277" s="29">
        <f ca="1">SUM($L$12:L277)</f>
        <v>897666.9872092345</v>
      </c>
      <c r="P277" s="29">
        <f ca="1">SUM($M$12:M277)</f>
        <v>1269797.814084295</v>
      </c>
      <c r="R277" s="29">
        <f t="shared" ca="1" si="60"/>
        <v>2051991.9830684939</v>
      </c>
      <c r="S277" s="29">
        <f t="shared" ca="1" si="61"/>
        <v>3559902.2994942842</v>
      </c>
    </row>
    <row r="278" spans="2:19" x14ac:dyDescent="0.25">
      <c r="B278" s="12">
        <f t="shared" ca="1" si="52"/>
        <v>2</v>
      </c>
      <c r="C278" s="28">
        <f t="shared" ca="1" si="53"/>
        <v>22</v>
      </c>
      <c r="D278" s="45">
        <f t="shared" ca="1" si="54"/>
        <v>169.42262895277835</v>
      </c>
      <c r="E278" s="46">
        <f t="shared" ca="1" si="55"/>
        <v>2.8049144137029872E-2</v>
      </c>
      <c r="F278" s="21">
        <f t="shared" ca="1" si="56"/>
        <v>54210</v>
      </c>
      <c r="G278" s="47">
        <f t="shared" ca="1" si="57"/>
        <v>0.39601331163091752</v>
      </c>
      <c r="H278" s="29">
        <f t="shared" si="62"/>
        <v>3000</v>
      </c>
      <c r="I278" s="42">
        <f t="shared" ca="1" si="58"/>
        <v>12149.569289711968</v>
      </c>
      <c r="J278" s="42">
        <f t="shared" ca="1" si="59"/>
        <v>21113.846705355158</v>
      </c>
      <c r="L278" s="29">
        <f t="shared" ca="1" si="63"/>
        <v>4811.3911693081309</v>
      </c>
      <c r="M278" s="29">
        <f t="shared" ca="1" si="64"/>
        <v>8361.3643550552333</v>
      </c>
      <c r="O278" s="29">
        <f ca="1">SUM($L$12:L278)</f>
        <v>902478.37837854261</v>
      </c>
      <c r="P278" s="29">
        <f ca="1">SUM($M$12:M278)</f>
        <v>1278159.1784393501</v>
      </c>
      <c r="R278" s="29">
        <f t="shared" ca="1" si="60"/>
        <v>2058411.9697069416</v>
      </c>
      <c r="S278" s="29">
        <f t="shared" ca="1" si="61"/>
        <v>3577163.4161272286</v>
      </c>
    </row>
    <row r="279" spans="2:19" x14ac:dyDescent="0.25">
      <c r="B279" s="12">
        <f t="shared" ca="1" si="52"/>
        <v>3</v>
      </c>
      <c r="C279" s="28">
        <f t="shared" ca="1" si="53"/>
        <v>22</v>
      </c>
      <c r="D279" s="45">
        <f t="shared" ca="1" si="54"/>
        <v>169.705000001033</v>
      </c>
      <c r="E279" s="46">
        <f t="shared" ca="1" si="55"/>
        <v>2.8025808742573106E-2</v>
      </c>
      <c r="F279" s="21">
        <f t="shared" ca="1" si="56"/>
        <v>54240</v>
      </c>
      <c r="G279" s="47">
        <f t="shared" ca="1" si="57"/>
        <v>0.39634332272394329</v>
      </c>
      <c r="H279" s="29">
        <f t="shared" si="62"/>
        <v>3000</v>
      </c>
      <c r="I279" s="42">
        <f t="shared" ca="1" si="58"/>
        <v>12167.247024604763</v>
      </c>
      <c r="J279" s="42">
        <f t="shared" ca="1" si="59"/>
        <v>21180.794434384861</v>
      </c>
      <c r="L279" s="29">
        <f t="shared" ca="1" si="63"/>
        <v>4822.4071141348641</v>
      </c>
      <c r="M279" s="29">
        <f t="shared" ca="1" si="64"/>
        <v>8394.8664440569009</v>
      </c>
      <c r="O279" s="29">
        <f ca="1">SUM($L$12:L279)</f>
        <v>907300.78549267747</v>
      </c>
      <c r="P279" s="29">
        <f ca="1">SUM($M$12:M279)</f>
        <v>1286554.044883407</v>
      </c>
      <c r="R279" s="29">
        <f t="shared" ca="1" si="60"/>
        <v>2064842.65632312</v>
      </c>
      <c r="S279" s="29">
        <f t="shared" ca="1" si="61"/>
        <v>3594486.7195091625</v>
      </c>
    </row>
    <row r="280" spans="2:19" x14ac:dyDescent="0.25">
      <c r="B280" s="12">
        <f t="shared" ca="1" si="52"/>
        <v>3</v>
      </c>
      <c r="C280" s="28">
        <f t="shared" ca="1" si="53"/>
        <v>22</v>
      </c>
      <c r="D280" s="45">
        <f t="shared" ca="1" si="54"/>
        <v>169.98784166770139</v>
      </c>
      <c r="E280" s="46">
        <f t="shared" ca="1" si="55"/>
        <v>2.8002492761922043E-2</v>
      </c>
      <c r="F280" s="21">
        <f t="shared" ca="1" si="56"/>
        <v>54271</v>
      </c>
      <c r="G280" s="47">
        <f t="shared" ca="1" si="57"/>
        <v>0.39667360882621322</v>
      </c>
      <c r="H280" s="29">
        <f t="shared" si="62"/>
        <v>3000</v>
      </c>
      <c r="I280" s="42">
        <f t="shared" ca="1" si="58"/>
        <v>12184.895345629184</v>
      </c>
      <c r="J280" s="42">
        <f t="shared" ca="1" si="59"/>
        <v>21247.827854729901</v>
      </c>
      <c r="L280" s="29">
        <f t="shared" ca="1" si="63"/>
        <v>4833.4264099204565</v>
      </c>
      <c r="M280" s="29">
        <f t="shared" ca="1" si="64"/>
        <v>8428.4525548538459</v>
      </c>
      <c r="O280" s="29">
        <f ca="1">SUM($L$12:L280)</f>
        <v>912134.21190259792</v>
      </c>
      <c r="P280" s="29">
        <f ca="1">SUM($M$12:M280)</f>
        <v>1294982.4974382608</v>
      </c>
      <c r="R280" s="29">
        <f t="shared" ca="1" si="60"/>
        <v>2071284.0607503252</v>
      </c>
      <c r="S280" s="29">
        <f t="shared" ca="1" si="61"/>
        <v>3611872.397152402</v>
      </c>
    </row>
    <row r="281" spans="2:19" x14ac:dyDescent="0.25">
      <c r="B281" s="12">
        <f t="shared" ca="1" si="52"/>
        <v>3</v>
      </c>
      <c r="C281" s="28">
        <f t="shared" ca="1" si="53"/>
        <v>22</v>
      </c>
      <c r="D281" s="45">
        <f t="shared" ca="1" si="54"/>
        <v>170.27115473714755</v>
      </c>
      <c r="E281" s="46">
        <f t="shared" ca="1" si="55"/>
        <v>2.7979196178925431E-2</v>
      </c>
      <c r="F281" s="21">
        <f t="shared" ca="1" si="56"/>
        <v>54302</v>
      </c>
      <c r="G281" s="47">
        <f t="shared" ca="1" si="57"/>
        <v>0.3970041701669017</v>
      </c>
      <c r="H281" s="29">
        <f t="shared" si="62"/>
        <v>3000</v>
      </c>
      <c r="I281" s="42">
        <f t="shared" ca="1" si="58"/>
        <v>12202.514301726775</v>
      </c>
      <c r="J281" s="42">
        <f t="shared" ca="1" si="59"/>
        <v>21314.946989339027</v>
      </c>
      <c r="L281" s="29">
        <f t="shared" ca="1" si="63"/>
        <v>4844.4490643067884</v>
      </c>
      <c r="M281" s="29">
        <f t="shared" ca="1" si="64"/>
        <v>8462.1228416540398</v>
      </c>
      <c r="O281" s="29">
        <f ca="1">SUM($L$12:L281)</f>
        <v>916978.66096690472</v>
      </c>
      <c r="P281" s="29">
        <f ca="1">SUM($M$12:M281)</f>
        <v>1303444.6202799149</v>
      </c>
      <c r="R281" s="29">
        <f t="shared" ca="1" si="60"/>
        <v>2077736.2008515757</v>
      </c>
      <c r="S281" s="29">
        <f t="shared" ca="1" si="61"/>
        <v>3629320.637035843</v>
      </c>
    </row>
    <row r="282" spans="2:19" x14ac:dyDescent="0.25">
      <c r="B282" s="12">
        <f t="shared" ca="1" si="52"/>
        <v>4</v>
      </c>
      <c r="C282" s="28">
        <f t="shared" ca="1" si="53"/>
        <v>22</v>
      </c>
      <c r="D282" s="45">
        <f t="shared" ca="1" si="54"/>
        <v>170.55493999504282</v>
      </c>
      <c r="E282" s="46">
        <f t="shared" ca="1" si="55"/>
        <v>2.7955918977445461E-2</v>
      </c>
      <c r="F282" s="21">
        <f t="shared" ca="1" si="56"/>
        <v>54332</v>
      </c>
      <c r="G282" s="47">
        <f t="shared" ca="1" si="57"/>
        <v>0.39733500697537411</v>
      </c>
      <c r="H282" s="29">
        <f t="shared" si="62"/>
        <v>3000</v>
      </c>
      <c r="I282" s="42">
        <f t="shared" ca="1" si="58"/>
        <v>12220.103941757648</v>
      </c>
      <c r="J282" s="42">
        <f t="shared" ca="1" si="59"/>
        <v>21382.151860930477</v>
      </c>
      <c r="L282" s="29">
        <f t="shared" ca="1" si="63"/>
        <v>4855.4750849380716</v>
      </c>
      <c r="M282" s="29">
        <f t="shared" ca="1" si="64"/>
        <v>8495.8774588113192</v>
      </c>
      <c r="O282" s="29">
        <f ca="1">SUM($L$12:L282)</f>
        <v>921834.13605184283</v>
      </c>
      <c r="P282" s="29">
        <f ca="1">SUM($M$12:M282)</f>
        <v>1311940.4977387262</v>
      </c>
      <c r="R282" s="29">
        <f t="shared" ca="1" si="60"/>
        <v>2084199.094519662</v>
      </c>
      <c r="S282" s="29">
        <f t="shared" ca="1" si="61"/>
        <v>3646831.6276058904</v>
      </c>
    </row>
    <row r="283" spans="2:19" x14ac:dyDescent="0.25">
      <c r="B283" s="12">
        <f t="shared" ca="1" si="52"/>
        <v>4</v>
      </c>
      <c r="C283" s="28">
        <f t="shared" ca="1" si="53"/>
        <v>22</v>
      </c>
      <c r="D283" s="45">
        <f t="shared" ca="1" si="54"/>
        <v>170.83919822836791</v>
      </c>
      <c r="E283" s="46">
        <f t="shared" ca="1" si="55"/>
        <v>2.7932661141357736E-2</v>
      </c>
      <c r="F283" s="21">
        <f t="shared" ca="1" si="56"/>
        <v>54363</v>
      </c>
      <c r="G283" s="47">
        <f t="shared" ca="1" si="57"/>
        <v>0.39766611948118691</v>
      </c>
      <c r="H283" s="29">
        <f t="shared" si="62"/>
        <v>3000</v>
      </c>
      <c r="I283" s="42">
        <f t="shared" ca="1" si="58"/>
        <v>12237.664314500616</v>
      </c>
      <c r="J283" s="42">
        <f t="shared" ca="1" si="59"/>
        <v>21449.442491991882</v>
      </c>
      <c r="L283" s="29">
        <f t="shared" ca="1" si="63"/>
        <v>4866.5044794608593</v>
      </c>
      <c r="M283" s="29">
        <f t="shared" ca="1" si="64"/>
        <v>8529.7165608252908</v>
      </c>
      <c r="O283" s="29">
        <f ca="1">SUM($L$12:L283)</f>
        <v>926700.64053130371</v>
      </c>
      <c r="P283" s="29">
        <f ca="1">SUM($M$12:M283)</f>
        <v>1320470.2142995514</v>
      </c>
      <c r="R283" s="29">
        <f t="shared" ca="1" si="60"/>
        <v>2090672.7596771948</v>
      </c>
      <c r="S283" s="29">
        <f t="shared" ca="1" si="61"/>
        <v>3664405.5577773787</v>
      </c>
    </row>
    <row r="284" spans="2:19" x14ac:dyDescent="0.25">
      <c r="B284" s="12">
        <f t="shared" ca="1" si="52"/>
        <v>4</v>
      </c>
      <c r="C284" s="28">
        <f t="shared" ca="1" si="53"/>
        <v>22</v>
      </c>
      <c r="D284" s="45">
        <f t="shared" ca="1" si="54"/>
        <v>171.12393022541519</v>
      </c>
      <c r="E284" s="46">
        <f t="shared" ca="1" si="55"/>
        <v>2.7909422654551277E-2</v>
      </c>
      <c r="F284" s="21">
        <f t="shared" ca="1" si="56"/>
        <v>54393</v>
      </c>
      <c r="G284" s="47">
        <f t="shared" ca="1" si="57"/>
        <v>0.39799750791408789</v>
      </c>
      <c r="H284" s="29">
        <f t="shared" si="62"/>
        <v>3000</v>
      </c>
      <c r="I284" s="42">
        <f t="shared" ca="1" si="58"/>
        <v>12255.19546865333</v>
      </c>
      <c r="J284" s="42">
        <f t="shared" ca="1" si="59"/>
        <v>21516.81890478019</v>
      </c>
      <c r="L284" s="29">
        <f t="shared" ca="1" si="63"/>
        <v>4877.5372555240474</v>
      </c>
      <c r="M284" s="29">
        <f t="shared" ca="1" si="64"/>
        <v>8563.6403023412495</v>
      </c>
      <c r="O284" s="29">
        <f ca="1">SUM($L$12:L284)</f>
        <v>931578.17778682779</v>
      </c>
      <c r="P284" s="29">
        <f ca="1">SUM($M$12:M284)</f>
        <v>1329033.8546018926</v>
      </c>
      <c r="R284" s="29">
        <f t="shared" ca="1" si="60"/>
        <v>2097157.214276657</v>
      </c>
      <c r="S284" s="29">
        <f t="shared" ca="1" si="61"/>
        <v>3682042.6169344997</v>
      </c>
    </row>
    <row r="285" spans="2:19" x14ac:dyDescent="0.25">
      <c r="B285" s="12">
        <f t="shared" ref="B285:B348" ca="1" si="65">ROUNDUP(MONTH(F285)/3,0)</f>
        <v>1</v>
      </c>
      <c r="C285" s="28">
        <f t="shared" ref="C285:C348" ca="1" si="66">YEAR(F285)-YEAR(TODAY())</f>
        <v>23</v>
      </c>
      <c r="D285" s="45">
        <f t="shared" ref="D285:D348" ca="1" si="67">D284*(1+($C$5/12))</f>
        <v>171.4091367757909</v>
      </c>
      <c r="E285" s="46">
        <f t="shared" ref="E285:E348" ca="1" si="68">(G285*12)/D285</f>
        <v>2.7886203500928516E-2</v>
      </c>
      <c r="F285" s="21">
        <f t="shared" ref="F285:F348" ca="1" si="69">EDATE(F284,1)</f>
        <v>54424</v>
      </c>
      <c r="G285" s="47">
        <f t="shared" ref="G285:G348" ca="1" si="70">($H$5/12)*G284+G284</f>
        <v>0.39832917250401628</v>
      </c>
      <c r="H285" s="29">
        <f t="shared" si="62"/>
        <v>3000</v>
      </c>
      <c r="I285" s="42">
        <f t="shared" ref="I285:I348" ca="1" si="71">I284+H285/D285</f>
        <v>12272.697452832412</v>
      </c>
      <c r="J285" s="42">
        <f t="shared" ref="J285:J348" ca="1" si="72">J284+(H285+G284*J284)/D285</f>
        <v>21584.281121321579</v>
      </c>
      <c r="L285" s="29">
        <f t="shared" ca="1" si="63"/>
        <v>4888.5734207788828</v>
      </c>
      <c r="M285" s="29">
        <f t="shared" ca="1" si="64"/>
        <v>8597.6488381500858</v>
      </c>
      <c r="O285" s="29">
        <f ca="1">SUM($L$12:L285)</f>
        <v>936466.75120760663</v>
      </c>
      <c r="P285" s="29">
        <f ca="1">SUM($M$12:M285)</f>
        <v>1337631.5034400427</v>
      </c>
      <c r="R285" s="29">
        <f t="shared" ref="R285:R348" ca="1" si="73">I285*D285</f>
        <v>2103652.4763004514</v>
      </c>
      <c r="S285" s="29">
        <f t="shared" ref="S285:S348" ca="1" si="74">J285*D285</f>
        <v>3699742.9949317318</v>
      </c>
    </row>
    <row r="286" spans="2:19" x14ac:dyDescent="0.25">
      <c r="B286" s="12">
        <f t="shared" ca="1" si="65"/>
        <v>1</v>
      </c>
      <c r="C286" s="28">
        <f t="shared" ca="1" si="66"/>
        <v>23</v>
      </c>
      <c r="D286" s="45">
        <f t="shared" ca="1" si="67"/>
        <v>171.69481867041722</v>
      </c>
      <c r="E286" s="46">
        <f t="shared" ca="1" si="68"/>
        <v>2.7863003664405282E-2</v>
      </c>
      <c r="F286" s="21">
        <f t="shared" ca="1" si="69"/>
        <v>54455</v>
      </c>
      <c r="G286" s="47">
        <f t="shared" ca="1" si="70"/>
        <v>0.39866111348110295</v>
      </c>
      <c r="H286" s="29">
        <f t="shared" si="62"/>
        <v>3000</v>
      </c>
      <c r="I286" s="42">
        <f t="shared" ca="1" si="71"/>
        <v>12290.170315573592</v>
      </c>
      <c r="J286" s="42">
        <f t="shared" ca="1" si="72"/>
        <v>21651.829163411381</v>
      </c>
      <c r="L286" s="29">
        <f t="shared" ca="1" si="63"/>
        <v>4899.6129828789662</v>
      </c>
      <c r="M286" s="29">
        <f t="shared" ca="1" si="64"/>
        <v>8631.7423231881985</v>
      </c>
      <c r="O286" s="29">
        <f ca="1">SUM($L$12:L286)</f>
        <v>941366.36419048556</v>
      </c>
      <c r="P286" s="29">
        <f ca="1">SUM($M$12:M286)</f>
        <v>1346263.2457632308</v>
      </c>
      <c r="R286" s="29">
        <f t="shared" ca="1" si="73"/>
        <v>2110158.5637609521</v>
      </c>
      <c r="S286" s="29">
        <f t="shared" ca="1" si="74"/>
        <v>3717506.8820947683</v>
      </c>
    </row>
    <row r="287" spans="2:19" x14ac:dyDescent="0.25">
      <c r="B287" s="12">
        <f t="shared" ca="1" si="65"/>
        <v>1</v>
      </c>
      <c r="C287" s="28">
        <f t="shared" ca="1" si="66"/>
        <v>23</v>
      </c>
      <c r="D287" s="45">
        <f t="shared" ca="1" si="67"/>
        <v>171.98097670153459</v>
      </c>
      <c r="E287" s="46">
        <f t="shared" ca="1" si="68"/>
        <v>2.7839823128910767E-2</v>
      </c>
      <c r="F287" s="21">
        <f t="shared" ca="1" si="69"/>
        <v>54483</v>
      </c>
      <c r="G287" s="47">
        <f t="shared" ca="1" si="70"/>
        <v>0.39899333107567053</v>
      </c>
      <c r="H287" s="29">
        <f t="shared" si="62"/>
        <v>3000</v>
      </c>
      <c r="I287" s="42">
        <f t="shared" ca="1" si="71"/>
        <v>12307.614105331842</v>
      </c>
      <c r="J287" s="42">
        <f t="shared" ca="1" si="72"/>
        <v>21719.463052613992</v>
      </c>
      <c r="L287" s="29">
        <f t="shared" ca="1" si="63"/>
        <v>4910.6559494802605</v>
      </c>
      <c r="M287" s="29">
        <f t="shared" ca="1" si="64"/>
        <v>8665.9209125374073</v>
      </c>
      <c r="O287" s="29">
        <f ca="1">SUM($L$12:L287)</f>
        <v>946277.02013996581</v>
      </c>
      <c r="P287" s="29">
        <f ca="1">SUM($M$12:M287)</f>
        <v>1354929.1666757683</v>
      </c>
      <c r="R287" s="29">
        <f t="shared" ca="1" si="73"/>
        <v>2116675.4947005538</v>
      </c>
      <c r="S287" s="29">
        <f t="shared" ca="1" si="74"/>
        <v>3735334.4692214481</v>
      </c>
    </row>
    <row r="288" spans="2:19" x14ac:dyDescent="0.25">
      <c r="B288" s="12">
        <f t="shared" ca="1" si="65"/>
        <v>2</v>
      </c>
      <c r="C288" s="28">
        <f t="shared" ca="1" si="66"/>
        <v>23</v>
      </c>
      <c r="D288" s="45">
        <f t="shared" ca="1" si="67"/>
        <v>172.26761166270381</v>
      </c>
      <c r="E288" s="46">
        <f t="shared" ca="1" si="68"/>
        <v>2.781666187838755E-2</v>
      </c>
      <c r="F288" s="21">
        <f t="shared" ca="1" si="69"/>
        <v>54514</v>
      </c>
      <c r="G288" s="47">
        <f t="shared" ca="1" si="70"/>
        <v>0.39932582551823359</v>
      </c>
      <c r="H288" s="29">
        <f t="shared" si="62"/>
        <v>3000</v>
      </c>
      <c r="I288" s="42">
        <f t="shared" ca="1" si="71"/>
        <v>12325.028870481508</v>
      </c>
      <c r="J288" s="42">
        <f t="shared" ca="1" si="72"/>
        <v>21787.182810262799</v>
      </c>
      <c r="L288" s="29">
        <f t="shared" ca="1" si="63"/>
        <v>4921.7023282410901</v>
      </c>
      <c r="M288" s="29">
        <f t="shared" ca="1" si="64"/>
        <v>8700.18476142486</v>
      </c>
      <c r="O288" s="29">
        <f ca="1">SUM($L$12:L288)</f>
        <v>951198.72246820689</v>
      </c>
      <c r="P288" s="29">
        <f ca="1">SUM($M$12:M288)</f>
        <v>1363629.3514371931</v>
      </c>
      <c r="R288" s="29">
        <f t="shared" ca="1" si="73"/>
        <v>2123203.2871917216</v>
      </c>
      <c r="S288" s="29">
        <f t="shared" ca="1" si="74"/>
        <v>3753225.9475826877</v>
      </c>
    </row>
    <row r="289" spans="2:19" x14ac:dyDescent="0.25">
      <c r="B289" s="12">
        <f t="shared" ca="1" si="65"/>
        <v>2</v>
      </c>
      <c r="C289" s="28">
        <f t="shared" ca="1" si="66"/>
        <v>23</v>
      </c>
      <c r="D289" s="45">
        <f t="shared" ca="1" si="67"/>
        <v>172.55472434880832</v>
      </c>
      <c r="E289" s="46">
        <f t="shared" ca="1" si="68"/>
        <v>2.779351989679155E-2</v>
      </c>
      <c r="F289" s="21">
        <f t="shared" ca="1" si="69"/>
        <v>54544</v>
      </c>
      <c r="G289" s="47">
        <f t="shared" ca="1" si="70"/>
        <v>0.3996585970394988</v>
      </c>
      <c r="H289" s="29">
        <f t="shared" si="62"/>
        <v>3000</v>
      </c>
      <c r="I289" s="42">
        <f t="shared" ca="1" si="71"/>
        <v>12342.41465931645</v>
      </c>
      <c r="J289" s="42">
        <f t="shared" ca="1" si="72"/>
        <v>21854.988457460113</v>
      </c>
      <c r="L289" s="29">
        <f t="shared" ca="1" si="63"/>
        <v>4932.7521268221553</v>
      </c>
      <c r="M289" s="29">
        <f t="shared" ca="1" si="64"/>
        <v>8734.5340252229489</v>
      </c>
      <c r="O289" s="29">
        <f ca="1">SUM($L$12:L289)</f>
        <v>956131.47459502902</v>
      </c>
      <c r="P289" s="29">
        <f ca="1">SUM($M$12:M289)</f>
        <v>1372363.8854624161</v>
      </c>
      <c r="R289" s="29">
        <f t="shared" ca="1" si="73"/>
        <v>2129741.9593370408</v>
      </c>
      <c r="S289" s="29">
        <f t="shared" ca="1" si="74"/>
        <v>3771181.5089234174</v>
      </c>
    </row>
    <row r="290" spans="2:19" x14ac:dyDescent="0.25">
      <c r="B290" s="12">
        <f t="shared" ca="1" si="65"/>
        <v>2</v>
      </c>
      <c r="C290" s="28">
        <f t="shared" ca="1" si="66"/>
        <v>23</v>
      </c>
      <c r="D290" s="45">
        <f t="shared" ca="1" si="67"/>
        <v>172.84231555605635</v>
      </c>
      <c r="E290" s="46">
        <f t="shared" ca="1" si="68"/>
        <v>2.7770397168092053E-2</v>
      </c>
      <c r="F290" s="21">
        <f t="shared" ca="1" si="69"/>
        <v>54575</v>
      </c>
      <c r="G290" s="47">
        <f t="shared" ca="1" si="70"/>
        <v>0.39999164587036506</v>
      </c>
      <c r="H290" s="29">
        <f t="shared" si="62"/>
        <v>3000</v>
      </c>
      <c r="I290" s="42">
        <f t="shared" ca="1" si="71"/>
        <v>12359.771520050168</v>
      </c>
      <c r="J290" s="42">
        <f t="shared" ca="1" si="72"/>
        <v>21922.880015077073</v>
      </c>
      <c r="L290" s="29">
        <f t="shared" ca="1" si="63"/>
        <v>4943.8053528865303</v>
      </c>
      <c r="M290" s="29">
        <f t="shared" ca="1" si="64"/>
        <v>8768.9688594492127</v>
      </c>
      <c r="O290" s="29">
        <f ca="1">SUM($L$12:L290)</f>
        <v>961075.27994791558</v>
      </c>
      <c r="P290" s="29">
        <f ca="1">SUM($M$12:M290)</f>
        <v>1381132.8543218654</v>
      </c>
      <c r="R290" s="29">
        <f t="shared" ca="1" si="73"/>
        <v>2136291.5292692692</v>
      </c>
      <c r="S290" s="29">
        <f t="shared" ca="1" si="74"/>
        <v>3789201.3454635129</v>
      </c>
    </row>
    <row r="291" spans="2:19" x14ac:dyDescent="0.25">
      <c r="B291" s="12">
        <f t="shared" ca="1" si="65"/>
        <v>3</v>
      </c>
      <c r="C291" s="28">
        <f t="shared" ca="1" si="66"/>
        <v>23</v>
      </c>
      <c r="D291" s="45">
        <f t="shared" ca="1" si="67"/>
        <v>173.13038608198312</v>
      </c>
      <c r="E291" s="46">
        <f t="shared" ca="1" si="68"/>
        <v>2.7747293676271677E-2</v>
      </c>
      <c r="F291" s="21">
        <f t="shared" ca="1" si="69"/>
        <v>54605</v>
      </c>
      <c r="G291" s="47">
        <f t="shared" ca="1" si="70"/>
        <v>0.4003249722419237</v>
      </c>
      <c r="H291" s="29">
        <f t="shared" si="62"/>
        <v>3000</v>
      </c>
      <c r="I291" s="42">
        <f t="shared" ca="1" si="71"/>
        <v>12377.099500815944</v>
      </c>
      <c r="J291" s="42">
        <f t="shared" ca="1" si="72"/>
        <v>21990.857503753592</v>
      </c>
      <c r="L291" s="29">
        <f t="shared" ca="1" si="63"/>
        <v>4954.8620140996709</v>
      </c>
      <c r="M291" s="29">
        <f t="shared" ca="1" si="64"/>
        <v>8803.4894197662561</v>
      </c>
      <c r="O291" s="29">
        <f ca="1">SUM($L$12:L291)</f>
        <v>966030.1419620153</v>
      </c>
      <c r="P291" s="29">
        <f ca="1">SUM($M$12:M291)</f>
        <v>1389936.3437416316</v>
      </c>
      <c r="R291" s="29">
        <f t="shared" ca="1" si="73"/>
        <v>2142852.0151513848</v>
      </c>
      <c r="S291" s="29">
        <f t="shared" ca="1" si="74"/>
        <v>3807285.6498987349</v>
      </c>
    </row>
    <row r="292" spans="2:19" x14ac:dyDescent="0.25">
      <c r="B292" s="12">
        <f t="shared" ca="1" si="65"/>
        <v>3</v>
      </c>
      <c r="C292" s="28">
        <f t="shared" ca="1" si="66"/>
        <v>23</v>
      </c>
      <c r="D292" s="45">
        <f t="shared" ca="1" si="67"/>
        <v>173.41893672545311</v>
      </c>
      <c r="E292" s="46">
        <f t="shared" ca="1" si="68"/>
        <v>2.7724209405326359E-2</v>
      </c>
      <c r="F292" s="21">
        <f t="shared" ca="1" si="69"/>
        <v>54636</v>
      </c>
      <c r="G292" s="47">
        <f t="shared" ca="1" si="70"/>
        <v>0.40065857638545865</v>
      </c>
      <c r="H292" s="29">
        <f t="shared" si="62"/>
        <v>3000</v>
      </c>
      <c r="I292" s="42">
        <f t="shared" ca="1" si="71"/>
        <v>12394.39864966697</v>
      </c>
      <c r="J292" s="42">
        <f t="shared" ca="1" si="72"/>
        <v>22058.920943898269</v>
      </c>
      <c r="L292" s="29">
        <f t="shared" ca="1" si="63"/>
        <v>4965.9221181294188</v>
      </c>
      <c r="M292" s="29">
        <f t="shared" ca="1" si="64"/>
        <v>8838.0958619816574</v>
      </c>
      <c r="O292" s="29">
        <f ca="1">SUM($L$12:L292)</f>
        <v>970996.06408014474</v>
      </c>
      <c r="P292" s="29">
        <f ca="1">SUM($M$12:M292)</f>
        <v>1398774.4396036132</v>
      </c>
      <c r="R292" s="29">
        <f t="shared" ca="1" si="73"/>
        <v>2149423.4351766375</v>
      </c>
      <c r="S292" s="29">
        <f t="shared" ca="1" si="74"/>
        <v>3825434.6154016661</v>
      </c>
    </row>
    <row r="293" spans="2:19" x14ac:dyDescent="0.25">
      <c r="B293" s="12">
        <f t="shared" ca="1" si="65"/>
        <v>3</v>
      </c>
      <c r="C293" s="28">
        <f t="shared" ca="1" si="66"/>
        <v>23</v>
      </c>
      <c r="D293" s="45">
        <f t="shared" ca="1" si="67"/>
        <v>173.70796828666221</v>
      </c>
      <c r="E293" s="46">
        <f t="shared" ca="1" si="68"/>
        <v>2.7701144339265356E-2</v>
      </c>
      <c r="F293" s="21">
        <f t="shared" ca="1" si="69"/>
        <v>54667</v>
      </c>
      <c r="G293" s="47">
        <f t="shared" ca="1" si="70"/>
        <v>0.40099245853244653</v>
      </c>
      <c r="H293" s="29">
        <f t="shared" si="62"/>
        <v>3000</v>
      </c>
      <c r="I293" s="42">
        <f t="shared" ca="1" si="71"/>
        <v>12411.669014576479</v>
      </c>
      <c r="J293" s="42">
        <f t="shared" ca="1" si="72"/>
        <v>22127.070355688324</v>
      </c>
      <c r="L293" s="29">
        <f t="shared" ca="1" si="63"/>
        <v>4976.9856726460102</v>
      </c>
      <c r="M293" s="29">
        <f t="shared" ca="1" si="64"/>
        <v>8872.7883420478774</v>
      </c>
      <c r="O293" s="29">
        <f ca="1">SUM($L$12:L293)</f>
        <v>975973.04975279071</v>
      </c>
      <c r="P293" s="29">
        <f ca="1">SUM($M$12:M293)</f>
        <v>1407647.2279456612</v>
      </c>
      <c r="R293" s="29">
        <f t="shared" ca="1" si="73"/>
        <v>2156005.807568599</v>
      </c>
      <c r="S293" s="29">
        <f t="shared" ca="1" si="74"/>
        <v>3843648.4356226507</v>
      </c>
    </row>
    <row r="294" spans="2:19" x14ac:dyDescent="0.25">
      <c r="B294" s="12">
        <f t="shared" ca="1" si="65"/>
        <v>4</v>
      </c>
      <c r="C294" s="28">
        <f t="shared" ca="1" si="66"/>
        <v>23</v>
      </c>
      <c r="D294" s="45">
        <f t="shared" ca="1" si="67"/>
        <v>173.99748156713997</v>
      </c>
      <c r="E294" s="46">
        <f t="shared" ca="1" si="68"/>
        <v>2.7678098462111222E-2</v>
      </c>
      <c r="F294" s="21">
        <f t="shared" ca="1" si="69"/>
        <v>54697</v>
      </c>
      <c r="G294" s="47">
        <f t="shared" ca="1" si="70"/>
        <v>0.4013266189145569</v>
      </c>
      <c r="H294" s="29">
        <f t="shared" si="62"/>
        <v>3000</v>
      </c>
      <c r="I294" s="42">
        <f t="shared" ca="1" si="71"/>
        <v>12428.910643437885</v>
      </c>
      <c r="J294" s="42">
        <f t="shared" ca="1" si="72"/>
        <v>22195.305759069532</v>
      </c>
      <c r="L294" s="29">
        <f t="shared" ca="1" si="63"/>
        <v>4988.0526853220763</v>
      </c>
      <c r="M294" s="29">
        <f t="shared" ca="1" si="64"/>
        <v>8907.5670160621685</v>
      </c>
      <c r="O294" s="29">
        <f ca="1">SUM($L$12:L294)</f>
        <v>980961.10243811284</v>
      </c>
      <c r="P294" s="29">
        <f ca="1">SUM($M$12:M294)</f>
        <v>1416554.7949617233</v>
      </c>
      <c r="R294" s="29">
        <f t="shared" ca="1" si="73"/>
        <v>2162599.1505812132</v>
      </c>
      <c r="S294" s="29">
        <f t="shared" ca="1" si="74"/>
        <v>3861927.3046907363</v>
      </c>
    </row>
    <row r="295" spans="2:19" x14ac:dyDescent="0.25">
      <c r="B295" s="12">
        <f t="shared" ca="1" si="65"/>
        <v>4</v>
      </c>
      <c r="C295" s="28">
        <f t="shared" ca="1" si="66"/>
        <v>23</v>
      </c>
      <c r="D295" s="45">
        <f t="shared" ca="1" si="67"/>
        <v>174.28747736975188</v>
      </c>
      <c r="E295" s="46">
        <f t="shared" ca="1" si="68"/>
        <v>2.7655071757899812E-2</v>
      </c>
      <c r="F295" s="21">
        <f t="shared" ca="1" si="69"/>
        <v>54728</v>
      </c>
      <c r="G295" s="47">
        <f t="shared" ca="1" si="70"/>
        <v>0.40166105776365235</v>
      </c>
      <c r="H295" s="29">
        <f t="shared" si="62"/>
        <v>3000</v>
      </c>
      <c r="I295" s="42">
        <f t="shared" ca="1" si="71"/>
        <v>12446.123584064913</v>
      </c>
      <c r="J295" s="42">
        <f t="shared" ca="1" si="72"/>
        <v>22263.627173756144</v>
      </c>
      <c r="L295" s="29">
        <f t="shared" ca="1" si="63"/>
        <v>4999.1231638326526</v>
      </c>
      <c r="M295" s="29">
        <f t="shared" ca="1" si="64"/>
        <v>8942.4320402664871</v>
      </c>
      <c r="O295" s="29">
        <f ca="1">SUM($L$12:L295)</f>
        <v>985960.22560194554</v>
      </c>
      <c r="P295" s="29">
        <f ca="1">SUM($M$12:M295)</f>
        <v>1425497.2270019897</v>
      </c>
      <c r="R295" s="29">
        <f t="shared" ca="1" si="73"/>
        <v>2169203.4824988488</v>
      </c>
      <c r="S295" s="29">
        <f t="shared" ca="1" si="74"/>
        <v>3880271.4172146171</v>
      </c>
    </row>
    <row r="296" spans="2:19" x14ac:dyDescent="0.25">
      <c r="B296" s="12">
        <f t="shared" ca="1" si="65"/>
        <v>4</v>
      </c>
      <c r="C296" s="28">
        <f t="shared" ca="1" si="66"/>
        <v>23</v>
      </c>
      <c r="D296" s="45">
        <f t="shared" ca="1" si="67"/>
        <v>174.57795649870147</v>
      </c>
      <c r="E296" s="46">
        <f t="shared" ca="1" si="68"/>
        <v>2.7632064210680263E-2</v>
      </c>
      <c r="F296" s="21">
        <f t="shared" ca="1" si="69"/>
        <v>54758</v>
      </c>
      <c r="G296" s="47">
        <f t="shared" ca="1" si="70"/>
        <v>0.40199577531178871</v>
      </c>
      <c r="H296" s="29">
        <f t="shared" si="62"/>
        <v>3000</v>
      </c>
      <c r="I296" s="42">
        <f t="shared" ca="1" si="71"/>
        <v>12463.30788419173</v>
      </c>
      <c r="J296" s="42">
        <f t="shared" ca="1" si="72"/>
        <v>22332.034619230828</v>
      </c>
      <c r="L296" s="29">
        <f t="shared" ca="1" si="63"/>
        <v>5010.1971158551833</v>
      </c>
      <c r="M296" s="29">
        <f t="shared" ca="1" si="64"/>
        <v>8977.3835710474032</v>
      </c>
      <c r="O296" s="29">
        <f ca="1">SUM($L$12:L296)</f>
        <v>990970.42271780071</v>
      </c>
      <c r="P296" s="29">
        <f ca="1">SUM($M$12:M296)</f>
        <v>1434474.6105730371</v>
      </c>
      <c r="R296" s="29">
        <f t="shared" ca="1" si="73"/>
        <v>2175818.8216363471</v>
      </c>
      <c r="S296" s="29">
        <f t="shared" ca="1" si="74"/>
        <v>3898680.9682835746</v>
      </c>
    </row>
    <row r="297" spans="2:19" x14ac:dyDescent="0.25">
      <c r="B297" s="12">
        <f t="shared" ca="1" si="65"/>
        <v>1</v>
      </c>
      <c r="C297" s="28">
        <f t="shared" ca="1" si="66"/>
        <v>24</v>
      </c>
      <c r="D297" s="45">
        <f t="shared" ca="1" si="67"/>
        <v>174.86891975953264</v>
      </c>
      <c r="E297" s="46">
        <f t="shared" ca="1" si="68"/>
        <v>2.7609075804514965E-2</v>
      </c>
      <c r="F297" s="21">
        <f t="shared" ca="1" si="69"/>
        <v>54789</v>
      </c>
      <c r="G297" s="47">
        <f t="shared" ca="1" si="70"/>
        <v>0.40233077179121518</v>
      </c>
      <c r="H297" s="29">
        <f t="shared" si="62"/>
        <v>3000</v>
      </c>
      <c r="I297" s="42">
        <f t="shared" ca="1" si="71"/>
        <v>12480.463591473079</v>
      </c>
      <c r="J297" s="42">
        <f t="shared" ca="1" si="72"/>
        <v>22400.528114744597</v>
      </c>
      <c r="L297" s="29">
        <f t="shared" ca="1" si="63"/>
        <v>5021.2745490695252</v>
      </c>
      <c r="M297" s="29">
        <f t="shared" ca="1" si="64"/>
        <v>9012.4217649360071</v>
      </c>
      <c r="O297" s="29">
        <f ca="1">SUM($L$12:L297)</f>
        <v>995991.69726687029</v>
      </c>
      <c r="P297" s="29">
        <f ca="1">SUM($M$12:M297)</f>
        <v>1443487.0323379731</v>
      </c>
      <c r="R297" s="29">
        <f t="shared" ca="1" si="73"/>
        <v>2182445.1863390743</v>
      </c>
      <c r="S297" s="29">
        <f t="shared" ca="1" si="74"/>
        <v>3917156.1534684277</v>
      </c>
    </row>
    <row r="298" spans="2:19" x14ac:dyDescent="0.25">
      <c r="B298" s="12">
        <f t="shared" ca="1" si="65"/>
        <v>1</v>
      </c>
      <c r="C298" s="28">
        <f t="shared" ca="1" si="66"/>
        <v>24</v>
      </c>
      <c r="D298" s="45">
        <f t="shared" ca="1" si="67"/>
        <v>175.16036795913186</v>
      </c>
      <c r="E298" s="46">
        <f t="shared" ca="1" si="68"/>
        <v>2.7586106523479596E-2</v>
      </c>
      <c r="F298" s="21">
        <f t="shared" ca="1" si="69"/>
        <v>54820</v>
      </c>
      <c r="G298" s="47">
        <f t="shared" ca="1" si="70"/>
        <v>0.40266604743437451</v>
      </c>
      <c r="H298" s="29">
        <f t="shared" si="62"/>
        <v>3000</v>
      </c>
      <c r="I298" s="42">
        <f t="shared" ca="1" si="71"/>
        <v>12497.590753484408</v>
      </c>
      <c r="J298" s="42">
        <f t="shared" ca="1" si="72"/>
        <v>22469.107679316752</v>
      </c>
      <c r="L298" s="29">
        <f t="shared" ca="1" si="63"/>
        <v>5032.3554711579527</v>
      </c>
      <c r="M298" s="29">
        <f t="shared" ca="1" si="64"/>
        <v>9047.5467786078279</v>
      </c>
      <c r="O298" s="29">
        <f ca="1">SUM($L$12:L298)</f>
        <v>1001024.0527380282</v>
      </c>
      <c r="P298" s="29">
        <f ca="1">SUM($M$12:M298)</f>
        <v>1452534.579116581</v>
      </c>
      <c r="R298" s="29">
        <f t="shared" ca="1" si="73"/>
        <v>2189082.5949829728</v>
      </c>
      <c r="S298" s="29">
        <f t="shared" ca="1" si="74"/>
        <v>3935697.1688224776</v>
      </c>
    </row>
    <row r="299" spans="2:19" x14ac:dyDescent="0.25">
      <c r="B299" s="12">
        <f t="shared" ca="1" si="65"/>
        <v>1</v>
      </c>
      <c r="C299" s="28">
        <f t="shared" ca="1" si="66"/>
        <v>24</v>
      </c>
      <c r="D299" s="45">
        <f t="shared" ca="1" si="67"/>
        <v>175.45230190573042</v>
      </c>
      <c r="E299" s="46">
        <f t="shared" ca="1" si="68"/>
        <v>2.7563156351663058E-2</v>
      </c>
      <c r="F299" s="21">
        <f t="shared" ca="1" si="69"/>
        <v>54848</v>
      </c>
      <c r="G299" s="47">
        <f t="shared" ca="1" si="70"/>
        <v>0.40300160247390315</v>
      </c>
      <c r="H299" s="29">
        <f t="shared" si="62"/>
        <v>3000</v>
      </c>
      <c r="I299" s="42">
        <f t="shared" ca="1" si="71"/>
        <v>12514.689417722007</v>
      </c>
      <c r="J299" s="42">
        <f t="shared" ca="1" si="72"/>
        <v>22537.773331734814</v>
      </c>
      <c r="L299" s="29">
        <f t="shared" ca="1" si="63"/>
        <v>5043.4398898051668</v>
      </c>
      <c r="M299" s="29">
        <f t="shared" ca="1" si="64"/>
        <v>9082.7587688827298</v>
      </c>
      <c r="O299" s="29">
        <f ca="1">SUM($L$12:L299)</f>
        <v>1006067.4926278334</v>
      </c>
      <c r="P299" s="29">
        <f ca="1">SUM($M$12:M299)</f>
        <v>1461617.3378854638</v>
      </c>
      <c r="R299" s="29">
        <f t="shared" ca="1" si="73"/>
        <v>2195731.0659746113</v>
      </c>
      <c r="S299" s="29">
        <f t="shared" ca="1" si="74"/>
        <v>3954304.2108824565</v>
      </c>
    </row>
    <row r="300" spans="2:19" x14ac:dyDescent="0.25">
      <c r="B300" s="12">
        <f t="shared" ca="1" si="65"/>
        <v>2</v>
      </c>
      <c r="C300" s="28">
        <f t="shared" ca="1" si="66"/>
        <v>24</v>
      </c>
      <c r="D300" s="45">
        <f t="shared" ca="1" si="67"/>
        <v>175.74472240890665</v>
      </c>
      <c r="E300" s="46">
        <f t="shared" ca="1" si="68"/>
        <v>2.7540225273167497E-2</v>
      </c>
      <c r="F300" s="21">
        <f t="shared" ca="1" si="69"/>
        <v>54879</v>
      </c>
      <c r="G300" s="47">
        <f t="shared" ca="1" si="70"/>
        <v>0.40333743714263143</v>
      </c>
      <c r="H300" s="29">
        <f t="shared" si="62"/>
        <v>3000</v>
      </c>
      <c r="I300" s="42">
        <f t="shared" ca="1" si="71"/>
        <v>12531.759631603138</v>
      </c>
      <c r="J300" s="42">
        <f t="shared" ca="1" si="72"/>
        <v>22606.52509055446</v>
      </c>
      <c r="L300" s="29">
        <f t="shared" ca="1" si="63"/>
        <v>5054.5278126982967</v>
      </c>
      <c r="M300" s="29">
        <f t="shared" ca="1" si="64"/>
        <v>9118.0578927248298</v>
      </c>
      <c r="O300" s="29">
        <f ca="1">SUM($L$12:L300)</f>
        <v>1011122.0204405317</v>
      </c>
      <c r="P300" s="29">
        <f ca="1">SUM($M$12:M300)</f>
        <v>1470735.3957781887</v>
      </c>
      <c r="R300" s="29">
        <f t="shared" ca="1" si="73"/>
        <v>2202390.6177512356</v>
      </c>
      <c r="S300" s="29">
        <f t="shared" ca="1" si="74"/>
        <v>3972977.4766694768</v>
      </c>
    </row>
    <row r="301" spans="2:19" x14ac:dyDescent="0.25">
      <c r="B301" s="12">
        <f t="shared" ca="1" si="65"/>
        <v>2</v>
      </c>
      <c r="C301" s="28">
        <f t="shared" ca="1" si="66"/>
        <v>24</v>
      </c>
      <c r="D301" s="45">
        <f t="shared" ca="1" si="67"/>
        <v>176.03763027958817</v>
      </c>
      <c r="E301" s="46">
        <f t="shared" ca="1" si="68"/>
        <v>2.7517313272108285E-2</v>
      </c>
      <c r="F301" s="21">
        <f t="shared" ca="1" si="69"/>
        <v>54909</v>
      </c>
      <c r="G301" s="47">
        <f t="shared" ca="1" si="70"/>
        <v>0.4036735516735836</v>
      </c>
      <c r="H301" s="29">
        <f t="shared" si="62"/>
        <v>3000</v>
      </c>
      <c r="I301" s="42">
        <f t="shared" ca="1" si="71"/>
        <v>12548.801442466163</v>
      </c>
      <c r="J301" s="42">
        <f t="shared" ca="1" si="72"/>
        <v>22675.362974099466</v>
      </c>
      <c r="L301" s="29">
        <f t="shared" ca="1" si="63"/>
        <v>5065.6192475269054</v>
      </c>
      <c r="M301" s="29">
        <f t="shared" ca="1" si="64"/>
        <v>9153.4443072424056</v>
      </c>
      <c r="O301" s="29">
        <f ca="1">SUM($L$12:L301)</f>
        <v>1016187.6396880585</v>
      </c>
      <c r="P301" s="29">
        <f ca="1">SUM($M$12:M301)</f>
        <v>1479888.8400854312</v>
      </c>
      <c r="R301" s="29">
        <f t="shared" ca="1" si="73"/>
        <v>2209061.268780821</v>
      </c>
      <c r="S301" s="29">
        <f t="shared" ca="1" si="74"/>
        <v>3991717.1636899845</v>
      </c>
    </row>
    <row r="302" spans="2:19" x14ac:dyDescent="0.25">
      <c r="B302" s="12">
        <f t="shared" ca="1" si="65"/>
        <v>2</v>
      </c>
      <c r="C302" s="28">
        <f t="shared" ca="1" si="66"/>
        <v>24</v>
      </c>
      <c r="D302" s="45">
        <f t="shared" ca="1" si="67"/>
        <v>176.33102633005416</v>
      </c>
      <c r="E302" s="46">
        <f t="shared" ca="1" si="68"/>
        <v>2.7494420332614022E-2</v>
      </c>
      <c r="F302" s="21">
        <f t="shared" ca="1" si="69"/>
        <v>54940</v>
      </c>
      <c r="G302" s="47">
        <f t="shared" ca="1" si="70"/>
        <v>0.40400994629997827</v>
      </c>
      <c r="H302" s="29">
        <f t="shared" si="62"/>
        <v>3000</v>
      </c>
      <c r="I302" s="42">
        <f t="shared" ca="1" si="71"/>
        <v>12565.814897570681</v>
      </c>
      <c r="J302" s="42">
        <f t="shared" ca="1" si="72"/>
        <v>22744.287000461642</v>
      </c>
      <c r="L302" s="29">
        <f t="shared" ca="1" si="63"/>
        <v>5076.714201982998</v>
      </c>
      <c r="M302" s="29">
        <f t="shared" ca="1" si="64"/>
        <v>9188.9181696878022</v>
      </c>
      <c r="O302" s="29">
        <f ca="1">SUM($L$12:L302)</f>
        <v>1021264.3538900415</v>
      </c>
      <c r="P302" s="29">
        <f ca="1">SUM($M$12:M302)</f>
        <v>1489077.758255119</v>
      </c>
      <c r="R302" s="29">
        <f t="shared" ca="1" si="73"/>
        <v>2215743.0375621226</v>
      </c>
      <c r="S302" s="29">
        <f t="shared" ca="1" si="74"/>
        <v>4010523.4699367103</v>
      </c>
    </row>
    <row r="303" spans="2:19" x14ac:dyDescent="0.25">
      <c r="B303" s="12">
        <f t="shared" ca="1" si="65"/>
        <v>3</v>
      </c>
      <c r="C303" s="28">
        <f t="shared" ca="1" si="66"/>
        <v>24</v>
      </c>
      <c r="D303" s="45">
        <f t="shared" ca="1" si="67"/>
        <v>176.62491137393758</v>
      </c>
      <c r="E303" s="46">
        <f t="shared" ca="1" si="68"/>
        <v>2.7471546438826489E-2</v>
      </c>
      <c r="F303" s="21">
        <f t="shared" ca="1" si="69"/>
        <v>54970</v>
      </c>
      <c r="G303" s="47">
        <f t="shared" ca="1" si="70"/>
        <v>0.40434662125522824</v>
      </c>
      <c r="H303" s="29">
        <f t="shared" si="62"/>
        <v>3000</v>
      </c>
      <c r="I303" s="42">
        <f t="shared" ca="1" si="71"/>
        <v>12582.800044097654</v>
      </c>
      <c r="J303" s="42">
        <f t="shared" ca="1" si="72"/>
        <v>22813.297187500786</v>
      </c>
      <c r="L303" s="29">
        <f t="shared" ca="1" si="63"/>
        <v>5087.8126837610234</v>
      </c>
      <c r="M303" s="29">
        <f t="shared" ca="1" si="64"/>
        <v>9224.4796374573434</v>
      </c>
      <c r="O303" s="29">
        <f ca="1">SUM($L$12:L303)</f>
        <v>1026352.1665738025</v>
      </c>
      <c r="P303" s="29">
        <f ca="1">SUM($M$12:M303)</f>
        <v>1498302.2378925763</v>
      </c>
      <c r="R303" s="29">
        <f t="shared" ca="1" si="73"/>
        <v>2222435.9426247259</v>
      </c>
      <c r="S303" s="29">
        <f t="shared" ca="1" si="74"/>
        <v>4029396.5938896257</v>
      </c>
    </row>
    <row r="304" spans="2:19" x14ac:dyDescent="0.25">
      <c r="B304" s="12">
        <f t="shared" ca="1" si="65"/>
        <v>3</v>
      </c>
      <c r="C304" s="28">
        <f t="shared" ca="1" si="66"/>
        <v>24</v>
      </c>
      <c r="D304" s="45">
        <f t="shared" ca="1" si="67"/>
        <v>176.91928622622748</v>
      </c>
      <c r="E304" s="46">
        <f t="shared" ca="1" si="68"/>
        <v>2.7448691574900673E-2</v>
      </c>
      <c r="F304" s="21">
        <f t="shared" ca="1" si="69"/>
        <v>55001</v>
      </c>
      <c r="G304" s="47">
        <f t="shared" ca="1" si="70"/>
        <v>0.40468357677294092</v>
      </c>
      <c r="H304" s="29">
        <f t="shared" si="62"/>
        <v>3000</v>
      </c>
      <c r="I304" s="42">
        <f t="shared" ca="1" si="71"/>
        <v>12599.75692914954</v>
      </c>
      <c r="J304" s="42">
        <f t="shared" ca="1" si="72"/>
        <v>22882.393552844616</v>
      </c>
      <c r="L304" s="29">
        <f t="shared" ca="1" si="63"/>
        <v>5098.9147005578825</v>
      </c>
      <c r="M304" s="29">
        <f t="shared" ca="1" si="64"/>
        <v>9260.1288680912421</v>
      </c>
      <c r="O304" s="29">
        <f ca="1">SUM($L$12:L304)</f>
        <v>1031451.0812743603</v>
      </c>
      <c r="P304" s="29">
        <f ca="1">SUM($M$12:M304)</f>
        <v>1507562.3667606674</v>
      </c>
      <c r="R304" s="29">
        <f t="shared" ca="1" si="73"/>
        <v>2229140.0025291005</v>
      </c>
      <c r="S304" s="29">
        <f t="shared" ca="1" si="74"/>
        <v>4048336.7345168991</v>
      </c>
    </row>
    <row r="305" spans="2:19" x14ac:dyDescent="0.25">
      <c r="B305" s="12">
        <f t="shared" ca="1" si="65"/>
        <v>3</v>
      </c>
      <c r="C305" s="28">
        <f t="shared" ca="1" si="66"/>
        <v>24</v>
      </c>
      <c r="D305" s="45">
        <f t="shared" ca="1" si="67"/>
        <v>177.2141517032712</v>
      </c>
      <c r="E305" s="46">
        <f t="shared" ca="1" si="68"/>
        <v>2.742585572500475E-2</v>
      </c>
      <c r="F305" s="21">
        <f t="shared" ca="1" si="69"/>
        <v>55032</v>
      </c>
      <c r="G305" s="47">
        <f t="shared" ca="1" si="70"/>
        <v>0.4050208130869184</v>
      </c>
      <c r="H305" s="29">
        <f t="shared" si="62"/>
        <v>3000</v>
      </c>
      <c r="I305" s="42">
        <f t="shared" ca="1" si="71"/>
        <v>12616.685599750426</v>
      </c>
      <c r="J305" s="42">
        <f t="shared" ca="1" si="72"/>
        <v>22951.576113888725</v>
      </c>
      <c r="L305" s="29">
        <f t="shared" ca="1" si="63"/>
        <v>5110.0202600729326</v>
      </c>
      <c r="M305" s="29">
        <f t="shared" ca="1" si="64"/>
        <v>9295.866019273506</v>
      </c>
      <c r="O305" s="29">
        <f ca="1">SUM($L$12:L305)</f>
        <v>1036561.1015344332</v>
      </c>
      <c r="P305" s="29">
        <f ca="1">SUM($M$12:M305)</f>
        <v>1516858.2327799408</v>
      </c>
      <c r="R305" s="29">
        <f t="shared" ca="1" si="73"/>
        <v>2235855.2358666491</v>
      </c>
      <c r="S305" s="29">
        <f t="shared" ca="1" si="74"/>
        <v>4067344.0912758522</v>
      </c>
    </row>
    <row r="306" spans="2:19" x14ac:dyDescent="0.25">
      <c r="B306" s="12">
        <f t="shared" ca="1" si="65"/>
        <v>4</v>
      </c>
      <c r="C306" s="28">
        <f t="shared" ca="1" si="66"/>
        <v>24</v>
      </c>
      <c r="D306" s="45">
        <f t="shared" ca="1" si="67"/>
        <v>177.50950862277665</v>
      </c>
      <c r="E306" s="46">
        <f t="shared" ca="1" si="68"/>
        <v>2.7403038873320056E-2</v>
      </c>
      <c r="F306" s="21">
        <f t="shared" ca="1" si="69"/>
        <v>55062</v>
      </c>
      <c r="G306" s="47">
        <f t="shared" ca="1" si="70"/>
        <v>0.40535833043115749</v>
      </c>
      <c r="H306" s="29">
        <f t="shared" si="62"/>
        <v>3000</v>
      </c>
      <c r="I306" s="42">
        <f t="shared" ca="1" si="71"/>
        <v>12633.586102846151</v>
      </c>
      <c r="J306" s="42">
        <f t="shared" ca="1" si="72"/>
        <v>23020.844887796513</v>
      </c>
      <c r="L306" s="29">
        <f t="shared" ca="1" si="63"/>
        <v>5121.1293700079896</v>
      </c>
      <c r="M306" s="29">
        <f t="shared" ca="1" si="64"/>
        <v>9331.6912488318412</v>
      </c>
      <c r="O306" s="29">
        <f ca="1">SUM($L$12:L306)</f>
        <v>1041682.2309044412</v>
      </c>
      <c r="P306" s="29">
        <f ca="1">SUM($M$12:M306)</f>
        <v>1526189.9240287726</v>
      </c>
      <c r="R306" s="29">
        <f t="shared" ca="1" si="73"/>
        <v>2242581.6612597601</v>
      </c>
      <c r="S306" s="29">
        <f t="shared" ca="1" si="74"/>
        <v>4086418.864113919</v>
      </c>
    </row>
    <row r="307" spans="2:19" x14ac:dyDescent="0.25">
      <c r="B307" s="12">
        <f t="shared" ca="1" si="65"/>
        <v>4</v>
      </c>
      <c r="C307" s="28">
        <f t="shared" ca="1" si="66"/>
        <v>24</v>
      </c>
      <c r="D307" s="45">
        <f t="shared" ca="1" si="67"/>
        <v>177.80535780381462</v>
      </c>
      <c r="E307" s="46">
        <f t="shared" ca="1" si="68"/>
        <v>2.7380241004041087E-2</v>
      </c>
      <c r="F307" s="21">
        <f t="shared" ca="1" si="69"/>
        <v>55093</v>
      </c>
      <c r="G307" s="47">
        <f t="shared" ca="1" si="70"/>
        <v>0.40569612903985014</v>
      </c>
      <c r="H307" s="29">
        <f t="shared" si="62"/>
        <v>3000</v>
      </c>
      <c r="I307" s="42">
        <f t="shared" ca="1" si="71"/>
        <v>12650.458485304447</v>
      </c>
      <c r="J307" s="42">
        <f t="shared" ca="1" si="72"/>
        <v>23090.199891499149</v>
      </c>
      <c r="L307" s="29">
        <f t="shared" ca="1" si="63"/>
        <v>5132.2420380673402</v>
      </c>
      <c r="M307" s="29">
        <f t="shared" ca="1" si="64"/>
        <v>9367.6047147375721</v>
      </c>
      <c r="O307" s="29">
        <f ca="1">SUM($L$12:L307)</f>
        <v>1046814.4729425085</v>
      </c>
      <c r="P307" s="29">
        <f ca="1">SUM($M$12:M307)</f>
        <v>1535557.5287435101</v>
      </c>
      <c r="R307" s="29">
        <f t="shared" ca="1" si="73"/>
        <v>2249319.2973618601</v>
      </c>
      <c r="S307" s="29">
        <f t="shared" ca="1" si="74"/>
        <v>4105561.2534696078</v>
      </c>
    </row>
    <row r="308" spans="2:19" x14ac:dyDescent="0.25">
      <c r="B308" s="12">
        <f t="shared" ca="1" si="65"/>
        <v>4</v>
      </c>
      <c r="C308" s="28">
        <f t="shared" ca="1" si="66"/>
        <v>24</v>
      </c>
      <c r="D308" s="45">
        <f t="shared" ca="1" si="67"/>
        <v>178.10170006682097</v>
      </c>
      <c r="E308" s="46">
        <f t="shared" ca="1" si="68"/>
        <v>2.7357462101375494E-2</v>
      </c>
      <c r="F308" s="21">
        <f t="shared" ca="1" si="69"/>
        <v>55123</v>
      </c>
      <c r="G308" s="47">
        <f t="shared" ca="1" si="70"/>
        <v>0.40603420914738336</v>
      </c>
      <c r="H308" s="29">
        <f t="shared" si="62"/>
        <v>3000</v>
      </c>
      <c r="I308" s="42">
        <f t="shared" ca="1" si="71"/>
        <v>12667.302793915058</v>
      </c>
      <c r="J308" s="42">
        <f t="shared" ca="1" si="72"/>
        <v>23159.641141695512</v>
      </c>
      <c r="L308" s="29">
        <f t="shared" ca="1" si="63"/>
        <v>5143.3582719577398</v>
      </c>
      <c r="M308" s="29">
        <f t="shared" ca="1" si="64"/>
        <v>9403.6065751055394</v>
      </c>
      <c r="O308" s="29">
        <f ca="1">SUM($L$12:L308)</f>
        <v>1051957.8312144664</v>
      </c>
      <c r="P308" s="29">
        <f ca="1">SUM($M$12:M308)</f>
        <v>1544961.1353186157</v>
      </c>
      <c r="R308" s="29">
        <f t="shared" ca="1" si="73"/>
        <v>2256068.1628574631</v>
      </c>
      <c r="S308" s="29">
        <f t="shared" ca="1" si="74"/>
        <v>4124771.4602734614</v>
      </c>
    </row>
    <row r="309" spans="2:19" x14ac:dyDescent="0.25">
      <c r="B309" s="12">
        <f t="shared" ca="1" si="65"/>
        <v>1</v>
      </c>
      <c r="C309" s="28">
        <f t="shared" ca="1" si="66"/>
        <v>25</v>
      </c>
      <c r="D309" s="45">
        <f t="shared" ca="1" si="67"/>
        <v>178.398536233599</v>
      </c>
      <c r="E309" s="46">
        <f t="shared" ca="1" si="68"/>
        <v>2.733470214954407E-2</v>
      </c>
      <c r="F309" s="21">
        <f t="shared" ca="1" si="69"/>
        <v>55154</v>
      </c>
      <c r="G309" s="47">
        <f t="shared" ca="1" si="70"/>
        <v>0.40637257098833951</v>
      </c>
      <c r="H309" s="29">
        <f t="shared" si="62"/>
        <v>3000</v>
      </c>
      <c r="I309" s="42">
        <f t="shared" ca="1" si="71"/>
        <v>12684.119075389877</v>
      </c>
      <c r="J309" s="42">
        <f t="shared" ca="1" si="72"/>
        <v>23229.168654852147</v>
      </c>
      <c r="L309" s="29">
        <f t="shared" ca="1" si="63"/>
        <v>5154.4780793884238</v>
      </c>
      <c r="M309" s="29">
        <f t="shared" ca="1" si="64"/>
        <v>9439.6969881940149</v>
      </c>
      <c r="O309" s="29">
        <f ca="1">SUM($L$12:L309)</f>
        <v>1057112.3092938547</v>
      </c>
      <c r="P309" s="29">
        <f ca="1">SUM($M$12:M309)</f>
        <v>1554400.8323068097</v>
      </c>
      <c r="R309" s="29">
        <f t="shared" ca="1" si="73"/>
        <v>2262828.2764622252</v>
      </c>
      <c r="S309" s="29">
        <f t="shared" ca="1" si="74"/>
        <v>4144049.6859490229</v>
      </c>
    </row>
    <row r="310" spans="2:19" x14ac:dyDescent="0.25">
      <c r="B310" s="12">
        <f t="shared" ca="1" si="65"/>
        <v>1</v>
      </c>
      <c r="C310" s="28">
        <f t="shared" ca="1" si="66"/>
        <v>25</v>
      </c>
      <c r="D310" s="45">
        <f t="shared" ca="1" si="67"/>
        <v>178.69586712732166</v>
      </c>
      <c r="E310" s="46">
        <f t="shared" ca="1" si="68"/>
        <v>2.731196113278072E-2</v>
      </c>
      <c r="F310" s="21">
        <f t="shared" ca="1" si="69"/>
        <v>55185</v>
      </c>
      <c r="G310" s="47">
        <f t="shared" ca="1" si="70"/>
        <v>0.40671121479749645</v>
      </c>
      <c r="H310" s="29">
        <f t="shared" si="62"/>
        <v>3000</v>
      </c>
      <c r="I310" s="42">
        <f t="shared" ca="1" si="71"/>
        <v>12700.907376363075</v>
      </c>
      <c r="J310" s="42">
        <f t="shared" ca="1" si="72"/>
        <v>23298.782447203208</v>
      </c>
      <c r="L310" s="29">
        <f t="shared" ca="1" si="63"/>
        <v>5165.6014680711096</v>
      </c>
      <c r="M310" s="29">
        <f t="shared" ca="1" si="64"/>
        <v>9475.8761124046032</v>
      </c>
      <c r="O310" s="29">
        <f ca="1">SUM($L$12:L310)</f>
        <v>1062277.9107619259</v>
      </c>
      <c r="P310" s="29">
        <f ca="1">SUM($M$12:M310)</f>
        <v>1563876.7084192142</v>
      </c>
      <c r="R310" s="29">
        <f t="shared" ca="1" si="73"/>
        <v>2269599.6569229956</v>
      </c>
      <c r="S310" s="29">
        <f t="shared" ca="1" si="74"/>
        <v>4163396.1324137985</v>
      </c>
    </row>
    <row r="311" spans="2:19" x14ac:dyDescent="0.25">
      <c r="B311" s="12">
        <f t="shared" ca="1" si="65"/>
        <v>1</v>
      </c>
      <c r="C311" s="28">
        <f t="shared" ca="1" si="66"/>
        <v>25</v>
      </c>
      <c r="D311" s="45">
        <f t="shared" ca="1" si="67"/>
        <v>178.99369357253389</v>
      </c>
      <c r="E311" s="46">
        <f t="shared" ca="1" si="68"/>
        <v>2.7289239035332483E-2</v>
      </c>
      <c r="F311" s="21">
        <f t="shared" ca="1" si="69"/>
        <v>55213</v>
      </c>
      <c r="G311" s="47">
        <f t="shared" ca="1" si="70"/>
        <v>0.40705014080982771</v>
      </c>
      <c r="H311" s="29">
        <f t="shared" si="62"/>
        <v>3000</v>
      </c>
      <c r="I311" s="42">
        <f t="shared" ca="1" si="71"/>
        <v>12717.667743391226</v>
      </c>
      <c r="J311" s="42">
        <f t="shared" ca="1" si="72"/>
        <v>23368.482534750419</v>
      </c>
      <c r="L311" s="29">
        <f t="shared" ca="1" si="63"/>
        <v>5176.7284457200021</v>
      </c>
      <c r="M311" s="29">
        <f t="shared" ca="1" si="64"/>
        <v>9512.1441062821577</v>
      </c>
      <c r="O311" s="29">
        <f ca="1">SUM($L$12:L311)</f>
        <v>1067454.6392076458</v>
      </c>
      <c r="P311" s="29">
        <f ca="1">SUM($M$12:M311)</f>
        <v>1573388.8525254964</v>
      </c>
      <c r="R311" s="29">
        <f t="shared" ca="1" si="73"/>
        <v>2276382.3230178677</v>
      </c>
      <c r="S311" s="29">
        <f t="shared" ca="1" si="74"/>
        <v>4182811.0020802263</v>
      </c>
    </row>
    <row r="312" spans="2:19" x14ac:dyDescent="0.25">
      <c r="B312" s="12">
        <f t="shared" ca="1" si="65"/>
        <v>2</v>
      </c>
      <c r="C312" s="28">
        <f t="shared" ca="1" si="66"/>
        <v>25</v>
      </c>
      <c r="D312" s="45">
        <f t="shared" ca="1" si="67"/>
        <v>179.29201639515477</v>
      </c>
      <c r="E312" s="46">
        <f t="shared" ca="1" si="68"/>
        <v>2.7266535841459494E-2</v>
      </c>
      <c r="F312" s="21">
        <f t="shared" ca="1" si="69"/>
        <v>55244</v>
      </c>
      <c r="G312" s="47">
        <f t="shared" ca="1" si="70"/>
        <v>0.40738934926050258</v>
      </c>
      <c r="H312" s="29">
        <f t="shared" si="62"/>
        <v>3000</v>
      </c>
      <c r="I312" s="42">
        <f t="shared" ca="1" si="71"/>
        <v>12734.40022295344</v>
      </c>
      <c r="J312" s="42">
        <f t="shared" ca="1" si="72"/>
        <v>23438.268933263033</v>
      </c>
      <c r="L312" s="29">
        <f t="shared" ca="1" si="63"/>
        <v>5187.8590200518011</v>
      </c>
      <c r="M312" s="29">
        <f t="shared" ca="1" si="64"/>
        <v>9548.5011285146811</v>
      </c>
      <c r="O312" s="29">
        <f ca="1">SUM($L$12:L312)</f>
        <v>1072642.4982276976</v>
      </c>
      <c r="P312" s="29">
        <f ca="1">SUM($M$12:M312)</f>
        <v>1582937.3536540112</v>
      </c>
      <c r="R312" s="29">
        <f t="shared" ca="1" si="73"/>
        <v>2283176.2935562306</v>
      </c>
      <c r="S312" s="29">
        <f t="shared" ca="1" si="74"/>
        <v>4202294.4978566421</v>
      </c>
    </row>
    <row r="313" spans="2:19" x14ac:dyDescent="0.25">
      <c r="B313" s="12">
        <f t="shared" ca="1" si="65"/>
        <v>2</v>
      </c>
      <c r="C313" s="28">
        <f t="shared" ca="1" si="66"/>
        <v>25</v>
      </c>
      <c r="D313" s="45">
        <f t="shared" ca="1" si="67"/>
        <v>179.59083642248004</v>
      </c>
      <c r="E313" s="46">
        <f t="shared" ca="1" si="68"/>
        <v>2.7243851535434987E-2</v>
      </c>
      <c r="F313" s="21">
        <f t="shared" ca="1" si="69"/>
        <v>55274</v>
      </c>
      <c r="G313" s="47">
        <f t="shared" ca="1" si="70"/>
        <v>0.40772884038488633</v>
      </c>
      <c r="H313" s="29">
        <f t="shared" si="62"/>
        <v>3000</v>
      </c>
      <c r="I313" s="42">
        <f t="shared" ca="1" si="71"/>
        <v>12751.104861451489</v>
      </c>
      <c r="J313" s="42">
        <f t="shared" ca="1" si="72"/>
        <v>23508.141658277771</v>
      </c>
      <c r="L313" s="29">
        <f t="shared" ca="1" si="63"/>
        <v>5198.9931987857026</v>
      </c>
      <c r="M313" s="29">
        <f t="shared" ca="1" si="64"/>
        <v>9584.9473379332339</v>
      </c>
      <c r="O313" s="29">
        <f ca="1">SUM($L$12:L313)</f>
        <v>1077841.4914264833</v>
      </c>
      <c r="P313" s="29">
        <f ca="1">SUM($M$12:M313)</f>
        <v>1592522.3009919445</v>
      </c>
      <c r="R313" s="29">
        <f t="shared" ca="1" si="73"/>
        <v>2289981.5873788246</v>
      </c>
      <c r="S313" s="29">
        <f t="shared" ca="1" si="74"/>
        <v>4221846.8231482515</v>
      </c>
    </row>
    <row r="314" spans="2:19" x14ac:dyDescent="0.25">
      <c r="B314" s="12">
        <f t="shared" ca="1" si="65"/>
        <v>2</v>
      </c>
      <c r="C314" s="28">
        <f t="shared" ca="1" si="66"/>
        <v>25</v>
      </c>
      <c r="D314" s="45">
        <f t="shared" ca="1" si="67"/>
        <v>179.89015448318418</v>
      </c>
      <c r="E314" s="46">
        <f t="shared" ca="1" si="68"/>
        <v>2.7221186101545274E-2</v>
      </c>
      <c r="F314" s="21">
        <f t="shared" ca="1" si="69"/>
        <v>55305</v>
      </c>
      <c r="G314" s="47">
        <f t="shared" ca="1" si="70"/>
        <v>0.40806861441854042</v>
      </c>
      <c r="H314" s="29">
        <f t="shared" si="62"/>
        <v>3000</v>
      </c>
      <c r="I314" s="42">
        <f t="shared" ca="1" si="71"/>
        <v>12767.781705209942</v>
      </c>
      <c r="J314" s="42">
        <f t="shared" ca="1" si="72"/>
        <v>23578.100725098793</v>
      </c>
      <c r="L314" s="29">
        <f t="shared" ca="1" si="63"/>
        <v>5210.1309896434104</v>
      </c>
      <c r="M314" s="29">
        <f t="shared" ca="1" si="64"/>
        <v>9621.4828935118476</v>
      </c>
      <c r="O314" s="29">
        <f ca="1">SUM($L$12:L314)</f>
        <v>1083051.6224161268</v>
      </c>
      <c r="P314" s="29">
        <f ca="1">SUM($M$12:M314)</f>
        <v>1602143.7838854564</v>
      </c>
      <c r="R314" s="29">
        <f t="shared" ca="1" si="73"/>
        <v>2296798.2233577892</v>
      </c>
      <c r="S314" s="29">
        <f t="shared" ca="1" si="74"/>
        <v>4241468.1818580991</v>
      </c>
    </row>
    <row r="315" spans="2:19" x14ac:dyDescent="0.25">
      <c r="B315" s="12">
        <f t="shared" ca="1" si="65"/>
        <v>3</v>
      </c>
      <c r="C315" s="28">
        <f t="shared" ca="1" si="66"/>
        <v>25</v>
      </c>
      <c r="D315" s="45">
        <f t="shared" ca="1" si="67"/>
        <v>180.18997140732282</v>
      </c>
      <c r="E315" s="46">
        <f t="shared" ca="1" si="68"/>
        <v>2.7198539524089745E-2</v>
      </c>
      <c r="F315" s="21">
        <f t="shared" ca="1" si="69"/>
        <v>55335</v>
      </c>
      <c r="G315" s="47">
        <f t="shared" ca="1" si="70"/>
        <v>0.40840867159722255</v>
      </c>
      <c r="H315" s="29">
        <f t="shared" si="62"/>
        <v>3000</v>
      </c>
      <c r="I315" s="42">
        <f t="shared" ca="1" si="71"/>
        <v>12784.430800476284</v>
      </c>
      <c r="J315" s="42">
        <f t="shared" ca="1" si="72"/>
        <v>23648.146148797656</v>
      </c>
      <c r="L315" s="29">
        <f t="shared" ca="1" si="63"/>
        <v>5221.2724003491358</v>
      </c>
      <c r="M315" s="29">
        <f t="shared" ca="1" si="64"/>
        <v>9658.1079543674241</v>
      </c>
      <c r="O315" s="29">
        <f ca="1">SUM($L$12:L315)</f>
        <v>1088272.8948164759</v>
      </c>
      <c r="P315" s="29">
        <f ca="1">SUM($M$12:M315)</f>
        <v>1611801.8918398239</v>
      </c>
      <c r="R315" s="29">
        <f t="shared" ca="1" si="73"/>
        <v>2303626.2203967189</v>
      </c>
      <c r="S315" s="29">
        <f t="shared" ca="1" si="74"/>
        <v>4261158.7783880411</v>
      </c>
    </row>
    <row r="316" spans="2:19" x14ac:dyDescent="0.25">
      <c r="B316" s="12">
        <f t="shared" ca="1" si="65"/>
        <v>3</v>
      </c>
      <c r="C316" s="28">
        <f t="shared" ca="1" si="66"/>
        <v>25</v>
      </c>
      <c r="D316" s="45">
        <f t="shared" ca="1" si="67"/>
        <v>180.49028802633504</v>
      </c>
      <c r="E316" s="46">
        <f t="shared" ca="1" si="68"/>
        <v>2.7175911787380852E-2</v>
      </c>
      <c r="F316" s="21">
        <f t="shared" ca="1" si="69"/>
        <v>55366</v>
      </c>
      <c r="G316" s="47">
        <f t="shared" ca="1" si="70"/>
        <v>0.40874901215688692</v>
      </c>
      <c r="H316" s="29">
        <f t="shared" si="62"/>
        <v>3000</v>
      </c>
      <c r="I316" s="42">
        <f t="shared" ca="1" si="71"/>
        <v>12801.052193421052</v>
      </c>
      <c r="J316" s="42">
        <f t="shared" ca="1" si="72"/>
        <v>23718.277944213267</v>
      </c>
      <c r="L316" s="29">
        <f t="shared" ca="1" si="63"/>
        <v>5232.4174386296054</v>
      </c>
      <c r="M316" s="29">
        <f t="shared" ca="1" si="64"/>
        <v>9694.8226797596508</v>
      </c>
      <c r="O316" s="29">
        <f ca="1">SUM($L$12:L316)</f>
        <v>1093505.3122551055</v>
      </c>
      <c r="P316" s="29">
        <f ca="1">SUM($M$12:M316)</f>
        <v>1621496.7145195836</v>
      </c>
      <c r="R316" s="29">
        <f t="shared" ca="1" si="73"/>
        <v>2310465.5974307135</v>
      </c>
      <c r="S316" s="29">
        <f t="shared" ca="1" si="74"/>
        <v>4280918.8176397225</v>
      </c>
    </row>
    <row r="317" spans="2:19" x14ac:dyDescent="0.25">
      <c r="B317" s="12">
        <f t="shared" ca="1" si="65"/>
        <v>3</v>
      </c>
      <c r="C317" s="28">
        <f t="shared" ca="1" si="66"/>
        <v>25</v>
      </c>
      <c r="D317" s="45">
        <f t="shared" ca="1" si="67"/>
        <v>180.79110517304559</v>
      </c>
      <c r="E317" s="46">
        <f t="shared" ca="1" si="68"/>
        <v>2.7153302875744096E-2</v>
      </c>
      <c r="F317" s="21">
        <f t="shared" ca="1" si="69"/>
        <v>55397</v>
      </c>
      <c r="G317" s="47">
        <f t="shared" ca="1" si="70"/>
        <v>0.40908963633368434</v>
      </c>
      <c r="H317" s="29">
        <f t="shared" si="62"/>
        <v>3000</v>
      </c>
      <c r="I317" s="42">
        <f t="shared" ca="1" si="71"/>
        <v>12817.645930137958</v>
      </c>
      <c r="J317" s="42">
        <f t="shared" ca="1" si="72"/>
        <v>23788.496125951846</v>
      </c>
      <c r="L317" s="29">
        <f t="shared" ca="1" si="63"/>
        <v>5243.5661122140664</v>
      </c>
      <c r="M317" s="29">
        <f t="shared" ca="1" si="64"/>
        <v>9731.6272290909001</v>
      </c>
      <c r="O317" s="29">
        <f ca="1">SUM($L$12:L317)</f>
        <v>1098748.8783673195</v>
      </c>
      <c r="P317" s="29">
        <f ca="1">SUM($M$12:M317)</f>
        <v>1631228.3417486746</v>
      </c>
      <c r="R317" s="29">
        <f t="shared" ca="1" si="73"/>
        <v>2317316.3734264313</v>
      </c>
      <c r="S317" s="29">
        <f t="shared" ca="1" si="74"/>
        <v>4300748.5050155474</v>
      </c>
    </row>
    <row r="318" spans="2:19" x14ac:dyDescent="0.25">
      <c r="B318" s="12">
        <f t="shared" ca="1" si="65"/>
        <v>4</v>
      </c>
      <c r="C318" s="28">
        <f t="shared" ca="1" si="66"/>
        <v>25</v>
      </c>
      <c r="D318" s="45">
        <f t="shared" ca="1" si="67"/>
        <v>181.09242368166736</v>
      </c>
      <c r="E318" s="46">
        <f t="shared" ca="1" si="68"/>
        <v>2.7130712773518018E-2</v>
      </c>
      <c r="F318" s="21">
        <f t="shared" ca="1" si="69"/>
        <v>55427</v>
      </c>
      <c r="G318" s="47">
        <f t="shared" ca="1" si="70"/>
        <v>0.40943054436396242</v>
      </c>
      <c r="H318" s="29">
        <f t="shared" si="62"/>
        <v>3000</v>
      </c>
      <c r="I318" s="42">
        <f t="shared" ca="1" si="71"/>
        <v>12834.212056644021</v>
      </c>
      <c r="J318" s="42">
        <f t="shared" ca="1" si="72"/>
        <v>23858.800708386898</v>
      </c>
      <c r="L318" s="29">
        <f t="shared" ca="1" si="63"/>
        <v>5254.7184288342914</v>
      </c>
      <c r="M318" s="29">
        <f t="shared" ca="1" si="64"/>
        <v>9768.5217619061405</v>
      </c>
      <c r="O318" s="29">
        <f ca="1">SUM($L$12:L318)</f>
        <v>1104003.5967961538</v>
      </c>
      <c r="P318" s="29">
        <f ca="1">SUM($M$12:M318)</f>
        <v>1640996.8635105807</v>
      </c>
      <c r="R318" s="29">
        <f t="shared" ca="1" si="73"/>
        <v>2324178.5673821424</v>
      </c>
      <c r="S318" s="29">
        <f t="shared" ca="1" si="74"/>
        <v>4320648.0464196652</v>
      </c>
    </row>
    <row r="319" spans="2:19" x14ac:dyDescent="0.25">
      <c r="B319" s="12">
        <f t="shared" ca="1" si="65"/>
        <v>4</v>
      </c>
      <c r="C319" s="28">
        <f t="shared" ca="1" si="66"/>
        <v>25</v>
      </c>
      <c r="D319" s="45">
        <f t="shared" ca="1" si="67"/>
        <v>181.39424438780347</v>
      </c>
      <c r="E319" s="46">
        <f t="shared" ca="1" si="68"/>
        <v>2.7108141465054192E-2</v>
      </c>
      <c r="F319" s="21">
        <f t="shared" ca="1" si="69"/>
        <v>55458</v>
      </c>
      <c r="G319" s="47">
        <f t="shared" ca="1" si="70"/>
        <v>0.40977173648426574</v>
      </c>
      <c r="H319" s="29">
        <f t="shared" si="62"/>
        <v>3000</v>
      </c>
      <c r="I319" s="42">
        <f t="shared" ca="1" si="71"/>
        <v>12850.750618879691</v>
      </c>
      <c r="J319" s="42">
        <f t="shared" ca="1" si="72"/>
        <v>23929.191705659163</v>
      </c>
      <c r="L319" s="29">
        <f t="shared" ca="1" si="63"/>
        <v>5265.8743962245835</v>
      </c>
      <c r="M319" s="29">
        <f t="shared" ca="1" si="64"/>
        <v>9805.5064378928437</v>
      </c>
      <c r="O319" s="29">
        <f ca="1">SUM($L$12:L319)</f>
        <v>1109269.4711923783</v>
      </c>
      <c r="P319" s="29">
        <f ca="1">SUM($M$12:M319)</f>
        <v>1650802.3699484735</v>
      </c>
      <c r="R319" s="29">
        <f t="shared" ca="1" si="73"/>
        <v>2331052.1983277793</v>
      </c>
      <c r="S319" s="29">
        <f t="shared" ca="1" si="74"/>
        <v>4340617.6482589375</v>
      </c>
    </row>
    <row r="320" spans="2:19" x14ac:dyDescent="0.25">
      <c r="B320" s="12">
        <f t="shared" ca="1" si="65"/>
        <v>4</v>
      </c>
      <c r="C320" s="28">
        <f t="shared" ca="1" si="66"/>
        <v>25</v>
      </c>
      <c r="D320" s="45">
        <f t="shared" ca="1" si="67"/>
        <v>181.69656812844983</v>
      </c>
      <c r="E320" s="46">
        <f t="shared" ca="1" si="68"/>
        <v>2.7085588934717204E-2</v>
      </c>
      <c r="F320" s="21">
        <f t="shared" ca="1" si="69"/>
        <v>55488</v>
      </c>
      <c r="G320" s="47">
        <f t="shared" ca="1" si="70"/>
        <v>0.41011321293133596</v>
      </c>
      <c r="H320" s="29">
        <f t="shared" si="62"/>
        <v>3000</v>
      </c>
      <c r="I320" s="42">
        <f t="shared" ca="1" si="71"/>
        <v>12867.261662708979</v>
      </c>
      <c r="J320" s="42">
        <f t="shared" ca="1" si="72"/>
        <v>23999.669131676586</v>
      </c>
      <c r="L320" s="29">
        <f t="shared" ca="1" si="63"/>
        <v>5277.0340221217839</v>
      </c>
      <c r="M320" s="29">
        <f t="shared" ca="1" si="64"/>
        <v>9842.5814168808902</v>
      </c>
      <c r="O320" s="29">
        <f ca="1">SUM($L$12:L320)</f>
        <v>1114546.5052145</v>
      </c>
      <c r="P320" s="29">
        <f ca="1">SUM($M$12:M320)</f>
        <v>1660644.9513653545</v>
      </c>
      <c r="R320" s="29">
        <f t="shared" ca="1" si="73"/>
        <v>2337937.2853249926</v>
      </c>
      <c r="S320" s="29">
        <f t="shared" ca="1" si="74"/>
        <v>4360657.5174439289</v>
      </c>
    </row>
    <row r="321" spans="2:19" x14ac:dyDescent="0.25">
      <c r="B321" s="12">
        <f t="shared" ca="1" si="65"/>
        <v>1</v>
      </c>
      <c r="C321" s="28">
        <f t="shared" ca="1" si="66"/>
        <v>26</v>
      </c>
      <c r="D321" s="45">
        <f t="shared" ca="1" si="67"/>
        <v>181.99939574199726</v>
      </c>
      <c r="E321" s="46">
        <f t="shared" ca="1" si="68"/>
        <v>2.7063055166884661E-2</v>
      </c>
      <c r="F321" s="21">
        <f t="shared" ca="1" si="69"/>
        <v>55519</v>
      </c>
      <c r="G321" s="47">
        <f t="shared" ca="1" si="70"/>
        <v>0.41045497394211206</v>
      </c>
      <c r="H321" s="29">
        <f t="shared" si="62"/>
        <v>3000</v>
      </c>
      <c r="I321" s="42">
        <f t="shared" ca="1" si="71"/>
        <v>12883.745233919582</v>
      </c>
      <c r="J321" s="42">
        <f t="shared" ca="1" si="72"/>
        <v>24070.233000114295</v>
      </c>
      <c r="L321" s="29">
        <f t="shared" ca="1" si="63"/>
        <v>5288.1973142652723</v>
      </c>
      <c r="M321" s="29">
        <f t="shared" ca="1" si="64"/>
        <v>9879.7468588424781</v>
      </c>
      <c r="O321" s="29">
        <f ca="1">SUM($L$12:L321)</f>
        <v>1119834.7025287652</v>
      </c>
      <c r="P321" s="29">
        <f ca="1">SUM($M$12:M321)</f>
        <v>1670524.6982241969</v>
      </c>
      <c r="R321" s="29">
        <f t="shared" ca="1" si="73"/>
        <v>2344833.8474672013</v>
      </c>
      <c r="S321" s="29">
        <f t="shared" ca="1" si="74"/>
        <v>4380767.8613898838</v>
      </c>
    </row>
    <row r="322" spans="2:19" x14ac:dyDescent="0.25">
      <c r="B322" s="12">
        <f t="shared" ca="1" si="65"/>
        <v>1</v>
      </c>
      <c r="C322" s="28">
        <f t="shared" ca="1" si="66"/>
        <v>26</v>
      </c>
      <c r="D322" s="45">
        <f t="shared" ca="1" si="67"/>
        <v>182.30272806823393</v>
      </c>
      <c r="E322" s="46">
        <f t="shared" ca="1" si="68"/>
        <v>2.7040540145947152E-2</v>
      </c>
      <c r="F322" s="21">
        <f t="shared" ca="1" si="69"/>
        <v>55550</v>
      </c>
      <c r="G322" s="47">
        <f t="shared" ca="1" si="70"/>
        <v>0.41079701975373051</v>
      </c>
      <c r="H322" s="29">
        <f t="shared" si="62"/>
        <v>3000</v>
      </c>
      <c r="I322" s="42">
        <f t="shared" ca="1" si="71"/>
        <v>12900.201378223013</v>
      </c>
      <c r="J322" s="42">
        <f t="shared" ca="1" si="72"/>
        <v>24140.883324414553</v>
      </c>
      <c r="L322" s="29">
        <f t="shared" ca="1" si="63"/>
        <v>5299.3642803969806</v>
      </c>
      <c r="M322" s="29">
        <f t="shared" ca="1" si="64"/>
        <v>9917.0029238920288</v>
      </c>
      <c r="O322" s="29">
        <f ca="1">SUM($L$12:L322)</f>
        <v>1125134.0668091623</v>
      </c>
      <c r="P322" s="29">
        <f ca="1">SUM($M$12:M322)</f>
        <v>1680441.701148089</v>
      </c>
      <c r="R322" s="29">
        <f t="shared" ca="1" si="73"/>
        <v>2351741.9038796467</v>
      </c>
      <c r="S322" s="29">
        <f t="shared" ca="1" si="74"/>
        <v>4400948.8880177094</v>
      </c>
    </row>
    <row r="323" spans="2:19" x14ac:dyDescent="0.25">
      <c r="B323" s="12">
        <f t="shared" ca="1" si="65"/>
        <v>1</v>
      </c>
      <c r="C323" s="28">
        <f t="shared" ca="1" si="66"/>
        <v>26</v>
      </c>
      <c r="D323" s="45">
        <f t="shared" ca="1" si="67"/>
        <v>182.60656594834765</v>
      </c>
      <c r="E323" s="46">
        <f t="shared" ca="1" si="68"/>
        <v>2.7018043856308262E-2</v>
      </c>
      <c r="F323" s="21">
        <f t="shared" ca="1" si="69"/>
        <v>55579</v>
      </c>
      <c r="G323" s="47">
        <f t="shared" ca="1" si="70"/>
        <v>0.4111393506035253</v>
      </c>
      <c r="H323" s="29">
        <f t="shared" si="62"/>
        <v>3000</v>
      </c>
      <c r="I323" s="42">
        <f t="shared" ca="1" si="71"/>
        <v>12916.630141254725</v>
      </c>
      <c r="J323" s="42">
        <f t="shared" ca="1" si="72"/>
        <v>24211.620117786737</v>
      </c>
      <c r="L323" s="29">
        <f t="shared" ca="1" si="63"/>
        <v>5310.5349282613888</v>
      </c>
      <c r="M323" s="29">
        <f t="shared" ca="1" si="64"/>
        <v>9954.3497722860884</v>
      </c>
      <c r="O323" s="29">
        <f ca="1">SUM($L$12:L323)</f>
        <v>1130444.6017374236</v>
      </c>
      <c r="P323" s="29">
        <f ca="1">SUM($M$12:M323)</f>
        <v>1690396.0509203752</v>
      </c>
      <c r="R323" s="29">
        <f t="shared" ca="1" si="73"/>
        <v>2358661.473719446</v>
      </c>
      <c r="S323" s="29">
        <f t="shared" ca="1" si="74"/>
        <v>4421200.8057549642</v>
      </c>
    </row>
    <row r="324" spans="2:19" x14ac:dyDescent="0.25">
      <c r="B324" s="12">
        <f t="shared" ca="1" si="65"/>
        <v>2</v>
      </c>
      <c r="C324" s="28">
        <f t="shared" ca="1" si="66"/>
        <v>26</v>
      </c>
      <c r="D324" s="45">
        <f t="shared" ca="1" si="67"/>
        <v>182.91091022492824</v>
      </c>
      <c r="E324" s="46">
        <f t="shared" ca="1" si="68"/>
        <v>2.6995566282384545E-2</v>
      </c>
      <c r="F324" s="21">
        <f t="shared" ca="1" si="69"/>
        <v>55610</v>
      </c>
      <c r="G324" s="47">
        <f t="shared" ca="1" si="70"/>
        <v>0.41148196672902826</v>
      </c>
      <c r="H324" s="29">
        <f t="shared" si="62"/>
        <v>3000</v>
      </c>
      <c r="I324" s="42">
        <f t="shared" ca="1" si="71"/>
        <v>12933.031568574237</v>
      </c>
      <c r="J324" s="42">
        <f t="shared" ca="1" si="72"/>
        <v>24282.443393207301</v>
      </c>
      <c r="L324" s="29">
        <f t="shared" ca="1" si="63"/>
        <v>5321.7092656055365</v>
      </c>
      <c r="M324" s="29">
        <f t="shared" ca="1" si="64"/>
        <v>9991.787564423239</v>
      </c>
      <c r="O324" s="29">
        <f ca="1">SUM($L$12:L324)</f>
        <v>1135766.3110030291</v>
      </c>
      <c r="P324" s="29">
        <f ca="1">SUM($M$12:M324)</f>
        <v>1700387.8384847983</v>
      </c>
      <c r="R324" s="29">
        <f t="shared" ca="1" si="73"/>
        <v>2365592.576175645</v>
      </c>
      <c r="S324" s="29">
        <f t="shared" ca="1" si="74"/>
        <v>4441523.8235368421</v>
      </c>
    </row>
    <row r="325" spans="2:19" x14ac:dyDescent="0.25">
      <c r="B325" s="12">
        <f t="shared" ca="1" si="65"/>
        <v>2</v>
      </c>
      <c r="C325" s="28">
        <f t="shared" ca="1" si="66"/>
        <v>26</v>
      </c>
      <c r="D325" s="45">
        <f t="shared" ca="1" si="67"/>
        <v>183.2157617419698</v>
      </c>
      <c r="E325" s="46">
        <f t="shared" ca="1" si="68"/>
        <v>2.6973107408605521E-2</v>
      </c>
      <c r="F325" s="21">
        <f t="shared" ca="1" si="69"/>
        <v>55640</v>
      </c>
      <c r="G325" s="47">
        <f t="shared" ca="1" si="70"/>
        <v>0.41182486836796911</v>
      </c>
      <c r="H325" s="29">
        <f t="shared" si="62"/>
        <v>3000</v>
      </c>
      <c r="I325" s="42">
        <f t="shared" ca="1" si="71"/>
        <v>12949.405705665264</v>
      </c>
      <c r="J325" s="42">
        <f t="shared" ca="1" si="72"/>
        <v>24353.353163419757</v>
      </c>
      <c r="L325" s="29">
        <f t="shared" ca="1" si="63"/>
        <v>5332.8873001790253</v>
      </c>
      <c r="M325" s="29">
        <f t="shared" ca="1" si="64"/>
        <v>10029.316460844006</v>
      </c>
      <c r="O325" s="29">
        <f ca="1">SUM($L$12:L325)</f>
        <v>1141099.1983032082</v>
      </c>
      <c r="P325" s="29">
        <f ca="1">SUM($M$12:M325)</f>
        <v>1710417.1549456422</v>
      </c>
      <c r="R325" s="29">
        <f t="shared" ca="1" si="73"/>
        <v>2372535.2304692711</v>
      </c>
      <c r="S325" s="29">
        <f t="shared" ca="1" si="74"/>
        <v>4461918.1508071609</v>
      </c>
    </row>
    <row r="326" spans="2:19" x14ac:dyDescent="0.25">
      <c r="B326" s="12">
        <f t="shared" ca="1" si="65"/>
        <v>2</v>
      </c>
      <c r="C326" s="28">
        <f t="shared" ca="1" si="66"/>
        <v>26</v>
      </c>
      <c r="D326" s="45">
        <f t="shared" ca="1" si="67"/>
        <v>183.52112134487308</v>
      </c>
      <c r="E326" s="46">
        <f t="shared" ca="1" si="68"/>
        <v>2.6950667219413672E-2</v>
      </c>
      <c r="F326" s="21">
        <f t="shared" ca="1" si="69"/>
        <v>55671</v>
      </c>
      <c r="G326" s="47">
        <f t="shared" ca="1" si="70"/>
        <v>0.41216805575827575</v>
      </c>
      <c r="H326" s="29">
        <f t="shared" si="62"/>
        <v>3000</v>
      </c>
      <c r="I326" s="42">
        <f t="shared" ca="1" si="71"/>
        <v>12965.75259793584</v>
      </c>
      <c r="J326" s="42">
        <f t="shared" ca="1" si="72"/>
        <v>24424.349440934646</v>
      </c>
      <c r="L326" s="29">
        <f t="shared" ca="1" si="63"/>
        <v>5344.0690397340277</v>
      </c>
      <c r="M326" s="29">
        <f t="shared" ca="1" si="64"/>
        <v>10066.936622230762</v>
      </c>
      <c r="O326" s="29">
        <f ca="1">SUM($L$12:L326)</f>
        <v>1146443.2673429423</v>
      </c>
      <c r="P326" s="29">
        <f ca="1">SUM($M$12:M326)</f>
        <v>1720484.091567873</v>
      </c>
      <c r="R326" s="29">
        <f t="shared" ca="1" si="73"/>
        <v>2379489.4558533868</v>
      </c>
      <c r="S326" s="29">
        <f t="shared" ca="1" si="74"/>
        <v>4482383.9975193497</v>
      </c>
    </row>
    <row r="327" spans="2:19" x14ac:dyDescent="0.25">
      <c r="B327" s="12">
        <f t="shared" ca="1" si="65"/>
        <v>3</v>
      </c>
      <c r="C327" s="28">
        <f t="shared" ca="1" si="66"/>
        <v>26</v>
      </c>
      <c r="D327" s="45">
        <f t="shared" ca="1" si="67"/>
        <v>183.82698988044788</v>
      </c>
      <c r="E327" s="46">
        <f t="shared" ca="1" si="68"/>
        <v>2.6928245699264403E-2</v>
      </c>
      <c r="F327" s="21">
        <f t="shared" ca="1" si="69"/>
        <v>55701</v>
      </c>
      <c r="G327" s="47">
        <f t="shared" ca="1" si="70"/>
        <v>0.41251152913807432</v>
      </c>
      <c r="H327" s="29">
        <f t="shared" si="62"/>
        <v>3000</v>
      </c>
      <c r="I327" s="42">
        <f t="shared" ca="1" si="71"/>
        <v>12982.072290718444</v>
      </c>
      <c r="J327" s="42">
        <f t="shared" ca="1" si="72"/>
        <v>24495.432238029505</v>
      </c>
      <c r="L327" s="29">
        <f t="shared" ca="1" si="63"/>
        <v>5355.2544920252885</v>
      </c>
      <c r="M327" s="29">
        <f t="shared" ca="1" si="64"/>
        <v>10104.648209407633</v>
      </c>
      <c r="O327" s="29">
        <f ca="1">SUM($L$12:L327)</f>
        <v>1151798.5218349677</v>
      </c>
      <c r="P327" s="29">
        <f ca="1">SUM($M$12:M327)</f>
        <v>1730588.7397772807</v>
      </c>
      <c r="R327" s="29">
        <f t="shared" ca="1" si="73"/>
        <v>2386455.2716131425</v>
      </c>
      <c r="S327" s="29">
        <f t="shared" ca="1" si="74"/>
        <v>4502921.5741374465</v>
      </c>
    </row>
    <row r="328" spans="2:19" x14ac:dyDescent="0.25">
      <c r="B328" s="12">
        <f t="shared" ca="1" si="65"/>
        <v>3</v>
      </c>
      <c r="C328" s="28">
        <f t="shared" ca="1" si="66"/>
        <v>26</v>
      </c>
      <c r="D328" s="45">
        <f t="shared" ca="1" si="67"/>
        <v>184.13336819691531</v>
      </c>
      <c r="E328" s="46">
        <f t="shared" ca="1" si="68"/>
        <v>2.6905842832626078E-2</v>
      </c>
      <c r="F328" s="21">
        <f t="shared" ca="1" si="69"/>
        <v>55732</v>
      </c>
      <c r="G328" s="47">
        <f t="shared" ca="1" si="70"/>
        <v>0.41285528874568939</v>
      </c>
      <c r="H328" s="29">
        <f t="shared" si="62"/>
        <v>3000</v>
      </c>
      <c r="I328" s="42">
        <f t="shared" ca="1" si="71"/>
        <v>12998.364829270131</v>
      </c>
      <c r="J328" s="42">
        <f t="shared" ca="1" si="72"/>
        <v>24566.601566748857</v>
      </c>
      <c r="L328" s="29">
        <f t="shared" ca="1" si="63"/>
        <v>5366.4436648101337</v>
      </c>
      <c r="M328" s="29">
        <f t="shared" ca="1" si="64"/>
        <v>10142.451383340405</v>
      </c>
      <c r="O328" s="29">
        <f ca="1">SUM($L$12:L328)</f>
        <v>1157164.9654997778</v>
      </c>
      <c r="P328" s="29">
        <f ca="1">SUM($M$12:M328)</f>
        <v>1740731.1911606211</v>
      </c>
      <c r="R328" s="29">
        <f t="shared" ca="1" si="73"/>
        <v>2393432.6970658312</v>
      </c>
      <c r="S328" s="29">
        <f t="shared" ca="1" si="74"/>
        <v>4523531.0916370843</v>
      </c>
    </row>
    <row r="329" spans="2:19" x14ac:dyDescent="0.25">
      <c r="B329" s="12">
        <f t="shared" ca="1" si="65"/>
        <v>3</v>
      </c>
      <c r="C329" s="28">
        <f t="shared" ca="1" si="66"/>
        <v>26</v>
      </c>
      <c r="D329" s="45">
        <f t="shared" ca="1" si="67"/>
        <v>184.44025714391017</v>
      </c>
      <c r="E329" s="46">
        <f t="shared" ca="1" si="68"/>
        <v>2.6883458603979966E-2</v>
      </c>
      <c r="F329" s="21">
        <f t="shared" ca="1" si="69"/>
        <v>55763</v>
      </c>
      <c r="G329" s="47">
        <f t="shared" ca="1" si="70"/>
        <v>0.4131993348196441</v>
      </c>
      <c r="H329" s="29">
        <f t="shared" si="62"/>
        <v>3000</v>
      </c>
      <c r="I329" s="42">
        <f t="shared" ca="1" si="71"/>
        <v>13014.630258772646</v>
      </c>
      <c r="J329" s="42">
        <f t="shared" ca="1" si="72"/>
        <v>24637.857438904175</v>
      </c>
      <c r="L329" s="29">
        <f t="shared" ca="1" si="63"/>
        <v>5377.6365658484701</v>
      </c>
      <c r="M329" s="29">
        <f t="shared" ca="1" si="64"/>
        <v>10180.346305136425</v>
      </c>
      <c r="O329" s="29">
        <f ca="1">SUM($L$12:L329)</f>
        <v>1162542.6020656263</v>
      </c>
      <c r="P329" s="29">
        <f ca="1">SUM($M$12:M329)</f>
        <v>1750911.5374657575</v>
      </c>
      <c r="R329" s="29">
        <f t="shared" ca="1" si="73"/>
        <v>2400421.7515609409</v>
      </c>
      <c r="S329" s="29">
        <f t="shared" ca="1" si="74"/>
        <v>4544212.7615064858</v>
      </c>
    </row>
    <row r="330" spans="2:19" x14ac:dyDescent="0.25">
      <c r="B330" s="12">
        <f t="shared" ca="1" si="65"/>
        <v>4</v>
      </c>
      <c r="C330" s="28">
        <f t="shared" ca="1" si="66"/>
        <v>26</v>
      </c>
      <c r="D330" s="45">
        <f t="shared" ca="1" si="67"/>
        <v>184.74765757248338</v>
      </c>
      <c r="E330" s="46">
        <f t="shared" ca="1" si="68"/>
        <v>2.6861092997820243E-2</v>
      </c>
      <c r="F330" s="21">
        <f t="shared" ca="1" si="69"/>
        <v>55793</v>
      </c>
      <c r="G330" s="47">
        <f t="shared" ca="1" si="70"/>
        <v>0.41354366759866046</v>
      </c>
      <c r="H330" s="29">
        <f t="shared" si="62"/>
        <v>3000</v>
      </c>
      <c r="I330" s="42">
        <f t="shared" ca="1" si="71"/>
        <v>13030.868624332561</v>
      </c>
      <c r="J330" s="42">
        <f t="shared" ca="1" si="72"/>
        <v>24709.199866073868</v>
      </c>
      <c r="L330" s="29">
        <f t="shared" ca="1" si="63"/>
        <v>5388.8332029027988</v>
      </c>
      <c r="M330" s="29">
        <f t="shared" ca="1" si="64"/>
        <v>10218.333136044517</v>
      </c>
      <c r="O330" s="29">
        <f ca="1">SUM($L$12:L330)</f>
        <v>1167931.435268529</v>
      </c>
      <c r="P330" s="29">
        <f ca="1">SUM($M$12:M330)</f>
        <v>1761129.8706018019</v>
      </c>
      <c r="R330" s="29">
        <f t="shared" ca="1" si="73"/>
        <v>2407422.4544802094</v>
      </c>
      <c r="S330" s="29">
        <f t="shared" ca="1" si="74"/>
        <v>4564966.7957474673</v>
      </c>
    </row>
    <row r="331" spans="2:19" x14ac:dyDescent="0.25">
      <c r="B331" s="12">
        <f t="shared" ca="1" si="65"/>
        <v>4</v>
      </c>
      <c r="C331" s="28">
        <f t="shared" ca="1" si="66"/>
        <v>26</v>
      </c>
      <c r="D331" s="45">
        <f t="shared" ca="1" si="67"/>
        <v>185.05557033510419</v>
      </c>
      <c r="E331" s="46">
        <f t="shared" ca="1" si="68"/>
        <v>2.6838745998654E-2</v>
      </c>
      <c r="F331" s="21">
        <f t="shared" ca="1" si="69"/>
        <v>55824</v>
      </c>
      <c r="G331" s="47">
        <f t="shared" ca="1" si="70"/>
        <v>0.41388828732165933</v>
      </c>
      <c r="H331" s="29">
        <f t="shared" si="62"/>
        <v>3000</v>
      </c>
      <c r="I331" s="42">
        <f t="shared" ca="1" si="71"/>
        <v>13047.079970981395</v>
      </c>
      <c r="J331" s="42">
        <f t="shared" ca="1" si="72"/>
        <v>24780.628859603261</v>
      </c>
      <c r="L331" s="29">
        <f t="shared" ca="1" si="63"/>
        <v>5400.0335837382145</v>
      </c>
      <c r="M331" s="29">
        <f t="shared" ca="1" si="64"/>
        <v>10256.412037454878</v>
      </c>
      <c r="O331" s="29">
        <f ca="1">SUM($L$12:L331)</f>
        <v>1173331.4688522671</v>
      </c>
      <c r="P331" s="29">
        <f ca="1">SUM($M$12:M331)</f>
        <v>1771386.2826392567</v>
      </c>
      <c r="R331" s="29">
        <f t="shared" ca="1" si="73"/>
        <v>2414434.8252376765</v>
      </c>
      <c r="S331" s="29">
        <f t="shared" ca="1" si="74"/>
        <v>4585793.4068764243</v>
      </c>
    </row>
    <row r="332" spans="2:19" x14ac:dyDescent="0.25">
      <c r="B332" s="12">
        <f t="shared" ca="1" si="65"/>
        <v>4</v>
      </c>
      <c r="C332" s="28">
        <f t="shared" ca="1" si="66"/>
        <v>26</v>
      </c>
      <c r="D332" s="45">
        <f t="shared" ca="1" si="67"/>
        <v>185.36399628566269</v>
      </c>
      <c r="E332" s="46">
        <f t="shared" ca="1" si="68"/>
        <v>2.6816417591001212E-2</v>
      </c>
      <c r="F332" s="21">
        <f t="shared" ca="1" si="69"/>
        <v>55854</v>
      </c>
      <c r="G332" s="47">
        <f t="shared" ca="1" si="70"/>
        <v>0.41423319422776073</v>
      </c>
      <c r="H332" s="29">
        <f t="shared" si="62"/>
        <v>3000</v>
      </c>
      <c r="I332" s="42">
        <f t="shared" ca="1" si="71"/>
        <v>13063.264343675737</v>
      </c>
      <c r="J332" s="42">
        <f t="shared" ca="1" si="72"/>
        <v>24852.144430604578</v>
      </c>
      <c r="L332" s="29">
        <f t="shared" ca="1" si="63"/>
        <v>5411.2377161224131</v>
      </c>
      <c r="M332" s="29">
        <f t="shared" ca="1" si="64"/>
        <v>10294.583170898988</v>
      </c>
      <c r="O332" s="29">
        <f ca="1">SUM($L$12:L332)</f>
        <v>1178742.7065683894</v>
      </c>
      <c r="P332" s="29">
        <f ca="1">SUM($M$12:M332)</f>
        <v>1781680.8658101556</v>
      </c>
      <c r="R332" s="29">
        <f t="shared" ca="1" si="73"/>
        <v>2421458.8832797394</v>
      </c>
      <c r="S332" s="29">
        <f t="shared" ca="1" si="74"/>
        <v>4606692.8079253398</v>
      </c>
    </row>
    <row r="333" spans="2:19" x14ac:dyDescent="0.25">
      <c r="B333" s="12">
        <f t="shared" ca="1" si="65"/>
        <v>1</v>
      </c>
      <c r="C333" s="28">
        <f t="shared" ca="1" si="66"/>
        <v>27</v>
      </c>
      <c r="D333" s="45">
        <f t="shared" ca="1" si="67"/>
        <v>185.67293627947214</v>
      </c>
      <c r="E333" s="46">
        <f t="shared" ca="1" si="68"/>
        <v>2.6794107759394722E-2</v>
      </c>
      <c r="F333" s="21">
        <f t="shared" ca="1" si="69"/>
        <v>55885</v>
      </c>
      <c r="G333" s="47">
        <f t="shared" ca="1" si="70"/>
        <v>0.41457838855628387</v>
      </c>
      <c r="H333" s="29">
        <f t="shared" si="62"/>
        <v>3000</v>
      </c>
      <c r="I333" s="42">
        <f t="shared" ca="1" si="71"/>
        <v>13079.421787297377</v>
      </c>
      <c r="J333" s="42">
        <f t="shared" ca="1" si="72"/>
        <v>24923.746589956914</v>
      </c>
      <c r="L333" s="29">
        <f t="shared" ca="1" si="63"/>
        <v>5422.4456078256972</v>
      </c>
      <c r="M333" s="29">
        <f t="shared" ca="1" si="64"/>
        <v>10332.846698049512</v>
      </c>
      <c r="O333" s="29">
        <f ca="1">SUM($L$12:L333)</f>
        <v>1184165.1521762151</v>
      </c>
      <c r="P333" s="29">
        <f ca="1">SUM($M$12:M333)</f>
        <v>1792013.7125082051</v>
      </c>
      <c r="R333" s="29">
        <f t="shared" ca="1" si="73"/>
        <v>2428494.6480852054</v>
      </c>
      <c r="S333" s="29">
        <f t="shared" ca="1" si="74"/>
        <v>4627665.2124427808</v>
      </c>
    </row>
    <row r="334" spans="2:19" x14ac:dyDescent="0.25">
      <c r="B334" s="12">
        <f t="shared" ca="1" si="65"/>
        <v>1</v>
      </c>
      <c r="C334" s="28">
        <f t="shared" ca="1" si="66"/>
        <v>27</v>
      </c>
      <c r="D334" s="45">
        <f t="shared" ca="1" si="67"/>
        <v>185.98239117327125</v>
      </c>
      <c r="E334" s="46">
        <f t="shared" ca="1" si="68"/>
        <v>2.6771816488380253E-2</v>
      </c>
      <c r="F334" s="21">
        <f t="shared" ca="1" si="69"/>
        <v>55916</v>
      </c>
      <c r="G334" s="47">
        <f t="shared" ca="1" si="70"/>
        <v>0.41492387054674745</v>
      </c>
      <c r="H334" s="29">
        <f t="shared" ref="H334:H397" si="75">IF($F$5="Mensuel",$E$5,0)</f>
        <v>3000</v>
      </c>
      <c r="I334" s="42">
        <f t="shared" ca="1" si="71"/>
        <v>13095.552346653423</v>
      </c>
      <c r="J334" s="42">
        <f t="shared" ca="1" si="72"/>
        <v>24995.435348306237</v>
      </c>
      <c r="L334" s="29">
        <f t="shared" ref="L334:L397" ca="1" si="76">I334*G334</f>
        <v>5433.6572666209795</v>
      </c>
      <c r="M334" s="29">
        <f t="shared" ref="M334:M397" ca="1" si="77">J334*G334</f>
        <v>10371.202780720212</v>
      </c>
      <c r="O334" s="29">
        <f ca="1">SUM($L$12:L334)</f>
        <v>1189598.8094428361</v>
      </c>
      <c r="P334" s="29">
        <f ca="1">SUM($M$12:M334)</f>
        <v>1802384.9152889254</v>
      </c>
      <c r="R334" s="29">
        <f t="shared" ca="1" si="73"/>
        <v>2435542.1391653474</v>
      </c>
      <c r="S334" s="29">
        <f t="shared" ca="1" si="74"/>
        <v>4648710.8344949018</v>
      </c>
    </row>
    <row r="335" spans="2:19" x14ac:dyDescent="0.25">
      <c r="B335" s="12">
        <f t="shared" ca="1" si="65"/>
        <v>1</v>
      </c>
      <c r="C335" s="28">
        <f t="shared" ca="1" si="66"/>
        <v>27</v>
      </c>
      <c r="D335" s="45">
        <f t="shared" ca="1" si="67"/>
        <v>186.29236182522672</v>
      </c>
      <c r="E335" s="46">
        <f t="shared" ca="1" si="68"/>
        <v>2.6749543762516374E-2</v>
      </c>
      <c r="F335" s="21">
        <f t="shared" ca="1" si="69"/>
        <v>55944</v>
      </c>
      <c r="G335" s="47">
        <f t="shared" ca="1" si="70"/>
        <v>0.41526964043886977</v>
      </c>
      <c r="H335" s="29">
        <f t="shared" si="75"/>
        <v>3000</v>
      </c>
      <c r="I335" s="42">
        <f t="shared" ca="1" si="71"/>
        <v>13111.656066476431</v>
      </c>
      <c r="J335" s="42">
        <f t="shared" ca="1" si="72"/>
        <v>25067.210716065354</v>
      </c>
      <c r="L335" s="29">
        <f t="shared" ca="1" si="76"/>
        <v>5444.8727002837932</v>
      </c>
      <c r="M335" s="29">
        <f t="shared" ca="1" si="77"/>
        <v>10409.651580865842</v>
      </c>
      <c r="O335" s="29">
        <f ca="1">SUM($L$12:L335)</f>
        <v>1195043.6821431199</v>
      </c>
      <c r="P335" s="29">
        <f ca="1">SUM($M$12:M335)</f>
        <v>1812794.5668697911</v>
      </c>
      <c r="R335" s="29">
        <f t="shared" ca="1" si="73"/>
        <v>2442601.3760639564</v>
      </c>
      <c r="S335" s="29">
        <f t="shared" ca="1" si="74"/>
        <v>4669829.8886664473</v>
      </c>
    </row>
    <row r="336" spans="2:19" x14ac:dyDescent="0.25">
      <c r="B336" s="12">
        <f t="shared" ca="1" si="65"/>
        <v>2</v>
      </c>
      <c r="C336" s="28">
        <f t="shared" ca="1" si="66"/>
        <v>27</v>
      </c>
      <c r="D336" s="45">
        <f t="shared" ca="1" si="67"/>
        <v>186.60284909493544</v>
      </c>
      <c r="E336" s="46">
        <f t="shared" ca="1" si="68"/>
        <v>2.6727289566374515E-2</v>
      </c>
      <c r="F336" s="21">
        <f t="shared" ca="1" si="69"/>
        <v>55975</v>
      </c>
      <c r="G336" s="47">
        <f t="shared" ca="1" si="70"/>
        <v>0.41561569847256885</v>
      </c>
      <c r="H336" s="29">
        <f t="shared" si="75"/>
        <v>3000</v>
      </c>
      <c r="I336" s="42">
        <f t="shared" ca="1" si="71"/>
        <v>13127.732991424526</v>
      </c>
      <c r="J336" s="42">
        <f t="shared" ca="1" si="72"/>
        <v>25139.072703413916</v>
      </c>
      <c r="L336" s="29">
        <f t="shared" ca="1" si="76"/>
        <v>5456.0919165922896</v>
      </c>
      <c r="M336" s="29">
        <f t="shared" ca="1" si="77"/>
        <v>10448.193260582064</v>
      </c>
      <c r="O336" s="29">
        <f ca="1">SUM($L$12:L336)</f>
        <v>1200499.7740597122</v>
      </c>
      <c r="P336" s="29">
        <f ca="1">SUM($M$12:M336)</f>
        <v>1823242.7601303733</v>
      </c>
      <c r="R336" s="29">
        <f t="shared" ca="1" si="73"/>
        <v>2449672.378357396</v>
      </c>
      <c r="S336" s="29">
        <f t="shared" ca="1" si="74"/>
        <v>4691022.5900617577</v>
      </c>
    </row>
    <row r="337" spans="2:19" x14ac:dyDescent="0.25">
      <c r="B337" s="12">
        <f t="shared" ca="1" si="65"/>
        <v>2</v>
      </c>
      <c r="C337" s="28">
        <f t="shared" ca="1" si="66"/>
        <v>27</v>
      </c>
      <c r="D337" s="45">
        <f t="shared" ca="1" si="67"/>
        <v>186.91385384342701</v>
      </c>
      <c r="E337" s="46">
        <f t="shared" ca="1" si="68"/>
        <v>2.6705053884538931E-2</v>
      </c>
      <c r="F337" s="21">
        <f t="shared" ca="1" si="69"/>
        <v>56005</v>
      </c>
      <c r="G337" s="47">
        <f t="shared" ca="1" si="70"/>
        <v>0.41596204488796268</v>
      </c>
      <c r="H337" s="29">
        <f t="shared" si="75"/>
        <v>3000</v>
      </c>
      <c r="I337" s="42">
        <f t="shared" ca="1" si="71"/>
        <v>13143.783166081526</v>
      </c>
      <c r="J337" s="42">
        <f t="shared" ca="1" si="72"/>
        <v>25211.021320298394</v>
      </c>
      <c r="L337" s="29">
        <f t="shared" ca="1" si="76"/>
        <v>5467.3149233272525</v>
      </c>
      <c r="M337" s="29">
        <f t="shared" ca="1" si="77"/>
        <v>10486.827982105344</v>
      </c>
      <c r="O337" s="29">
        <f ca="1">SUM($L$12:L337)</f>
        <v>1205967.0889830394</v>
      </c>
      <c r="P337" s="29">
        <f ca="1">SUM($M$12:M337)</f>
        <v>1833729.5881124786</v>
      </c>
      <c r="R337" s="29">
        <f t="shared" ca="1" si="73"/>
        <v>2456755.1656546588</v>
      </c>
      <c r="S337" s="29">
        <f t="shared" ca="1" si="74"/>
        <v>4712289.1543057766</v>
      </c>
    </row>
    <row r="338" spans="2:19" x14ac:dyDescent="0.25">
      <c r="B338" s="12">
        <f t="shared" ca="1" si="65"/>
        <v>2</v>
      </c>
      <c r="C338" s="28">
        <f t="shared" ca="1" si="66"/>
        <v>27</v>
      </c>
      <c r="D338" s="45">
        <f t="shared" ca="1" si="67"/>
        <v>187.22537693316605</v>
      </c>
      <c r="E338" s="46">
        <f t="shared" ca="1" si="68"/>
        <v>2.6682836701606701E-2</v>
      </c>
      <c r="F338" s="21">
        <f t="shared" ca="1" si="69"/>
        <v>56036</v>
      </c>
      <c r="G338" s="47">
        <f t="shared" ca="1" si="70"/>
        <v>0.4163086799253693</v>
      </c>
      <c r="H338" s="29">
        <f t="shared" si="75"/>
        <v>3000</v>
      </c>
      <c r="I338" s="42">
        <f t="shared" ca="1" si="71"/>
        <v>13159.806634957067</v>
      </c>
      <c r="J338" s="42">
        <f t="shared" ca="1" si="72"/>
        <v>25283.056576432075</v>
      </c>
      <c r="L338" s="29">
        <f t="shared" ca="1" si="76"/>
        <v>5478.5417282720928</v>
      </c>
      <c r="M338" s="29">
        <f t="shared" ca="1" si="77"/>
        <v>10525.555907812864</v>
      </c>
      <c r="O338" s="29">
        <f ca="1">SUM($L$12:L338)</f>
        <v>1211445.6307113115</v>
      </c>
      <c r="P338" s="29">
        <f ca="1">SUM($M$12:M338)</f>
        <v>1844255.1440202915</v>
      </c>
      <c r="R338" s="29">
        <f t="shared" ca="1" si="73"/>
        <v>2463849.7575974162</v>
      </c>
      <c r="S338" s="29">
        <f t="shared" ca="1" si="74"/>
        <v>4733629.7975450577</v>
      </c>
    </row>
    <row r="339" spans="2:19" x14ac:dyDescent="0.25">
      <c r="B339" s="12">
        <f t="shared" ca="1" si="65"/>
        <v>3</v>
      </c>
      <c r="C339" s="28">
        <f t="shared" ca="1" si="66"/>
        <v>27</v>
      </c>
      <c r="D339" s="45">
        <f t="shared" ca="1" si="67"/>
        <v>187.53741922805466</v>
      </c>
      <c r="E339" s="46">
        <f t="shared" ca="1" si="68"/>
        <v>2.6660638002187726E-2</v>
      </c>
      <c r="F339" s="21">
        <f t="shared" ca="1" si="69"/>
        <v>56066</v>
      </c>
      <c r="G339" s="47">
        <f t="shared" ca="1" si="70"/>
        <v>0.41665560382530709</v>
      </c>
      <c r="H339" s="29">
        <f t="shared" si="75"/>
        <v>3000</v>
      </c>
      <c r="I339" s="42">
        <f t="shared" ca="1" si="71"/>
        <v>13175.803442486726</v>
      </c>
      <c r="J339" s="42">
        <f t="shared" ca="1" si="72"/>
        <v>25355.178481295046</v>
      </c>
      <c r="L339" s="29">
        <f t="shared" ca="1" si="76"/>
        <v>5489.7723392128664</v>
      </c>
      <c r="M339" s="29">
        <f t="shared" ca="1" si="77"/>
        <v>10564.37720022242</v>
      </c>
      <c r="O339" s="29">
        <f ca="1">SUM($L$12:L339)</f>
        <v>1216935.4030505244</v>
      </c>
      <c r="P339" s="29">
        <f ca="1">SUM($M$12:M339)</f>
        <v>1854819.5212205139</v>
      </c>
      <c r="R339" s="29">
        <f t="shared" ca="1" si="73"/>
        <v>2470956.1738600787</v>
      </c>
      <c r="S339" s="29">
        <f t="shared" ca="1" si="74"/>
        <v>4755044.7364487797</v>
      </c>
    </row>
    <row r="340" spans="2:19" x14ac:dyDescent="0.25">
      <c r="B340" s="12">
        <f t="shared" ca="1" si="65"/>
        <v>3</v>
      </c>
      <c r="C340" s="28">
        <f t="shared" ca="1" si="66"/>
        <v>27</v>
      </c>
      <c r="D340" s="45">
        <f t="shared" ca="1" si="67"/>
        <v>187.84998159343476</v>
      </c>
      <c r="E340" s="46">
        <f t="shared" ca="1" si="68"/>
        <v>2.6638457770904705E-2</v>
      </c>
      <c r="F340" s="21">
        <f t="shared" ca="1" si="69"/>
        <v>56097</v>
      </c>
      <c r="G340" s="47">
        <f t="shared" ca="1" si="70"/>
        <v>0.41700281682849483</v>
      </c>
      <c r="H340" s="29">
        <f t="shared" si="75"/>
        <v>3000</v>
      </c>
      <c r="I340" s="42">
        <f t="shared" ca="1" si="71"/>
        <v>13191.77363303214</v>
      </c>
      <c r="J340" s="42">
        <f t="shared" ca="1" si="72"/>
        <v>25427.387044134193</v>
      </c>
      <c r="L340" s="29">
        <f t="shared" ca="1" si="76"/>
        <v>5501.0067639382696</v>
      </c>
      <c r="M340" s="29">
        <f t="shared" ca="1" si="77"/>
        <v>10603.292021992333</v>
      </c>
      <c r="O340" s="29">
        <f ca="1">SUM($L$12:L340)</f>
        <v>1222436.4098144628</v>
      </c>
      <c r="P340" s="29">
        <f ca="1">SUM($M$12:M340)</f>
        <v>1865422.8132425062</v>
      </c>
      <c r="R340" s="29">
        <f t="shared" ca="1" si="73"/>
        <v>2478074.4341498455</v>
      </c>
      <c r="S340" s="29">
        <f t="shared" ca="1" si="74"/>
        <v>4776534.1882097498</v>
      </c>
    </row>
    <row r="341" spans="2:19" x14ac:dyDescent="0.25">
      <c r="B341" s="12">
        <f t="shared" ca="1" si="65"/>
        <v>3</v>
      </c>
      <c r="C341" s="28">
        <f t="shared" ca="1" si="66"/>
        <v>27</v>
      </c>
      <c r="D341" s="45">
        <f t="shared" ca="1" si="67"/>
        <v>188.1630648960905</v>
      </c>
      <c r="E341" s="46">
        <f t="shared" ca="1" si="68"/>
        <v>2.6616295992393135E-2</v>
      </c>
      <c r="F341" s="21">
        <f t="shared" ca="1" si="69"/>
        <v>56128</v>
      </c>
      <c r="G341" s="47">
        <f t="shared" ca="1" si="70"/>
        <v>0.41735031917585191</v>
      </c>
      <c r="H341" s="29">
        <f t="shared" si="75"/>
        <v>3000</v>
      </c>
      <c r="I341" s="42">
        <f t="shared" ca="1" si="71"/>
        <v>13207.717250881142</v>
      </c>
      <c r="J341" s="42">
        <f t="shared" ca="1" si="72"/>
        <v>25499.682273963197</v>
      </c>
      <c r="L341" s="29">
        <f t="shared" ca="1" si="76"/>
        <v>5512.2450102396497</v>
      </c>
      <c r="M341" s="29">
        <f t="shared" ca="1" si="77"/>
        <v>10642.300535921353</v>
      </c>
      <c r="O341" s="29">
        <f ca="1">SUM($L$12:L341)</f>
        <v>1227948.6548247023</v>
      </c>
      <c r="P341" s="29">
        <f ca="1">SUM($M$12:M341)</f>
        <v>1876065.1137784275</v>
      </c>
      <c r="R341" s="29">
        <f t="shared" ca="1" si="73"/>
        <v>2485204.5582067622</v>
      </c>
      <c r="S341" s="29">
        <f t="shared" ca="1" si="74"/>
        <v>4798098.3705454255</v>
      </c>
    </row>
    <row r="342" spans="2:19" x14ac:dyDescent="0.25">
      <c r="B342" s="12">
        <f t="shared" ca="1" si="65"/>
        <v>4</v>
      </c>
      <c r="C342" s="28">
        <f t="shared" ca="1" si="66"/>
        <v>27</v>
      </c>
      <c r="D342" s="45">
        <f t="shared" ca="1" si="67"/>
        <v>188.47667000425065</v>
      </c>
      <c r="E342" s="46">
        <f t="shared" ca="1" si="68"/>
        <v>2.6594152651301294E-2</v>
      </c>
      <c r="F342" s="21">
        <f t="shared" ca="1" si="69"/>
        <v>56158</v>
      </c>
      <c r="G342" s="47">
        <f t="shared" ca="1" si="70"/>
        <v>0.41769811110849847</v>
      </c>
      <c r="H342" s="29">
        <f t="shared" si="75"/>
        <v>3000</v>
      </c>
      <c r="I342" s="42">
        <f t="shared" ca="1" si="71"/>
        <v>13223.634340247865</v>
      </c>
      <c r="J342" s="42">
        <f t="shared" ca="1" si="72"/>
        <v>25572.064179562516</v>
      </c>
      <c r="L342" s="29">
        <f t="shared" ca="1" si="76"/>
        <v>5523.4870859110088</v>
      </c>
      <c r="M342" s="29">
        <f t="shared" ca="1" si="77"/>
        <v>10681.402904948558</v>
      </c>
      <c r="O342" s="29">
        <f ca="1">SUM($L$12:L342)</f>
        <v>1233472.1419106133</v>
      </c>
      <c r="P342" s="29">
        <f ca="1">SUM($M$12:M342)</f>
        <v>1886746.5166833759</v>
      </c>
      <c r="R342" s="29">
        <f t="shared" ca="1" si="73"/>
        <v>2492346.5658037737</v>
      </c>
      <c r="S342" s="29">
        <f t="shared" ca="1" si="74"/>
        <v>4819737.5016989233</v>
      </c>
    </row>
    <row r="343" spans="2:19" x14ac:dyDescent="0.25">
      <c r="B343" s="12">
        <f t="shared" ca="1" si="65"/>
        <v>4</v>
      </c>
      <c r="C343" s="28">
        <f t="shared" ca="1" si="66"/>
        <v>27</v>
      </c>
      <c r="D343" s="45">
        <f t="shared" ca="1" si="67"/>
        <v>188.79079778759109</v>
      </c>
      <c r="E343" s="46">
        <f t="shared" ca="1" si="68"/>
        <v>2.657202773229023E-2</v>
      </c>
      <c r="F343" s="21">
        <f t="shared" ca="1" si="69"/>
        <v>56189</v>
      </c>
      <c r="G343" s="47">
        <f t="shared" ca="1" si="70"/>
        <v>0.41804619286775557</v>
      </c>
      <c r="H343" s="29">
        <f t="shared" si="75"/>
        <v>3000</v>
      </c>
      <c r="I343" s="42">
        <f t="shared" ca="1" si="71"/>
        <v>13239.52494527288</v>
      </c>
      <c r="J343" s="42">
        <f t="shared" ca="1" si="72"/>
        <v>25644.532769479392</v>
      </c>
      <c r="L343" s="29">
        <f t="shared" ca="1" si="76"/>
        <v>5534.7329987490075</v>
      </c>
      <c r="M343" s="29">
        <f t="shared" ca="1" si="77"/>
        <v>10720.59929215326</v>
      </c>
      <c r="O343" s="29">
        <f ca="1">SUM($L$12:L343)</f>
        <v>1239006.8749093623</v>
      </c>
      <c r="P343" s="29">
        <f ca="1">SUM($M$12:M343)</f>
        <v>1897467.1159755292</v>
      </c>
      <c r="R343" s="29">
        <f t="shared" ca="1" si="73"/>
        <v>2499500.4767467803</v>
      </c>
      <c r="S343" s="29">
        <f t="shared" ca="1" si="74"/>
        <v>4841451.8004400376</v>
      </c>
    </row>
    <row r="344" spans="2:19" x14ac:dyDescent="0.25">
      <c r="B344" s="12">
        <f t="shared" ca="1" si="65"/>
        <v>4</v>
      </c>
      <c r="C344" s="28">
        <f t="shared" ca="1" si="66"/>
        <v>27</v>
      </c>
      <c r="D344" s="45">
        <f t="shared" ca="1" si="67"/>
        <v>189.10544911723707</v>
      </c>
      <c r="E344" s="46">
        <f t="shared" ca="1" si="68"/>
        <v>2.6549921220033742E-2</v>
      </c>
      <c r="F344" s="21">
        <f t="shared" ca="1" si="69"/>
        <v>56219</v>
      </c>
      <c r="G344" s="47">
        <f t="shared" ca="1" si="70"/>
        <v>0.41839456469514535</v>
      </c>
      <c r="H344" s="29">
        <f t="shared" si="75"/>
        <v>3000</v>
      </c>
      <c r="I344" s="42">
        <f t="shared" ca="1" si="71"/>
        <v>13255.38911002331</v>
      </c>
      <c r="J344" s="42">
        <f t="shared" ca="1" si="72"/>
        <v>25717.088052027844</v>
      </c>
      <c r="L344" s="29">
        <f t="shared" ca="1" si="76"/>
        <v>5545.9827565529731</v>
      </c>
      <c r="M344" s="29">
        <f t="shared" ca="1" si="77"/>
        <v>10759.889860754913</v>
      </c>
      <c r="O344" s="29">
        <f ca="1">SUM($L$12:L344)</f>
        <v>1244552.8576659153</v>
      </c>
      <c r="P344" s="29">
        <f ca="1">SUM($M$12:M344)</f>
        <v>1908227.005836284</v>
      </c>
      <c r="R344" s="29">
        <f t="shared" ca="1" si="73"/>
        <v>2506666.3108746917</v>
      </c>
      <c r="S344" s="29">
        <f t="shared" ca="1" si="74"/>
        <v>4863241.4860662566</v>
      </c>
    </row>
    <row r="345" spans="2:19" x14ac:dyDescent="0.25">
      <c r="B345" s="12">
        <f t="shared" ca="1" si="65"/>
        <v>1</v>
      </c>
      <c r="C345" s="28">
        <f t="shared" ca="1" si="66"/>
        <v>28</v>
      </c>
      <c r="D345" s="45">
        <f t="shared" ca="1" si="67"/>
        <v>189.4206248657658</v>
      </c>
      <c r="E345" s="46">
        <f t="shared" ca="1" si="68"/>
        <v>2.6527833099218412E-2</v>
      </c>
      <c r="F345" s="21">
        <f t="shared" ca="1" si="69"/>
        <v>56250</v>
      </c>
      <c r="G345" s="47">
        <f t="shared" ca="1" si="70"/>
        <v>0.41874322683239129</v>
      </c>
      <c r="H345" s="29">
        <f t="shared" si="75"/>
        <v>3000</v>
      </c>
      <c r="I345" s="42">
        <f t="shared" ca="1" si="71"/>
        <v>13271.226878492958</v>
      </c>
      <c r="J345" s="42">
        <f t="shared" ca="1" si="72"/>
        <v>25789.730035288674</v>
      </c>
      <c r="L345" s="29">
        <f t="shared" ca="1" si="76"/>
        <v>5557.236367124905</v>
      </c>
      <c r="M345" s="29">
        <f t="shared" ca="1" si="77"/>
        <v>10799.274774113021</v>
      </c>
      <c r="O345" s="29">
        <f ca="1">SUM($L$12:L345)</f>
        <v>1250110.0940330401</v>
      </c>
      <c r="P345" s="29">
        <f ca="1">SUM($M$12:M345)</f>
        <v>1919026.280610397</v>
      </c>
      <c r="R345" s="29">
        <f t="shared" ca="1" si="73"/>
        <v>2513844.0880594826</v>
      </c>
      <c r="S345" s="29">
        <f t="shared" ca="1" si="74"/>
        <v>4885106.7784037888</v>
      </c>
    </row>
    <row r="346" spans="2:19" x14ac:dyDescent="0.25">
      <c r="B346" s="12">
        <f t="shared" ca="1" si="65"/>
        <v>1</v>
      </c>
      <c r="C346" s="28">
        <f t="shared" ca="1" si="66"/>
        <v>28</v>
      </c>
      <c r="D346" s="45">
        <f t="shared" ca="1" si="67"/>
        <v>189.73632590720877</v>
      </c>
      <c r="E346" s="46">
        <f t="shared" ca="1" si="68"/>
        <v>2.6505763354543518E-2</v>
      </c>
      <c r="F346" s="21">
        <f t="shared" ca="1" si="69"/>
        <v>56281</v>
      </c>
      <c r="G346" s="47">
        <f t="shared" ca="1" si="70"/>
        <v>0.41909217952141831</v>
      </c>
      <c r="H346" s="29">
        <f t="shared" si="75"/>
        <v>3000</v>
      </c>
      <c r="I346" s="42">
        <f t="shared" ca="1" si="71"/>
        <v>13287.038294602424</v>
      </c>
      <c r="J346" s="42">
        <f t="shared" ca="1" si="72"/>
        <v>25862.458727109457</v>
      </c>
      <c r="L346" s="29">
        <f t="shared" ca="1" si="76"/>
        <v>5568.4938382694791</v>
      </c>
      <c r="M346" s="29">
        <f t="shared" ca="1" si="77"/>
        <v>10838.754195727028</v>
      </c>
      <c r="O346" s="29">
        <f ca="1">SUM($L$12:L346)</f>
        <v>1255678.5878713096</v>
      </c>
      <c r="P346" s="29">
        <f ca="1">SUM($M$12:M346)</f>
        <v>1929865.0348061239</v>
      </c>
      <c r="R346" s="29">
        <f t="shared" ca="1" si="73"/>
        <v>2521033.828206249</v>
      </c>
      <c r="S346" s="29">
        <f t="shared" ca="1" si="74"/>
        <v>4907047.8978085751</v>
      </c>
    </row>
    <row r="347" spans="2:19" x14ac:dyDescent="0.25">
      <c r="B347" s="12">
        <f t="shared" ca="1" si="65"/>
        <v>1</v>
      </c>
      <c r="C347" s="28">
        <f t="shared" ca="1" si="66"/>
        <v>28</v>
      </c>
      <c r="D347" s="45">
        <f t="shared" ca="1" si="67"/>
        <v>190.05255311705412</v>
      </c>
      <c r="E347" s="46">
        <f t="shared" ca="1" si="68"/>
        <v>2.6483711970721101E-2</v>
      </c>
      <c r="F347" s="21">
        <f t="shared" ca="1" si="69"/>
        <v>56309</v>
      </c>
      <c r="G347" s="47">
        <f t="shared" ca="1" si="70"/>
        <v>0.41944142300435283</v>
      </c>
      <c r="H347" s="29">
        <f t="shared" si="75"/>
        <v>3000</v>
      </c>
      <c r="I347" s="42">
        <f t="shared" ca="1" si="71"/>
        <v>13302.823402199228</v>
      </c>
      <c r="J347" s="42">
        <f t="shared" ca="1" si="72"/>
        <v>25935.274135104548</v>
      </c>
      <c r="L347" s="29">
        <f t="shared" ca="1" si="76"/>
        <v>5579.7551777940507</v>
      </c>
      <c r="M347" s="29">
        <f t="shared" ca="1" si="77"/>
        <v>10878.328289236239</v>
      </c>
      <c r="O347" s="29">
        <f ca="1">SUM($L$12:L347)</f>
        <v>1261258.3430491036</v>
      </c>
      <c r="P347" s="29">
        <f ca="1">SUM($M$12:M347)</f>
        <v>1940743.3630953601</v>
      </c>
      <c r="R347" s="29">
        <f t="shared" ca="1" si="73"/>
        <v>2528235.5512532596</v>
      </c>
      <c r="S347" s="29">
        <f t="shared" ca="1" si="74"/>
        <v>4929065.0651673172</v>
      </c>
    </row>
    <row r="348" spans="2:19" x14ac:dyDescent="0.25">
      <c r="B348" s="12">
        <f t="shared" ca="1" si="65"/>
        <v>2</v>
      </c>
      <c r="C348" s="28">
        <f t="shared" ca="1" si="66"/>
        <v>28</v>
      </c>
      <c r="D348" s="45">
        <f t="shared" ca="1" si="67"/>
        <v>190.36930737224921</v>
      </c>
      <c r="E348" s="46">
        <f t="shared" ca="1" si="68"/>
        <v>2.6461678932475911E-2</v>
      </c>
      <c r="F348" s="21">
        <f t="shared" ca="1" si="69"/>
        <v>56340</v>
      </c>
      <c r="G348" s="47">
        <f t="shared" ca="1" si="70"/>
        <v>0.41979095752352313</v>
      </c>
      <c r="H348" s="29">
        <f t="shared" si="75"/>
        <v>3000</v>
      </c>
      <c r="I348" s="42">
        <f t="shared" ca="1" si="71"/>
        <v>13318.582245057934</v>
      </c>
      <c r="J348" s="42">
        <f t="shared" ca="1" si="72"/>
        <v>26008.176266655086</v>
      </c>
      <c r="L348" s="29">
        <f t="shared" ca="1" si="76"/>
        <v>5591.0203935086647</v>
      </c>
      <c r="M348" s="29">
        <f t="shared" ca="1" si="77"/>
        <v>10917.997218419707</v>
      </c>
      <c r="O348" s="29">
        <f ca="1">SUM($L$12:L348)</f>
        <v>1266849.3634426123</v>
      </c>
      <c r="P348" s="29">
        <f ca="1">SUM($M$12:M348)</f>
        <v>1951661.3603137799</v>
      </c>
      <c r="R348" s="29">
        <f t="shared" ca="1" si="73"/>
        <v>2535449.277172015</v>
      </c>
      <c r="S348" s="29">
        <f t="shared" ca="1" si="74"/>
        <v>4951158.5018984992</v>
      </c>
    </row>
    <row r="349" spans="2:19" x14ac:dyDescent="0.25">
      <c r="B349" s="12">
        <f t="shared" ref="B349:B412" ca="1" si="78">ROUNDUP(MONTH(F349)/3,0)</f>
        <v>2</v>
      </c>
      <c r="C349" s="28">
        <f t="shared" ref="C349:C412" ca="1" si="79">YEAR(F349)-YEAR(TODAY())</f>
        <v>28</v>
      </c>
      <c r="D349" s="45">
        <f t="shared" ref="D349:D412" ca="1" si="80">D348*(1+($C$5/12))</f>
        <v>190.68658955120296</v>
      </c>
      <c r="E349" s="46">
        <f t="shared" ref="E349:E412" ca="1" si="81">(G349*12)/D349</f>
        <v>2.6439664224545394E-2</v>
      </c>
      <c r="F349" s="21">
        <f t="shared" ref="F349:F412" ca="1" si="82">EDATE(F348,1)</f>
        <v>56370</v>
      </c>
      <c r="G349" s="47">
        <f t="shared" ref="G349:G412" ca="1" si="83">($H$5/12)*G348+G348</f>
        <v>0.42014078332145938</v>
      </c>
      <c r="H349" s="29">
        <f t="shared" si="75"/>
        <v>3000</v>
      </c>
      <c r="I349" s="42">
        <f t="shared" ref="I349:I412" ca="1" si="84">I348+H349/D349</f>
        <v>13334.31486688027</v>
      </c>
      <c r="J349" s="42">
        <f t="shared" ref="J349:J412" ca="1" si="85">J348+(H349+G348*J348)/D349</f>
        <v>26081.16512890899</v>
      </c>
      <c r="L349" s="29">
        <f t="shared" ca="1" si="76"/>
        <v>5602.2894932260579</v>
      </c>
      <c r="M349" s="29">
        <f t="shared" ca="1" si="77"/>
        <v>10957.761147196154</v>
      </c>
      <c r="O349" s="29">
        <f ca="1">SUM($L$12:L349)</f>
        <v>1272451.6529358383</v>
      </c>
      <c r="P349" s="29">
        <f ca="1">SUM($M$12:M349)</f>
        <v>1962619.1214609761</v>
      </c>
      <c r="R349" s="29">
        <f t="shared" ref="R349:R412" ca="1" si="86">I349*D349</f>
        <v>2542675.0259673013</v>
      </c>
      <c r="S349" s="29">
        <f t="shared" ref="S349:S412" ca="1" si="87">J349*D349</f>
        <v>4973328.4299534159</v>
      </c>
    </row>
    <row r="350" spans="2:19" x14ac:dyDescent="0.25">
      <c r="B350" s="12">
        <f t="shared" ca="1" si="78"/>
        <v>2</v>
      </c>
      <c r="C350" s="28">
        <f t="shared" ca="1" si="79"/>
        <v>28</v>
      </c>
      <c r="D350" s="45">
        <f t="shared" ca="1" si="80"/>
        <v>191.0044005337883</v>
      </c>
      <c r="E350" s="46">
        <f t="shared" ca="1" si="81"/>
        <v>2.6417667831679717E-2</v>
      </c>
      <c r="F350" s="21">
        <f t="shared" ca="1" si="82"/>
        <v>56401</v>
      </c>
      <c r="G350" s="47">
        <f t="shared" ca="1" si="83"/>
        <v>0.42049090064089395</v>
      </c>
      <c r="H350" s="29">
        <f t="shared" si="75"/>
        <v>3000</v>
      </c>
      <c r="I350" s="42">
        <f t="shared" ca="1" si="84"/>
        <v>13350.021311295246</v>
      </c>
      <c r="J350" s="42">
        <f t="shared" ca="1" si="85"/>
        <v>26154.240728780976</v>
      </c>
      <c r="L350" s="29">
        <f t="shared" ca="1" si="76"/>
        <v>5613.5624847616664</v>
      </c>
      <c r="M350" s="29">
        <f t="shared" ca="1" si="77"/>
        <v>10997.620239623864</v>
      </c>
      <c r="O350" s="29">
        <f ca="1">SUM($L$12:L350)</f>
        <v>1278065.2154206</v>
      </c>
      <c r="P350" s="29">
        <f ca="1">SUM($M$12:M350)</f>
        <v>1973616.7417005999</v>
      </c>
      <c r="R350" s="29">
        <f t="shared" ca="1" si="86"/>
        <v>2549912.8176772469</v>
      </c>
      <c r="S350" s="29">
        <f t="shared" ca="1" si="87"/>
        <v>4995575.0718172006</v>
      </c>
    </row>
    <row r="351" spans="2:19" x14ac:dyDescent="0.25">
      <c r="B351" s="12">
        <f t="shared" ca="1" si="78"/>
        <v>3</v>
      </c>
      <c r="C351" s="28">
        <f t="shared" ca="1" si="79"/>
        <v>28</v>
      </c>
      <c r="D351" s="45">
        <f t="shared" ca="1" si="80"/>
        <v>191.32274120134463</v>
      </c>
      <c r="E351" s="46">
        <f t="shared" ca="1" si="81"/>
        <v>2.639568973864171E-2</v>
      </c>
      <c r="F351" s="21">
        <f t="shared" ca="1" si="82"/>
        <v>56431</v>
      </c>
      <c r="G351" s="47">
        <f t="shared" ca="1" si="83"/>
        <v>0.42084130972476136</v>
      </c>
      <c r="H351" s="29">
        <f t="shared" si="75"/>
        <v>3000</v>
      </c>
      <c r="I351" s="42">
        <f t="shared" ca="1" si="84"/>
        <v>13365.701621859283</v>
      </c>
      <c r="J351" s="42">
        <f t="shared" ca="1" si="85"/>
        <v>26227.403072952562</v>
      </c>
      <c r="L351" s="29">
        <f t="shared" ca="1" si="76"/>
        <v>5624.8393759336277</v>
      </c>
      <c r="M351" s="29">
        <f t="shared" ca="1" si="77"/>
        <v>11037.574659900587</v>
      </c>
      <c r="O351" s="29">
        <f ca="1">SUM($L$12:L351)</f>
        <v>1283690.0547965337</v>
      </c>
      <c r="P351" s="29">
        <f ca="1">SUM($M$12:M351)</f>
        <v>1984654.3163605004</v>
      </c>
      <c r="R351" s="29">
        <f t="shared" ca="1" si="86"/>
        <v>2557162.6723733759</v>
      </c>
      <c r="S351" s="29">
        <f t="shared" ca="1" si="87"/>
        <v>5017898.6505098538</v>
      </c>
    </row>
    <row r="352" spans="2:19" x14ac:dyDescent="0.25">
      <c r="B352" s="12">
        <f t="shared" ca="1" si="78"/>
        <v>3</v>
      </c>
      <c r="C352" s="28">
        <f t="shared" ca="1" si="79"/>
        <v>28</v>
      </c>
      <c r="D352" s="45">
        <f t="shared" ca="1" si="80"/>
        <v>191.64161243668022</v>
      </c>
      <c r="E352" s="46">
        <f t="shared" ca="1" si="81"/>
        <v>2.6373729930206903E-2</v>
      </c>
      <c r="F352" s="21">
        <f t="shared" ca="1" si="82"/>
        <v>56462</v>
      </c>
      <c r="G352" s="47">
        <f t="shared" ca="1" si="83"/>
        <v>0.42119201081619867</v>
      </c>
      <c r="H352" s="29">
        <f t="shared" si="75"/>
        <v>3000</v>
      </c>
      <c r="I352" s="42">
        <f t="shared" ca="1" si="84"/>
        <v>13381.355842056326</v>
      </c>
      <c r="J352" s="42">
        <f t="shared" ca="1" si="85"/>
        <v>26300.652167872064</v>
      </c>
      <c r="L352" s="29">
        <f t="shared" ca="1" si="76"/>
        <v>5636.1201745627914</v>
      </c>
      <c r="M352" s="29">
        <f t="shared" ca="1" si="77"/>
        <v>11077.624572363449</v>
      </c>
      <c r="O352" s="29">
        <f ca="1">SUM($L$12:L352)</f>
        <v>1289326.1749710965</v>
      </c>
      <c r="P352" s="29">
        <f ca="1">SUM($M$12:M352)</f>
        <v>1995731.9409328639</v>
      </c>
      <c r="R352" s="29">
        <f t="shared" ca="1" si="86"/>
        <v>2564424.6101606651</v>
      </c>
      <c r="S352" s="29">
        <f t="shared" ca="1" si="87"/>
        <v>5040299.389587271</v>
      </c>
    </row>
    <row r="353" spans="2:19" x14ac:dyDescent="0.25">
      <c r="B353" s="12">
        <f t="shared" ca="1" si="78"/>
        <v>3</v>
      </c>
      <c r="C353" s="28">
        <f t="shared" ca="1" si="79"/>
        <v>28</v>
      </c>
      <c r="D353" s="45">
        <f t="shared" ca="1" si="80"/>
        <v>191.96101512407469</v>
      </c>
      <c r="E353" s="46">
        <f t="shared" ca="1" si="81"/>
        <v>2.6351788391163467E-2</v>
      </c>
      <c r="F353" s="21">
        <f t="shared" ca="1" si="82"/>
        <v>56493</v>
      </c>
      <c r="G353" s="47">
        <f t="shared" ca="1" si="83"/>
        <v>0.42154300415854551</v>
      </c>
      <c r="H353" s="29">
        <f t="shared" si="75"/>
        <v>3000</v>
      </c>
      <c r="I353" s="42">
        <f t="shared" ca="1" si="84"/>
        <v>13396.984015297965</v>
      </c>
      <c r="J353" s="42">
        <f t="shared" ca="1" si="85"/>
        <v>26373.988019754615</v>
      </c>
      <c r="L353" s="29">
        <f t="shared" ca="1" si="76"/>
        <v>5647.4048884727181</v>
      </c>
      <c r="M353" s="29">
        <f t="shared" ca="1" si="77"/>
        <v>11117.770141488849</v>
      </c>
      <c r="O353" s="29">
        <f ca="1">SUM($L$12:L353)</f>
        <v>1294973.5798595692</v>
      </c>
      <c r="P353" s="29">
        <f ca="1">SUM($M$12:M353)</f>
        <v>2006849.7110743527</v>
      </c>
      <c r="R353" s="29">
        <f t="shared" ca="1" si="86"/>
        <v>2571698.6511775996</v>
      </c>
      <c r="S353" s="29">
        <f t="shared" ca="1" si="87"/>
        <v>5062777.5131422803</v>
      </c>
    </row>
    <row r="354" spans="2:19" x14ac:dyDescent="0.25">
      <c r="B354" s="12">
        <f t="shared" ca="1" si="78"/>
        <v>4</v>
      </c>
      <c r="C354" s="28">
        <f t="shared" ca="1" si="79"/>
        <v>28</v>
      </c>
      <c r="D354" s="45">
        <f t="shared" ca="1" si="80"/>
        <v>192.28095014928149</v>
      </c>
      <c r="E354" s="46">
        <f t="shared" ca="1" si="81"/>
        <v>2.6329865106312248E-2</v>
      </c>
      <c r="F354" s="21">
        <f t="shared" ca="1" si="82"/>
        <v>56523</v>
      </c>
      <c r="G354" s="47">
        <f t="shared" ca="1" si="83"/>
        <v>0.42189428999534428</v>
      </c>
      <c r="H354" s="29">
        <f t="shared" si="75"/>
        <v>3000</v>
      </c>
      <c r="I354" s="42">
        <f t="shared" ca="1" si="84"/>
        <v>13412.586184923563</v>
      </c>
      <c r="J354" s="42">
        <f t="shared" ca="1" si="85"/>
        <v>26447.410634582178</v>
      </c>
      <c r="L354" s="29">
        <f t="shared" ca="1" si="76"/>
        <v>5658.6935254896898</v>
      </c>
      <c r="M354" s="29">
        <f t="shared" ca="1" si="77"/>
        <v>11158.011531892365</v>
      </c>
      <c r="O354" s="29">
        <f ca="1">SUM($L$12:L354)</f>
        <v>1300632.2733850589</v>
      </c>
      <c r="P354" s="29">
        <f ca="1">SUM($M$12:M354)</f>
        <v>2018007.7226062452</v>
      </c>
      <c r="R354" s="29">
        <f t="shared" ca="1" si="86"/>
        <v>2578984.8155962294</v>
      </c>
      <c r="S354" s="29">
        <f t="shared" ca="1" si="87"/>
        <v>5085333.2458056733</v>
      </c>
    </row>
    <row r="355" spans="2:19" x14ac:dyDescent="0.25">
      <c r="B355" s="12">
        <f t="shared" ca="1" si="78"/>
        <v>4</v>
      </c>
      <c r="C355" s="28">
        <f t="shared" ca="1" si="79"/>
        <v>28</v>
      </c>
      <c r="D355" s="45">
        <f t="shared" ca="1" si="80"/>
        <v>192.6014183995303</v>
      </c>
      <c r="E355" s="46">
        <f t="shared" ca="1" si="81"/>
        <v>2.6307960060466731E-2</v>
      </c>
      <c r="F355" s="21">
        <f t="shared" ca="1" si="82"/>
        <v>56554</v>
      </c>
      <c r="G355" s="47">
        <f t="shared" ca="1" si="83"/>
        <v>0.42224586857034041</v>
      </c>
      <c r="H355" s="29">
        <f t="shared" si="75"/>
        <v>3000</v>
      </c>
      <c r="I355" s="42">
        <f t="shared" ca="1" si="84"/>
        <v>13428.162394200364</v>
      </c>
      <c r="J355" s="42">
        <f t="shared" ca="1" si="85"/>
        <v>26520.920018103556</v>
      </c>
      <c r="L355" s="29">
        <f t="shared" ca="1" si="76"/>
        <v>5669.9860934427143</v>
      </c>
      <c r="M355" s="29">
        <f t="shared" ca="1" si="77"/>
        <v>11198.348908328664</v>
      </c>
      <c r="O355" s="29">
        <f ca="1">SUM($L$12:L355)</f>
        <v>1306302.2594785015</v>
      </c>
      <c r="P355" s="29">
        <f ca="1">SUM($M$12:M355)</f>
        <v>2029206.0715145739</v>
      </c>
      <c r="R355" s="29">
        <f t="shared" ca="1" si="86"/>
        <v>2586283.1236222228</v>
      </c>
      <c r="S355" s="29">
        <f t="shared" ca="1" si="87"/>
        <v>5107966.8127472419</v>
      </c>
    </row>
    <row r="356" spans="2:19" x14ac:dyDescent="0.25">
      <c r="B356" s="12">
        <f t="shared" ca="1" si="78"/>
        <v>4</v>
      </c>
      <c r="C356" s="28">
        <f t="shared" ca="1" si="79"/>
        <v>28</v>
      </c>
      <c r="D356" s="45">
        <f t="shared" ca="1" si="80"/>
        <v>192.92242076352952</v>
      </c>
      <c r="E356" s="46">
        <f t="shared" ca="1" si="81"/>
        <v>2.6286073238453032E-2</v>
      </c>
      <c r="F356" s="21">
        <f t="shared" ca="1" si="82"/>
        <v>56584</v>
      </c>
      <c r="G356" s="47">
        <f t="shared" ca="1" si="83"/>
        <v>0.42259774012748236</v>
      </c>
      <c r="H356" s="29">
        <f t="shared" si="75"/>
        <v>3000</v>
      </c>
      <c r="I356" s="42">
        <f t="shared" ca="1" si="84"/>
        <v>13443.712686323628</v>
      </c>
      <c r="J356" s="42">
        <f t="shared" ca="1" si="85"/>
        <v>26594.516175834397</v>
      </c>
      <c r="L356" s="29">
        <f t="shared" ca="1" si="76"/>
        <v>5681.2826001635303</v>
      </c>
      <c r="M356" s="29">
        <f t="shared" ca="1" si="77"/>
        <v>11238.78243569139</v>
      </c>
      <c r="O356" s="29">
        <f ca="1">SUM($L$12:L356)</f>
        <v>1311983.542078665</v>
      </c>
      <c r="P356" s="29">
        <f ca="1">SUM($M$12:M356)</f>
        <v>2040444.8539502653</v>
      </c>
      <c r="R356" s="29">
        <f t="shared" ca="1" si="86"/>
        <v>2593593.5954949264</v>
      </c>
      <c r="S356" s="29">
        <f t="shared" ca="1" si="87"/>
        <v>5130678.4396768156</v>
      </c>
    </row>
    <row r="357" spans="2:19" x14ac:dyDescent="0.25">
      <c r="B357" s="12">
        <f t="shared" ca="1" si="78"/>
        <v>1</v>
      </c>
      <c r="C357" s="28">
        <f t="shared" ca="1" si="79"/>
        <v>29</v>
      </c>
      <c r="D357" s="45">
        <f t="shared" ca="1" si="80"/>
        <v>193.24395813146873</v>
      </c>
      <c r="E357" s="46">
        <f t="shared" ca="1" si="81"/>
        <v>2.626420462510989E-2</v>
      </c>
      <c r="F357" s="21">
        <f t="shared" ca="1" si="82"/>
        <v>56615</v>
      </c>
      <c r="G357" s="47">
        <f t="shared" ca="1" si="83"/>
        <v>0.42294990491092194</v>
      </c>
      <c r="H357" s="29">
        <f t="shared" si="75"/>
        <v>3000</v>
      </c>
      <c r="I357" s="42">
        <f t="shared" ca="1" si="84"/>
        <v>13459.237104416736</v>
      </c>
      <c r="J357" s="42">
        <f t="shared" ca="1" si="85"/>
        <v>26668.199113057224</v>
      </c>
      <c r="L357" s="29">
        <f t="shared" ca="1" si="76"/>
        <v>5692.5830534866109</v>
      </c>
      <c r="M357" s="29">
        <f t="shared" ca="1" si="77"/>
        <v>11279.312279013086</v>
      </c>
      <c r="O357" s="29">
        <f ca="1">SUM($L$12:L357)</f>
        <v>1317676.1251321516</v>
      </c>
      <c r="P357" s="29">
        <f ca="1">SUM($M$12:M357)</f>
        <v>2051724.1662292783</v>
      </c>
      <c r="R357" s="29">
        <f t="shared" ca="1" si="86"/>
        <v>2600916.2514874181</v>
      </c>
      <c r="S357" s="29">
        <f t="shared" ca="1" si="87"/>
        <v>5153468.3528453019</v>
      </c>
    </row>
    <row r="358" spans="2:19" x14ac:dyDescent="0.25">
      <c r="B358" s="12">
        <f t="shared" ca="1" si="78"/>
        <v>1</v>
      </c>
      <c r="C358" s="28">
        <f t="shared" ca="1" si="79"/>
        <v>29</v>
      </c>
      <c r="D358" s="45">
        <f t="shared" ca="1" si="80"/>
        <v>193.56603139502118</v>
      </c>
      <c r="E358" s="46">
        <f t="shared" ca="1" si="81"/>
        <v>2.6242354205288667E-2</v>
      </c>
      <c r="F358" s="21">
        <f t="shared" ca="1" si="82"/>
        <v>56646</v>
      </c>
      <c r="G358" s="47">
        <f t="shared" ca="1" si="83"/>
        <v>0.42330236316501435</v>
      </c>
      <c r="H358" s="29">
        <f t="shared" si="75"/>
        <v>3000</v>
      </c>
      <c r="I358" s="42">
        <f t="shared" ca="1" si="84"/>
        <v>13474.735691531319</v>
      </c>
      <c r="J358" s="42">
        <f t="shared" ca="1" si="85"/>
        <v>26741.968834821433</v>
      </c>
      <c r="L358" s="29">
        <f t="shared" ca="1" si="76"/>
        <v>5703.8874612491718</v>
      </c>
      <c r="M358" s="29">
        <f t="shared" ca="1" si="77"/>
        <v>11319.938603465078</v>
      </c>
      <c r="O358" s="29">
        <f ca="1">SUM($L$12:L358)</f>
        <v>1323380.0125934009</v>
      </c>
      <c r="P358" s="29">
        <f ca="1">SUM($M$12:M358)</f>
        <v>2063044.1048327433</v>
      </c>
      <c r="R358" s="29">
        <f t="shared" ca="1" si="86"/>
        <v>2608251.1119065639</v>
      </c>
      <c r="S358" s="29">
        <f t="shared" ca="1" si="87"/>
        <v>5176336.7790457234</v>
      </c>
    </row>
    <row r="359" spans="2:19" x14ac:dyDescent="0.25">
      <c r="B359" s="12">
        <f t="shared" ca="1" si="78"/>
        <v>1</v>
      </c>
      <c r="C359" s="28">
        <f t="shared" ca="1" si="79"/>
        <v>29</v>
      </c>
      <c r="D359" s="45">
        <f t="shared" ca="1" si="80"/>
        <v>193.88864144734623</v>
      </c>
      <c r="E359" s="46">
        <f t="shared" ca="1" si="81"/>
        <v>2.6220521963853313E-2</v>
      </c>
      <c r="F359" s="21">
        <f t="shared" ca="1" si="82"/>
        <v>56674</v>
      </c>
      <c r="G359" s="47">
        <f t="shared" ca="1" si="83"/>
        <v>0.42365511513431853</v>
      </c>
      <c r="H359" s="29">
        <f t="shared" si="75"/>
        <v>3000</v>
      </c>
      <c r="I359" s="42">
        <f t="shared" ca="1" si="84"/>
        <v>13490.208490647376</v>
      </c>
      <c r="J359" s="42">
        <f t="shared" ca="1" si="85"/>
        <v>26815.825345943329</v>
      </c>
      <c r="L359" s="29">
        <f t="shared" ca="1" si="76"/>
        <v>5715.1958312911756</v>
      </c>
      <c r="M359" s="29">
        <f t="shared" ca="1" si="77"/>
        <v>11360.661574357398</v>
      </c>
      <c r="O359" s="29">
        <f ca="1">SUM($L$12:L359)</f>
        <v>1329095.208424692</v>
      </c>
      <c r="P359" s="29">
        <f ca="1">SUM($M$12:M359)</f>
        <v>2074404.7664071007</v>
      </c>
      <c r="R359" s="29">
        <f t="shared" ca="1" si="86"/>
        <v>2615598.1970930747</v>
      </c>
      <c r="S359" s="29">
        <f t="shared" ca="1" si="87"/>
        <v>5199283.9456142653</v>
      </c>
    </row>
    <row r="360" spans="2:19" x14ac:dyDescent="0.25">
      <c r="B360" s="12">
        <f t="shared" ca="1" si="78"/>
        <v>2</v>
      </c>
      <c r="C360" s="28">
        <f t="shared" ca="1" si="79"/>
        <v>29</v>
      </c>
      <c r="D360" s="45">
        <f t="shared" ca="1" si="80"/>
        <v>194.21178918309181</v>
      </c>
      <c r="E360" s="46">
        <f t="shared" ca="1" si="81"/>
        <v>2.6198707885680395E-2</v>
      </c>
      <c r="F360" s="21">
        <f t="shared" ca="1" si="82"/>
        <v>56705</v>
      </c>
      <c r="G360" s="47">
        <f t="shared" ca="1" si="83"/>
        <v>0.42400816106359712</v>
      </c>
      <c r="H360" s="29">
        <f t="shared" si="75"/>
        <v>3000</v>
      </c>
      <c r="I360" s="42">
        <f t="shared" ca="1" si="84"/>
        <v>13505.655544673389</v>
      </c>
      <c r="J360" s="42">
        <f t="shared" ca="1" si="85"/>
        <v>26889.768651006128</v>
      </c>
      <c r="L360" s="29">
        <f t="shared" ca="1" si="76"/>
        <v>5726.508171455338</v>
      </c>
      <c r="M360" s="29">
        <f t="shared" ca="1" si="77"/>
        <v>11401.481357138671</v>
      </c>
      <c r="O360" s="29">
        <f ca="1">SUM($L$12:L360)</f>
        <v>1334821.7165961473</v>
      </c>
      <c r="P360" s="29">
        <f ca="1">SUM($M$12:M360)</f>
        <v>2085806.2477642393</v>
      </c>
      <c r="R360" s="29">
        <f t="shared" ca="1" si="86"/>
        <v>2622957.5274215634</v>
      </c>
      <c r="S360" s="29">
        <f t="shared" ca="1" si="87"/>
        <v>5222310.0804313133</v>
      </c>
    </row>
    <row r="361" spans="2:19" x14ac:dyDescent="0.25">
      <c r="B361" s="12">
        <f t="shared" ca="1" si="78"/>
        <v>2</v>
      </c>
      <c r="C361" s="28">
        <f t="shared" ca="1" si="79"/>
        <v>29</v>
      </c>
      <c r="D361" s="45">
        <f t="shared" ca="1" si="80"/>
        <v>194.53547549839698</v>
      </c>
      <c r="E361" s="46">
        <f t="shared" ca="1" si="81"/>
        <v>2.6176911955659028E-2</v>
      </c>
      <c r="F361" s="21">
        <f t="shared" ca="1" si="82"/>
        <v>56735</v>
      </c>
      <c r="G361" s="47">
        <f t="shared" ca="1" si="83"/>
        <v>0.42436150119781679</v>
      </c>
      <c r="H361" s="29">
        <f t="shared" si="75"/>
        <v>3000</v>
      </c>
      <c r="I361" s="42">
        <f t="shared" ca="1" si="84"/>
        <v>13521.076896446448</v>
      </c>
      <c r="J361" s="42">
        <f t="shared" ca="1" si="85"/>
        <v>26963.798754359988</v>
      </c>
      <c r="L361" s="29">
        <f t="shared" ca="1" si="76"/>
        <v>5737.8244895871321</v>
      </c>
      <c r="M361" s="29">
        <f t="shared" ca="1" si="77"/>
        <v>11442.398117396027</v>
      </c>
      <c r="O361" s="29">
        <f ca="1">SUM($L$12:L361)</f>
        <v>1340559.5410857345</v>
      </c>
      <c r="P361" s="29">
        <f ca="1">SUM($M$12:M361)</f>
        <v>2097248.6458816351</v>
      </c>
      <c r="R361" s="29">
        <f t="shared" ca="1" si="86"/>
        <v>2630329.1233005994</v>
      </c>
      <c r="S361" s="29">
        <f t="shared" ca="1" si="87"/>
        <v>5245415.4119225042</v>
      </c>
    </row>
    <row r="362" spans="2:19" x14ac:dyDescent="0.25">
      <c r="B362" s="12">
        <f t="shared" ca="1" si="78"/>
        <v>2</v>
      </c>
      <c r="C362" s="28">
        <f t="shared" ca="1" si="79"/>
        <v>29</v>
      </c>
      <c r="D362" s="45">
        <f t="shared" ca="1" si="80"/>
        <v>194.85970129089432</v>
      </c>
      <c r="E362" s="46">
        <f t="shared" ca="1" si="81"/>
        <v>2.6155134158690922E-2</v>
      </c>
      <c r="F362" s="21">
        <f t="shared" ca="1" si="82"/>
        <v>56766</v>
      </c>
      <c r="G362" s="47">
        <f t="shared" ca="1" si="83"/>
        <v>0.42471513578214831</v>
      </c>
      <c r="H362" s="29">
        <f t="shared" si="75"/>
        <v>3000</v>
      </c>
      <c r="I362" s="42">
        <f t="shared" ca="1" si="84"/>
        <v>13536.472588732364</v>
      </c>
      <c r="J362" s="42">
        <f t="shared" ca="1" si="85"/>
        <v>27037.915660122027</v>
      </c>
      <c r="L362" s="29">
        <f t="shared" ca="1" si="76"/>
        <v>5749.1447935347942</v>
      </c>
      <c r="M362" s="29">
        <f t="shared" ca="1" si="77"/>
        <v>11483.412020855001</v>
      </c>
      <c r="O362" s="29">
        <f ca="1">SUM($L$12:L362)</f>
        <v>1346308.6858792694</v>
      </c>
      <c r="P362" s="29">
        <f ca="1">SUM($M$12:M362)</f>
        <v>2108732.0579024903</v>
      </c>
      <c r="R362" s="29">
        <f t="shared" ca="1" si="86"/>
        <v>2637713.0051727672</v>
      </c>
      <c r="S362" s="29">
        <f t="shared" ca="1" si="87"/>
        <v>5268600.169059772</v>
      </c>
    </row>
    <row r="363" spans="2:19" x14ac:dyDescent="0.25">
      <c r="B363" s="12">
        <f t="shared" ca="1" si="78"/>
        <v>3</v>
      </c>
      <c r="C363" s="28">
        <f t="shared" ca="1" si="79"/>
        <v>29</v>
      </c>
      <c r="D363" s="45">
        <f t="shared" ca="1" si="80"/>
        <v>195.18446745971249</v>
      </c>
      <c r="E363" s="46">
        <f t="shared" ca="1" si="81"/>
        <v>2.6133374479690347E-2</v>
      </c>
      <c r="F363" s="21">
        <f t="shared" ca="1" si="82"/>
        <v>56796</v>
      </c>
      <c r="G363" s="47">
        <f t="shared" ca="1" si="83"/>
        <v>0.42506906506196679</v>
      </c>
      <c r="H363" s="29">
        <f t="shared" si="75"/>
        <v>3000</v>
      </c>
      <c r="I363" s="42">
        <f t="shared" ca="1" si="84"/>
        <v>13551.842664225791</v>
      </c>
      <c r="J363" s="42">
        <f t="shared" ca="1" si="85"/>
        <v>27112.119372176341</v>
      </c>
      <c r="L363" s="29">
        <f t="shared" ca="1" si="76"/>
        <v>5760.4690911493299</v>
      </c>
      <c r="M363" s="29">
        <f t="shared" ca="1" si="77"/>
        <v>11524.523233379436</v>
      </c>
      <c r="O363" s="29">
        <f ca="1">SUM($L$12:L363)</f>
        <v>1352069.1549704187</v>
      </c>
      <c r="P363" s="29">
        <f ca="1">SUM($M$12:M363)</f>
        <v>2120256.5811358695</v>
      </c>
      <c r="R363" s="29">
        <f t="shared" ca="1" si="86"/>
        <v>2645109.1935147224</v>
      </c>
      <c r="S363" s="29">
        <f t="shared" ca="1" si="87"/>
        <v>5291864.5813623937</v>
      </c>
    </row>
    <row r="364" spans="2:19" x14ac:dyDescent="0.25">
      <c r="B364" s="12">
        <f t="shared" ca="1" si="78"/>
        <v>3</v>
      </c>
      <c r="C364" s="28">
        <f t="shared" ca="1" si="79"/>
        <v>29</v>
      </c>
      <c r="D364" s="45">
        <f t="shared" ca="1" si="80"/>
        <v>195.50977490547868</v>
      </c>
      <c r="E364" s="46">
        <f t="shared" ca="1" si="81"/>
        <v>2.6111632903584116E-2</v>
      </c>
      <c r="F364" s="21">
        <f t="shared" ca="1" si="82"/>
        <v>56827</v>
      </c>
      <c r="G364" s="47">
        <f t="shared" ca="1" si="83"/>
        <v>0.42542328928285178</v>
      </c>
      <c r="H364" s="29">
        <f t="shared" si="75"/>
        <v>3000</v>
      </c>
      <c r="I364" s="42">
        <f t="shared" ca="1" si="84"/>
        <v>13567.187165550344</v>
      </c>
      <c r="J364" s="42">
        <f t="shared" ca="1" si="85"/>
        <v>27186.409894174034</v>
      </c>
      <c r="L364" s="29">
        <f t="shared" ca="1" si="76"/>
        <v>5771.7973902845179</v>
      </c>
      <c r="M364" s="29">
        <f t="shared" ca="1" si="77"/>
        <v>11565.731920971384</v>
      </c>
      <c r="O364" s="29">
        <f ca="1">SUM($L$12:L364)</f>
        <v>1357840.9523607031</v>
      </c>
      <c r="P364" s="29">
        <f ca="1">SUM($M$12:M364)</f>
        <v>2131822.313056841</v>
      </c>
      <c r="R364" s="29">
        <f t="shared" ca="1" si="86"/>
        <v>2652517.708837247</v>
      </c>
      <c r="S364" s="29">
        <f t="shared" ca="1" si="87"/>
        <v>5315208.8788980441</v>
      </c>
    </row>
    <row r="365" spans="2:19" x14ac:dyDescent="0.25">
      <c r="B365" s="12">
        <f t="shared" ca="1" si="78"/>
        <v>3</v>
      </c>
      <c r="C365" s="28">
        <f t="shared" ca="1" si="79"/>
        <v>29</v>
      </c>
      <c r="D365" s="45">
        <f t="shared" ca="1" si="80"/>
        <v>195.83562453032116</v>
      </c>
      <c r="E365" s="46">
        <f t="shared" ca="1" si="81"/>
        <v>2.6089909415311585E-2</v>
      </c>
      <c r="F365" s="21">
        <f t="shared" ca="1" si="82"/>
        <v>56858</v>
      </c>
      <c r="G365" s="47">
        <f t="shared" ca="1" si="83"/>
        <v>0.42577780869058751</v>
      </c>
      <c r="H365" s="29">
        <f t="shared" si="75"/>
        <v>3000</v>
      </c>
      <c r="I365" s="42">
        <f t="shared" ca="1" si="84"/>
        <v>13582.506135258714</v>
      </c>
      <c r="J365" s="42">
        <f t="shared" ca="1" si="85"/>
        <v>27260.787229533242</v>
      </c>
      <c r="L365" s="29">
        <f t="shared" ca="1" si="76"/>
        <v>5783.1296987969163</v>
      </c>
      <c r="M365" s="29">
        <f t="shared" ca="1" si="77"/>
        <v>11607.038249771016</v>
      </c>
      <c r="O365" s="29">
        <f ca="1">SUM($L$12:L365)</f>
        <v>1363624.0820595</v>
      </c>
      <c r="P365" s="29">
        <f ca="1">SUM($M$12:M365)</f>
        <v>2143429.3513066121</v>
      </c>
      <c r="R365" s="29">
        <f t="shared" ca="1" si="86"/>
        <v>2659938.5716853091</v>
      </c>
      <c r="S365" s="29">
        <f t="shared" ca="1" si="87"/>
        <v>5338633.2922838461</v>
      </c>
    </row>
    <row r="366" spans="2:19" x14ac:dyDescent="0.25">
      <c r="B366" s="12">
        <f t="shared" ca="1" si="78"/>
        <v>4</v>
      </c>
      <c r="C366" s="28">
        <f t="shared" ca="1" si="79"/>
        <v>29</v>
      </c>
      <c r="D366" s="45">
        <f t="shared" ca="1" si="80"/>
        <v>196.16201723787171</v>
      </c>
      <c r="E366" s="46">
        <f t="shared" ca="1" si="81"/>
        <v>2.6068203999824631E-2</v>
      </c>
      <c r="F366" s="21">
        <f t="shared" ca="1" si="82"/>
        <v>56888</v>
      </c>
      <c r="G366" s="47">
        <f t="shared" ca="1" si="83"/>
        <v>0.42613262353116299</v>
      </c>
      <c r="H366" s="29">
        <f t="shared" si="75"/>
        <v>3000</v>
      </c>
      <c r="I366" s="42">
        <f t="shared" ca="1" si="84"/>
        <v>13597.799615832795</v>
      </c>
      <c r="J366" s="42">
        <f t="shared" ca="1" si="85"/>
        <v>27335.251381439153</v>
      </c>
      <c r="L366" s="29">
        <f t="shared" ca="1" si="76"/>
        <v>5794.466024545869</v>
      </c>
      <c r="M366" s="29">
        <f t="shared" ca="1" si="77"/>
        <v>11648.442386056513</v>
      </c>
      <c r="O366" s="29">
        <f ca="1">SUM($L$12:L366)</f>
        <v>1369418.548084046</v>
      </c>
      <c r="P366" s="29">
        <f ca="1">SUM($M$12:M366)</f>
        <v>2155077.7936926684</v>
      </c>
      <c r="R366" s="29">
        <f t="shared" ca="1" si="86"/>
        <v>2667371.8026381182</v>
      </c>
      <c r="S366" s="29">
        <f t="shared" ca="1" si="87"/>
        <v>5362138.0526874233</v>
      </c>
    </row>
    <row r="367" spans="2:19" x14ac:dyDescent="0.25">
      <c r="B367" s="12">
        <f t="shared" ca="1" si="78"/>
        <v>4</v>
      </c>
      <c r="C367" s="28">
        <f t="shared" ca="1" si="79"/>
        <v>29</v>
      </c>
      <c r="D367" s="45">
        <f t="shared" ca="1" si="80"/>
        <v>196.48895393326816</v>
      </c>
      <c r="E367" s="46">
        <f t="shared" ca="1" si="81"/>
        <v>2.6046516642087673E-2</v>
      </c>
      <c r="F367" s="21">
        <f t="shared" ca="1" si="82"/>
        <v>56919</v>
      </c>
      <c r="G367" s="47">
        <f t="shared" ca="1" si="83"/>
        <v>0.42648773405077228</v>
      </c>
      <c r="H367" s="29">
        <f t="shared" si="75"/>
        <v>3000</v>
      </c>
      <c r="I367" s="42">
        <f t="shared" ca="1" si="84"/>
        <v>13613.067649683791</v>
      </c>
      <c r="J367" s="42">
        <f t="shared" ca="1" si="85"/>
        <v>27409.802352844046</v>
      </c>
      <c r="L367" s="29">
        <f t="shared" ca="1" si="76"/>
        <v>5805.8063753935121</v>
      </c>
      <c r="M367" s="29">
        <f t="shared" ca="1" si="77"/>
        <v>11689.944496243985</v>
      </c>
      <c r="O367" s="29">
        <f ca="1">SUM($L$12:L367)</f>
        <v>1375224.3544594394</v>
      </c>
      <c r="P367" s="29">
        <f ca="1">SUM($M$12:M367)</f>
        <v>2166767.7381889126</v>
      </c>
      <c r="R367" s="29">
        <f t="shared" ca="1" si="86"/>
        <v>2674817.4223091817</v>
      </c>
      <c r="S367" s="29">
        <f t="shared" ca="1" si="87"/>
        <v>5385723.3918279596</v>
      </c>
    </row>
    <row r="368" spans="2:19" x14ac:dyDescent="0.25">
      <c r="B368" s="12">
        <f t="shared" ca="1" si="78"/>
        <v>4</v>
      </c>
      <c r="C368" s="28">
        <f t="shared" ca="1" si="79"/>
        <v>29</v>
      </c>
      <c r="D368" s="45">
        <f t="shared" ca="1" si="80"/>
        <v>196.81643552315694</v>
      </c>
      <c r="E368" s="46">
        <f t="shared" ca="1" si="81"/>
        <v>2.6024847327077615E-2</v>
      </c>
      <c r="F368" s="21">
        <f t="shared" ca="1" si="82"/>
        <v>56949</v>
      </c>
      <c r="G368" s="47">
        <f t="shared" ca="1" si="83"/>
        <v>0.42684314049581457</v>
      </c>
      <c r="H368" s="29">
        <f t="shared" si="75"/>
        <v>3000</v>
      </c>
      <c r="I368" s="42">
        <f t="shared" ca="1" si="84"/>
        <v>13628.31027915234</v>
      </c>
      <c r="J368" s="42">
        <f t="shared" ca="1" si="85"/>
        <v>27484.44014646731</v>
      </c>
      <c r="L368" s="29">
        <f t="shared" ca="1" si="76"/>
        <v>5817.1507592047756</v>
      </c>
      <c r="M368" s="29">
        <f t="shared" ca="1" si="77"/>
        <v>11731.544746887352</v>
      </c>
      <c r="O368" s="29">
        <f ca="1">SUM($L$12:L368)</f>
        <v>1381041.5052186442</v>
      </c>
      <c r="P368" s="29">
        <f ca="1">SUM($M$12:M368)</f>
        <v>2178499.2829358</v>
      </c>
      <c r="R368" s="29">
        <f t="shared" ca="1" si="86"/>
        <v>2682275.4513463634</v>
      </c>
      <c r="S368" s="29">
        <f t="shared" ca="1" si="87"/>
        <v>5409389.5419772491</v>
      </c>
    </row>
    <row r="369" spans="2:19" x14ac:dyDescent="0.25">
      <c r="B369" s="12">
        <f t="shared" ca="1" si="78"/>
        <v>1</v>
      </c>
      <c r="C369" s="28">
        <f t="shared" ca="1" si="79"/>
        <v>30</v>
      </c>
      <c r="D369" s="45">
        <f t="shared" ca="1" si="80"/>
        <v>197.14446291569556</v>
      </c>
      <c r="E369" s="46">
        <f t="shared" ca="1" si="81"/>
        <v>2.6003196039783873E-2</v>
      </c>
      <c r="F369" s="21">
        <f t="shared" ca="1" si="82"/>
        <v>56980</v>
      </c>
      <c r="G369" s="47">
        <f t="shared" ca="1" si="83"/>
        <v>0.42719884311289441</v>
      </c>
      <c r="H369" s="29">
        <f t="shared" si="75"/>
        <v>3000</v>
      </c>
      <c r="I369" s="42">
        <f t="shared" ca="1" si="84"/>
        <v>13643.527546508629</v>
      </c>
      <c r="J369" s="42">
        <f t="shared" ca="1" si="85"/>
        <v>27559.164764795481</v>
      </c>
      <c r="L369" s="29">
        <f t="shared" ca="1" si="76"/>
        <v>5828.4991838473925</v>
      </c>
      <c r="M369" s="29">
        <f t="shared" ca="1" si="77"/>
        <v>11773.243304678272</v>
      </c>
      <c r="O369" s="29">
        <f ca="1">SUM($L$12:L369)</f>
        <v>1386870.0044024915</v>
      </c>
      <c r="P369" s="29">
        <f ca="1">SUM($M$12:M369)</f>
        <v>2190272.5262404783</v>
      </c>
      <c r="R369" s="29">
        <f t="shared" ca="1" si="86"/>
        <v>2689745.910431941</v>
      </c>
      <c r="S369" s="29">
        <f t="shared" ca="1" si="87"/>
        <v>5433136.7359607667</v>
      </c>
    </row>
    <row r="370" spans="2:19" x14ac:dyDescent="0.25">
      <c r="B370" s="12">
        <f t="shared" ca="1" si="78"/>
        <v>1</v>
      </c>
      <c r="C370" s="28">
        <f t="shared" ca="1" si="79"/>
        <v>30</v>
      </c>
      <c r="D370" s="45">
        <f t="shared" ca="1" si="80"/>
        <v>197.47303702055507</v>
      </c>
      <c r="E370" s="46">
        <f t="shared" ca="1" si="81"/>
        <v>2.5981562765208344E-2</v>
      </c>
      <c r="F370" s="21">
        <f t="shared" ca="1" si="82"/>
        <v>57011</v>
      </c>
      <c r="G370" s="47">
        <f t="shared" ca="1" si="83"/>
        <v>0.42755484214882183</v>
      </c>
      <c r="H370" s="29">
        <f t="shared" si="75"/>
        <v>3000</v>
      </c>
      <c r="I370" s="42">
        <f t="shared" ca="1" si="84"/>
        <v>13658.719493952511</v>
      </c>
      <c r="J370" s="42">
        <f t="shared" ca="1" si="85"/>
        <v>27633.976210082266</v>
      </c>
      <c r="L370" s="29">
        <f t="shared" ca="1" si="76"/>
        <v>5839.8516571919017</v>
      </c>
      <c r="M370" s="29">
        <f t="shared" ca="1" si="77"/>
        <v>11815.040336446022</v>
      </c>
      <c r="O370" s="29">
        <f ca="1">SUM($L$12:L370)</f>
        <v>1392709.8560596835</v>
      </c>
      <c r="P370" s="29">
        <f ca="1">SUM($M$12:M370)</f>
        <v>2202087.5665769242</v>
      </c>
      <c r="R370" s="29">
        <f t="shared" ca="1" si="86"/>
        <v>2697228.8202826614</v>
      </c>
      <c r="S370" s="29">
        <f t="shared" ca="1" si="87"/>
        <v>5456965.2071587136</v>
      </c>
    </row>
    <row r="371" spans="2:19" x14ac:dyDescent="0.25">
      <c r="B371" s="12">
        <f t="shared" ca="1" si="78"/>
        <v>1</v>
      </c>
      <c r="C371" s="28">
        <f t="shared" ca="1" si="79"/>
        <v>30</v>
      </c>
      <c r="D371" s="45">
        <f t="shared" ca="1" si="80"/>
        <v>197.80215874892266</v>
      </c>
      <c r="E371" s="46">
        <f t="shared" ca="1" si="81"/>
        <v>2.5959947488365404E-2</v>
      </c>
      <c r="F371" s="21">
        <f t="shared" ca="1" si="82"/>
        <v>57040</v>
      </c>
      <c r="G371" s="47">
        <f t="shared" ca="1" si="83"/>
        <v>0.42791113785061252</v>
      </c>
      <c r="H371" s="29">
        <f t="shared" si="75"/>
        <v>3000</v>
      </c>
      <c r="I371" s="42">
        <f t="shared" ca="1" si="84"/>
        <v>13673.886163613624</v>
      </c>
      <c r="J371" s="42">
        <f t="shared" ca="1" si="85"/>
        <v>27708.87448434858</v>
      </c>
      <c r="L371" s="29">
        <f t="shared" ca="1" si="76"/>
        <v>5851.2081871116525</v>
      </c>
      <c r="M371" s="29">
        <f t="shared" ca="1" si="77"/>
        <v>11856.936009157405</v>
      </c>
      <c r="O371" s="29">
        <f ca="1">SUM($L$12:L371)</f>
        <v>1398561.0642467951</v>
      </c>
      <c r="P371" s="29">
        <f ca="1">SUM($M$12:M371)</f>
        <v>2213944.5025860816</v>
      </c>
      <c r="R371" s="29">
        <f t="shared" ca="1" si="86"/>
        <v>2704724.201649799</v>
      </c>
      <c r="S371" s="29">
        <f t="shared" ca="1" si="87"/>
        <v>5480875.1895070905</v>
      </c>
    </row>
    <row r="372" spans="2:19" x14ac:dyDescent="0.25">
      <c r="B372" s="12">
        <f t="shared" ca="1" si="78"/>
        <v>2</v>
      </c>
      <c r="C372" s="28">
        <f t="shared" ca="1" si="79"/>
        <v>30</v>
      </c>
      <c r="D372" s="45">
        <f t="shared" ca="1" si="80"/>
        <v>198.13182901350422</v>
      </c>
      <c r="E372" s="46">
        <f t="shared" ca="1" si="81"/>
        <v>2.5938350194281905E-2</v>
      </c>
      <c r="F372" s="21">
        <f t="shared" ca="1" si="82"/>
        <v>57071</v>
      </c>
      <c r="G372" s="47">
        <f t="shared" ca="1" si="83"/>
        <v>0.42826773046548805</v>
      </c>
      <c r="H372" s="29">
        <f t="shared" si="75"/>
        <v>3000</v>
      </c>
      <c r="I372" s="42">
        <f t="shared" ca="1" si="84"/>
        <v>13689.027597551509</v>
      </c>
      <c r="J372" s="42">
        <f t="shared" ca="1" si="85"/>
        <v>27783.859589382588</v>
      </c>
      <c r="L372" s="29">
        <f t="shared" ca="1" si="76"/>
        <v>5862.568781482817</v>
      </c>
      <c r="M372" s="29">
        <f t="shared" ca="1" si="77"/>
        <v>11898.930489916667</v>
      </c>
      <c r="O372" s="29">
        <f ca="1">SUM($L$12:L372)</f>
        <v>1404423.6330282779</v>
      </c>
      <c r="P372" s="29">
        <f ca="1">SUM($M$12:M372)</f>
        <v>2225843.4330759984</v>
      </c>
      <c r="R372" s="29">
        <f t="shared" ca="1" si="86"/>
        <v>2712232.0753192161</v>
      </c>
      <c r="S372" s="29">
        <f t="shared" ca="1" si="87"/>
        <v>5504866.9174987599</v>
      </c>
    </row>
    <row r="373" spans="2:19" x14ac:dyDescent="0.25">
      <c r="B373" s="12">
        <f t="shared" ca="1" si="78"/>
        <v>2</v>
      </c>
      <c r="C373" s="28">
        <f t="shared" ca="1" si="79"/>
        <v>30</v>
      </c>
      <c r="D373" s="45">
        <f t="shared" ca="1" si="80"/>
        <v>198.46204872852672</v>
      </c>
      <c r="E373" s="46">
        <f t="shared" ca="1" si="81"/>
        <v>2.5916770867997145E-2</v>
      </c>
      <c r="F373" s="21">
        <f t="shared" ca="1" si="82"/>
        <v>57101</v>
      </c>
      <c r="G373" s="47">
        <f t="shared" ca="1" si="83"/>
        <v>0.42862462024087594</v>
      </c>
      <c r="H373" s="29">
        <f t="shared" si="75"/>
        <v>3000</v>
      </c>
      <c r="I373" s="42">
        <f t="shared" ca="1" si="84"/>
        <v>13704.143837755719</v>
      </c>
      <c r="J373" s="42">
        <f t="shared" ca="1" si="85"/>
        <v>27858.931526739721</v>
      </c>
      <c r="L373" s="29">
        <f t="shared" ca="1" si="76"/>
        <v>5873.9334481843853</v>
      </c>
      <c r="M373" s="29">
        <f t="shared" ca="1" si="77"/>
        <v>11941.023945965379</v>
      </c>
      <c r="O373" s="29">
        <f ca="1">SUM($L$12:L373)</f>
        <v>1410297.5664764622</v>
      </c>
      <c r="P373" s="29">
        <f ca="1">SUM($M$12:M373)</f>
        <v>2237784.4570219638</v>
      </c>
      <c r="R373" s="29">
        <f t="shared" ca="1" si="86"/>
        <v>2719752.4621114149</v>
      </c>
      <c r="S373" s="29">
        <f t="shared" ca="1" si="87"/>
        <v>5528940.6261845082</v>
      </c>
    </row>
    <row r="374" spans="2:19" x14ac:dyDescent="0.25">
      <c r="B374" s="12">
        <f t="shared" ca="1" si="78"/>
        <v>2</v>
      </c>
      <c r="C374" s="28">
        <f t="shared" ca="1" si="79"/>
        <v>30</v>
      </c>
      <c r="D374" s="45">
        <f t="shared" ca="1" si="80"/>
        <v>198.79281880974094</v>
      </c>
      <c r="E374" s="46">
        <f t="shared" ca="1" si="81"/>
        <v>2.5895209494562869E-2</v>
      </c>
      <c r="F374" s="21">
        <f t="shared" ca="1" si="82"/>
        <v>57132</v>
      </c>
      <c r="G374" s="47">
        <f t="shared" ca="1" si="83"/>
        <v>0.42898180742441</v>
      </c>
      <c r="H374" s="29">
        <f t="shared" si="75"/>
        <v>3000</v>
      </c>
      <c r="I374" s="42">
        <f t="shared" ca="1" si="84"/>
        <v>13719.234926145944</v>
      </c>
      <c r="J374" s="42">
        <f t="shared" ca="1" si="85"/>
        <v>27934.090297742736</v>
      </c>
      <c r="L374" s="29">
        <f t="shared" ca="1" si="76"/>
        <v>5885.3021950981793</v>
      </c>
      <c r="M374" s="29">
        <f t="shared" ca="1" si="77"/>
        <v>11983.216544682355</v>
      </c>
      <c r="O374" s="29">
        <f ca="1">SUM($L$12:L374)</f>
        <v>1416182.8686715604</v>
      </c>
      <c r="P374" s="29">
        <f ca="1">SUM($M$12:M374)</f>
        <v>2249767.6735666459</v>
      </c>
      <c r="R374" s="29">
        <f t="shared" ca="1" si="86"/>
        <v>2727285.3828816004</v>
      </c>
      <c r="S374" s="29">
        <f t="shared" ca="1" si="87"/>
        <v>5553096.5511741135</v>
      </c>
    </row>
    <row r="375" spans="2:19" x14ac:dyDescent="0.25">
      <c r="B375" s="12">
        <f t="shared" ca="1" si="78"/>
        <v>3</v>
      </c>
      <c r="C375" s="28">
        <f t="shared" ca="1" si="79"/>
        <v>30</v>
      </c>
      <c r="D375" s="45">
        <f t="shared" ca="1" si="80"/>
        <v>199.12414017442384</v>
      </c>
      <c r="E375" s="46">
        <f t="shared" ca="1" si="81"/>
        <v>2.587366605904327E-2</v>
      </c>
      <c r="F375" s="21">
        <f t="shared" ca="1" si="82"/>
        <v>57162</v>
      </c>
      <c r="G375" s="47">
        <f t="shared" ca="1" si="83"/>
        <v>0.42933929226393036</v>
      </c>
      <c r="H375" s="29">
        <f t="shared" si="75"/>
        <v>3000</v>
      </c>
      <c r="I375" s="42">
        <f t="shared" ca="1" si="84"/>
        <v>13734.300904572126</v>
      </c>
      <c r="J375" s="42">
        <f t="shared" ca="1" si="85"/>
        <v>28009.335903481737</v>
      </c>
      <c r="L375" s="29">
        <f t="shared" ca="1" si="76"/>
        <v>5896.675030108855</v>
      </c>
      <c r="M375" s="29">
        <f t="shared" ca="1" si="77"/>
        <v>12025.508453583543</v>
      </c>
      <c r="O375" s="29">
        <f ca="1">SUM($L$12:L375)</f>
        <v>1422079.5437016692</v>
      </c>
      <c r="P375" s="29">
        <f ca="1">SUM($M$12:M375)</f>
        <v>2261793.1820202293</v>
      </c>
      <c r="R375" s="29">
        <f t="shared" ca="1" si="86"/>
        <v>2734830.8585197362</v>
      </c>
      <c r="S375" s="29">
        <f t="shared" ca="1" si="87"/>
        <v>5577334.9286374198</v>
      </c>
    </row>
    <row r="376" spans="2:19" x14ac:dyDescent="0.25">
      <c r="B376" s="12">
        <f t="shared" ca="1" si="78"/>
        <v>3</v>
      </c>
      <c r="C376" s="28">
        <f t="shared" ca="1" si="79"/>
        <v>30</v>
      </c>
      <c r="D376" s="45">
        <f t="shared" ca="1" si="80"/>
        <v>199.45601374138121</v>
      </c>
      <c r="E376" s="46">
        <f t="shared" ca="1" si="81"/>
        <v>2.5852140546514947E-2</v>
      </c>
      <c r="F376" s="21">
        <f t="shared" ca="1" si="82"/>
        <v>57193</v>
      </c>
      <c r="G376" s="47">
        <f t="shared" ca="1" si="83"/>
        <v>0.42969707500748361</v>
      </c>
      <c r="H376" s="29">
        <f t="shared" si="75"/>
        <v>3000</v>
      </c>
      <c r="I376" s="42">
        <f t="shared" ca="1" si="84"/>
        <v>13749.341814814572</v>
      </c>
      <c r="J376" s="42">
        <f t="shared" ca="1" si="85"/>
        <v>28084.668344814221</v>
      </c>
      <c r="L376" s="29">
        <f t="shared" ca="1" si="76"/>
        <v>5908.0519611039081</v>
      </c>
      <c r="M376" s="29">
        <f t="shared" ca="1" si="77"/>
        <v>12067.899840321938</v>
      </c>
      <c r="O376" s="29">
        <f ca="1">SUM($L$12:L376)</f>
        <v>1427987.5956627731</v>
      </c>
      <c r="P376" s="29">
        <f ca="1">SUM($M$12:M376)</f>
        <v>2273861.0818605511</v>
      </c>
      <c r="R376" s="29">
        <f t="shared" ca="1" si="86"/>
        <v>2742388.9099506028</v>
      </c>
      <c r="S376" s="29">
        <f t="shared" ca="1" si="87"/>
        <v>5601655.9953053994</v>
      </c>
    </row>
    <row r="377" spans="2:19" x14ac:dyDescent="0.25">
      <c r="B377" s="12">
        <f t="shared" ca="1" si="78"/>
        <v>3</v>
      </c>
      <c r="C377" s="28">
        <f t="shared" ca="1" si="79"/>
        <v>30</v>
      </c>
      <c r="D377" s="45">
        <f t="shared" ca="1" si="80"/>
        <v>199.7884404309502</v>
      </c>
      <c r="E377" s="46">
        <f t="shared" ca="1" si="81"/>
        <v>2.5830632942066924E-2</v>
      </c>
      <c r="F377" s="21">
        <f t="shared" ca="1" si="82"/>
        <v>57224</v>
      </c>
      <c r="G377" s="47">
        <f t="shared" ca="1" si="83"/>
        <v>0.43005515590332316</v>
      </c>
      <c r="H377" s="29">
        <f t="shared" si="75"/>
        <v>3000</v>
      </c>
      <c r="I377" s="42">
        <f t="shared" ca="1" si="84"/>
        <v>13764.357698584068</v>
      </c>
      <c r="J377" s="42">
        <f t="shared" ca="1" si="85"/>
        <v>28160.087622365114</v>
      </c>
      <c r="L377" s="29">
        <f t="shared" ca="1" si="76"/>
        <v>5919.4329959736779</v>
      </c>
      <c r="M377" s="29">
        <f t="shared" ca="1" si="77"/>
        <v>12110.390872687471</v>
      </c>
      <c r="O377" s="29">
        <f ca="1">SUM($L$12:L377)</f>
        <v>1433907.0286587467</v>
      </c>
      <c r="P377" s="29">
        <f ca="1">SUM($M$12:M377)</f>
        <v>2285971.4727332387</v>
      </c>
      <c r="R377" s="29">
        <f t="shared" ca="1" si="86"/>
        <v>2749959.5581338541</v>
      </c>
      <c r="S377" s="29">
        <f t="shared" ca="1" si="87"/>
        <v>5626059.9884712305</v>
      </c>
    </row>
    <row r="378" spans="2:19" x14ac:dyDescent="0.25">
      <c r="B378" s="12">
        <f t="shared" ca="1" si="78"/>
        <v>4</v>
      </c>
      <c r="C378" s="28">
        <f t="shared" ca="1" si="79"/>
        <v>30</v>
      </c>
      <c r="D378" s="45">
        <f t="shared" ca="1" si="80"/>
        <v>200.12142116500181</v>
      </c>
      <c r="E378" s="46">
        <f t="shared" ca="1" si="81"/>
        <v>2.5809143230800646E-2</v>
      </c>
      <c r="F378" s="21">
        <f t="shared" ca="1" si="82"/>
        <v>57254</v>
      </c>
      <c r="G378" s="47">
        <f t="shared" ca="1" si="83"/>
        <v>0.43041353519990927</v>
      </c>
      <c r="H378" s="29">
        <f t="shared" si="75"/>
        <v>3000</v>
      </c>
      <c r="I378" s="42">
        <f t="shared" ca="1" si="84"/>
        <v>13779.348597522001</v>
      </c>
      <c r="J378" s="42">
        <f t="shared" ca="1" si="85"/>
        <v>28235.593736526818</v>
      </c>
      <c r="L378" s="29">
        <f t="shared" ca="1" si="76"/>
        <v>5930.8181426113561</v>
      </c>
      <c r="M378" s="29">
        <f t="shared" ca="1" si="77"/>
        <v>12152.981718606923</v>
      </c>
      <c r="O378" s="29">
        <f ca="1">SUM($L$12:L378)</f>
        <v>1439837.846801358</v>
      </c>
      <c r="P378" s="29">
        <f ca="1">SUM($M$12:M378)</f>
        <v>2298124.4544518455</v>
      </c>
      <c r="R378" s="29">
        <f t="shared" ca="1" si="86"/>
        <v>2757542.8240640773</v>
      </c>
      <c r="S378" s="29">
        <f t="shared" ca="1" si="87"/>
        <v>5650547.1459913701</v>
      </c>
    </row>
    <row r="379" spans="2:19" x14ac:dyDescent="0.25">
      <c r="B379" s="12">
        <f t="shared" ca="1" si="78"/>
        <v>4</v>
      </c>
      <c r="C379" s="28">
        <f t="shared" ca="1" si="79"/>
        <v>30</v>
      </c>
      <c r="D379" s="45">
        <f t="shared" ca="1" si="80"/>
        <v>200.45495686694349</v>
      </c>
      <c r="E379" s="46">
        <f t="shared" ca="1" si="81"/>
        <v>2.578767139782993E-2</v>
      </c>
      <c r="F379" s="21">
        <f t="shared" ca="1" si="82"/>
        <v>57285</v>
      </c>
      <c r="G379" s="47">
        <f t="shared" ca="1" si="83"/>
        <v>0.43077221314590919</v>
      </c>
      <c r="H379" s="29">
        <f t="shared" si="75"/>
        <v>3000</v>
      </c>
      <c r="I379" s="42">
        <f t="shared" ca="1" si="84"/>
        <v>13794.314553200469</v>
      </c>
      <c r="J379" s="42">
        <f t="shared" ca="1" si="85"/>
        <v>28311.186687459256</v>
      </c>
      <c r="L379" s="29">
        <f t="shared" ca="1" si="76"/>
        <v>5942.2074089129892</v>
      </c>
      <c r="M379" s="29">
        <f t="shared" ca="1" si="77"/>
        <v>12195.672546143825</v>
      </c>
      <c r="O379" s="29">
        <f ca="1">SUM($L$12:L379)</f>
        <v>1445780.054210271</v>
      </c>
      <c r="P379" s="29">
        <f ca="1">SUM($M$12:M379)</f>
        <v>2310320.1269979891</v>
      </c>
      <c r="R379" s="29">
        <f t="shared" ca="1" si="86"/>
        <v>2765138.7287708507</v>
      </c>
      <c r="S379" s="29">
        <f t="shared" ca="1" si="87"/>
        <v>5675117.7062866297</v>
      </c>
    </row>
    <row r="380" spans="2:19" x14ac:dyDescent="0.25">
      <c r="B380" s="12">
        <f t="shared" ca="1" si="78"/>
        <v>4</v>
      </c>
      <c r="C380" s="28">
        <f t="shared" ca="1" si="79"/>
        <v>30</v>
      </c>
      <c r="D380" s="45">
        <f t="shared" ca="1" si="80"/>
        <v>200.78904846172173</v>
      </c>
      <c r="E380" s="46">
        <f t="shared" ca="1" si="81"/>
        <v>2.5766217428280981E-2</v>
      </c>
      <c r="F380" s="21">
        <f t="shared" ca="1" si="82"/>
        <v>57315</v>
      </c>
      <c r="G380" s="47">
        <f t="shared" ca="1" si="83"/>
        <v>0.43113118999019745</v>
      </c>
      <c r="H380" s="29">
        <f t="shared" si="75"/>
        <v>3000</v>
      </c>
      <c r="I380" s="42">
        <f t="shared" ca="1" si="84"/>
        <v>13809.255607122401</v>
      </c>
      <c r="J380" s="42">
        <f t="shared" ca="1" si="85"/>
        <v>28386.866475089908</v>
      </c>
      <c r="L380" s="29">
        <f t="shared" ca="1" si="76"/>
        <v>5953.6008027774869</v>
      </c>
      <c r="M380" s="29">
        <f t="shared" ca="1" si="77"/>
        <v>12238.463523498354</v>
      </c>
      <c r="O380" s="29">
        <f ca="1">SUM($L$12:L380)</f>
        <v>1451733.6550130486</v>
      </c>
      <c r="P380" s="29">
        <f ca="1">SUM($M$12:M380)</f>
        <v>2322558.5905214874</v>
      </c>
      <c r="R380" s="29">
        <f t="shared" ca="1" si="86"/>
        <v>2772747.2933188025</v>
      </c>
      <c r="S380" s="29">
        <f t="shared" ca="1" si="87"/>
        <v>5699771.9083432518</v>
      </c>
    </row>
    <row r="381" spans="2:19" x14ac:dyDescent="0.25">
      <c r="B381" s="12">
        <f t="shared" ca="1" si="78"/>
        <v>1</v>
      </c>
      <c r="C381" s="28">
        <f t="shared" ca="1" si="79"/>
        <v>31</v>
      </c>
      <c r="D381" s="45">
        <f t="shared" ca="1" si="80"/>
        <v>201.12369687582461</v>
      </c>
      <c r="E381" s="46">
        <f t="shared" ca="1" si="81"/>
        <v>2.5744781307292398E-2</v>
      </c>
      <c r="F381" s="21">
        <f t="shared" ca="1" si="82"/>
        <v>57346</v>
      </c>
      <c r="G381" s="47">
        <f t="shared" ca="1" si="83"/>
        <v>0.43149046598185598</v>
      </c>
      <c r="H381" s="29">
        <f t="shared" si="75"/>
        <v>3000</v>
      </c>
      <c r="I381" s="42">
        <f t="shared" ca="1" si="84"/>
        <v>13824.171800721668</v>
      </c>
      <c r="J381" s="42">
        <f t="shared" ca="1" si="85"/>
        <v>28462.633099113864</v>
      </c>
      <c r="L381" s="29">
        <f t="shared" ca="1" si="76"/>
        <v>5964.9983321066256</v>
      </c>
      <c r="M381" s="29">
        <f t="shared" ca="1" si="77"/>
        <v>12281.354819007238</v>
      </c>
      <c r="O381" s="29">
        <f ca="1">SUM($L$12:L381)</f>
        <v>1457698.6533451553</v>
      </c>
      <c r="P381" s="29">
        <f ca="1">SUM($M$12:M381)</f>
        <v>2334839.9453404946</v>
      </c>
      <c r="R381" s="29">
        <f t="shared" ca="1" si="86"/>
        <v>2780368.5388076673</v>
      </c>
      <c r="S381" s="29">
        <f t="shared" ca="1" si="87"/>
        <v>5724509.9917139886</v>
      </c>
    </row>
    <row r="382" spans="2:19" x14ac:dyDescent="0.25">
      <c r="B382" s="12">
        <f t="shared" ca="1" si="78"/>
        <v>1</v>
      </c>
      <c r="C382" s="28">
        <f t="shared" ca="1" si="79"/>
        <v>31</v>
      </c>
      <c r="D382" s="45">
        <f t="shared" ca="1" si="80"/>
        <v>201.45890303728433</v>
      </c>
      <c r="E382" s="46">
        <f t="shared" ca="1" si="81"/>
        <v>2.5723363020015114E-2</v>
      </c>
      <c r="F382" s="21">
        <f t="shared" ca="1" si="82"/>
        <v>57377</v>
      </c>
      <c r="G382" s="47">
        <f t="shared" ca="1" si="83"/>
        <v>0.43185004137017419</v>
      </c>
      <c r="H382" s="29">
        <f t="shared" si="75"/>
        <v>3000</v>
      </c>
      <c r="I382" s="42">
        <f t="shared" ca="1" si="84"/>
        <v>13839.063175363199</v>
      </c>
      <c r="J382" s="42">
        <f t="shared" ca="1" si="85"/>
        <v>28538.486558993864</v>
      </c>
      <c r="L382" s="29">
        <f t="shared" ca="1" si="76"/>
        <v>5976.4000048050511</v>
      </c>
      <c r="M382" s="29">
        <f t="shared" ca="1" si="77"/>
        <v>12324.346601143659</v>
      </c>
      <c r="O382" s="29">
        <f ca="1">SUM($L$12:L382)</f>
        <v>1463675.0533499604</v>
      </c>
      <c r="P382" s="29">
        <f ca="1">SUM($M$12:M382)</f>
        <v>2347164.2919416381</v>
      </c>
      <c r="R382" s="29">
        <f t="shared" ca="1" si="86"/>
        <v>2788002.486372347</v>
      </c>
      <c r="S382" s="29">
        <f t="shared" ca="1" si="87"/>
        <v>5749332.1965191867</v>
      </c>
    </row>
    <row r="383" spans="2:19" x14ac:dyDescent="0.25">
      <c r="B383" s="12">
        <f t="shared" ca="1" si="78"/>
        <v>1</v>
      </c>
      <c r="C383" s="28">
        <f t="shared" ca="1" si="79"/>
        <v>31</v>
      </c>
      <c r="D383" s="45">
        <f t="shared" ca="1" si="80"/>
        <v>201.79466787567981</v>
      </c>
      <c r="E383" s="46">
        <f t="shared" ca="1" si="81"/>
        <v>2.5701962551612438E-2</v>
      </c>
      <c r="F383" s="21">
        <f t="shared" ca="1" si="82"/>
        <v>57405</v>
      </c>
      <c r="G383" s="47">
        <f t="shared" ca="1" si="83"/>
        <v>0.43220991640464934</v>
      </c>
      <c r="H383" s="29">
        <f t="shared" si="75"/>
        <v>3000</v>
      </c>
      <c r="I383" s="42">
        <f t="shared" ca="1" si="84"/>
        <v>13853.929772343095</v>
      </c>
      <c r="J383" s="42">
        <f t="shared" ca="1" si="85"/>
        <v>28614.426853960351</v>
      </c>
      <c r="L383" s="29">
        <f t="shared" ca="1" si="76"/>
        <v>5987.8058287802924</v>
      </c>
      <c r="M383" s="29">
        <f t="shared" ca="1" si="77"/>
        <v>12367.439038517157</v>
      </c>
      <c r="O383" s="29">
        <f ca="1">SUM($L$12:L383)</f>
        <v>1469662.8591787408</v>
      </c>
      <c r="P383" s="29">
        <f ca="1">SUM($M$12:M383)</f>
        <v>2359531.7309801551</v>
      </c>
      <c r="R383" s="29">
        <f t="shared" ca="1" si="86"/>
        <v>2795649.1571829673</v>
      </c>
      <c r="S383" s="29">
        <f t="shared" ca="1" si="87"/>
        <v>5774238.7634478621</v>
      </c>
    </row>
    <row r="384" spans="2:19" x14ac:dyDescent="0.25">
      <c r="B384" s="12">
        <f t="shared" ca="1" si="78"/>
        <v>2</v>
      </c>
      <c r="C384" s="28">
        <f t="shared" ca="1" si="79"/>
        <v>31</v>
      </c>
      <c r="D384" s="45">
        <f t="shared" ca="1" si="80"/>
        <v>202.13099232213929</v>
      </c>
      <c r="E384" s="46">
        <f t="shared" ca="1" si="81"/>
        <v>2.5680579887260011E-2</v>
      </c>
      <c r="F384" s="21">
        <f t="shared" ca="1" si="82"/>
        <v>57436</v>
      </c>
      <c r="G384" s="47">
        <f t="shared" ca="1" si="83"/>
        <v>0.43257009133498653</v>
      </c>
      <c r="H384" s="29">
        <f t="shared" si="75"/>
        <v>3000</v>
      </c>
      <c r="I384" s="42">
        <f t="shared" ca="1" si="84"/>
        <v>13868.771632888751</v>
      </c>
      <c r="J384" s="42">
        <f t="shared" ca="1" si="85"/>
        <v>28690.453983011525</v>
      </c>
      <c r="L384" s="29">
        <f t="shared" ca="1" si="76"/>
        <v>5999.2158119427577</v>
      </c>
      <c r="M384" s="29">
        <f t="shared" ca="1" si="77"/>
        <v>12410.632299873523</v>
      </c>
      <c r="O384" s="29">
        <f ca="1">SUM($L$12:L384)</f>
        <v>1475662.0749906835</v>
      </c>
      <c r="P384" s="29">
        <f ca="1">SUM($M$12:M384)</f>
        <v>2371942.3632800286</v>
      </c>
      <c r="R384" s="29">
        <f t="shared" ca="1" si="86"/>
        <v>2803308.5724449395</v>
      </c>
      <c r="S384" s="29">
        <f t="shared" ca="1" si="87"/>
        <v>5799229.9337587934</v>
      </c>
    </row>
    <row r="385" spans="2:19" x14ac:dyDescent="0.25">
      <c r="B385" s="12">
        <f t="shared" ca="1" si="78"/>
        <v>2</v>
      </c>
      <c r="C385" s="28">
        <f t="shared" ca="1" si="79"/>
        <v>31</v>
      </c>
      <c r="D385" s="45">
        <f t="shared" ca="1" si="80"/>
        <v>202.46787730934287</v>
      </c>
      <c r="E385" s="46">
        <f t="shared" ca="1" si="81"/>
        <v>2.5659215012145818E-2</v>
      </c>
      <c r="F385" s="21">
        <f t="shared" ca="1" si="82"/>
        <v>57466</v>
      </c>
      <c r="G385" s="47">
        <f t="shared" ca="1" si="83"/>
        <v>0.432930566411099</v>
      </c>
      <c r="H385" s="29">
        <f t="shared" si="75"/>
        <v>3000</v>
      </c>
      <c r="I385" s="42">
        <f t="shared" ca="1" si="84"/>
        <v>13883.588798158955</v>
      </c>
      <c r="J385" s="42">
        <f t="shared" ca="1" si="85"/>
        <v>28766.567944913382</v>
      </c>
      <c r="L385" s="29">
        <f t="shared" ca="1" si="76"/>
        <v>6010.6299622057459</v>
      </c>
      <c r="M385" s="29">
        <f t="shared" ca="1" si="77"/>
        <v>12453.926554094714</v>
      </c>
      <c r="O385" s="29">
        <f ca="1">SUM($L$12:L385)</f>
        <v>1481672.7049528891</v>
      </c>
      <c r="P385" s="29">
        <f ca="1">SUM($M$12:M385)</f>
        <v>2384396.2898341231</v>
      </c>
      <c r="R385" s="29">
        <f t="shared" ca="1" si="86"/>
        <v>2810980.7533990145</v>
      </c>
      <c r="S385" s="29">
        <f t="shared" ca="1" si="87"/>
        <v>5824305.9492815984</v>
      </c>
    </row>
    <row r="386" spans="2:19" x14ac:dyDescent="0.25">
      <c r="B386" s="12">
        <f t="shared" ca="1" si="78"/>
        <v>2</v>
      </c>
      <c r="C386" s="28">
        <f t="shared" ca="1" si="79"/>
        <v>31</v>
      </c>
      <c r="D386" s="45">
        <f t="shared" ca="1" si="80"/>
        <v>202.80532377152511</v>
      </c>
      <c r="E386" s="46">
        <f t="shared" ca="1" si="81"/>
        <v>2.5637867911470158E-2</v>
      </c>
      <c r="F386" s="21">
        <f t="shared" ca="1" si="82"/>
        <v>57497</v>
      </c>
      <c r="G386" s="47">
        <f t="shared" ca="1" si="83"/>
        <v>0.43329134188310825</v>
      </c>
      <c r="H386" s="29">
        <f t="shared" si="75"/>
        <v>3000</v>
      </c>
      <c r="I386" s="42">
        <f t="shared" ca="1" si="84"/>
        <v>13898.381309244018</v>
      </c>
      <c r="J386" s="42">
        <f t="shared" ca="1" si="85"/>
        <v>28842.768738199778</v>
      </c>
      <c r="L386" s="29">
        <f t="shared" ca="1" si="76"/>
        <v>6022.0482874854515</v>
      </c>
      <c r="M386" s="29">
        <f t="shared" ca="1" si="77"/>
        <v>12497.321970198747</v>
      </c>
      <c r="O386" s="29">
        <f ca="1">SUM($L$12:L386)</f>
        <v>1487694.7532403746</v>
      </c>
      <c r="P386" s="29">
        <f ca="1">SUM($M$12:M386)</f>
        <v>2396893.6118043219</v>
      </c>
      <c r="R386" s="29">
        <f t="shared" ca="1" si="86"/>
        <v>2818665.7213213462</v>
      </c>
      <c r="S386" s="29">
        <f t="shared" ca="1" si="87"/>
        <v>5849467.0524178287</v>
      </c>
    </row>
    <row r="387" spans="2:19" x14ac:dyDescent="0.25">
      <c r="B387" s="12">
        <f t="shared" ca="1" si="78"/>
        <v>3</v>
      </c>
      <c r="C387" s="28">
        <f t="shared" ca="1" si="79"/>
        <v>31</v>
      </c>
      <c r="D387" s="45">
        <f t="shared" ca="1" si="80"/>
        <v>203.14333264447765</v>
      </c>
      <c r="E387" s="46">
        <f t="shared" ca="1" si="81"/>
        <v>2.561653857044564E-2</v>
      </c>
      <c r="F387" s="21">
        <f t="shared" ca="1" si="82"/>
        <v>57527</v>
      </c>
      <c r="G387" s="47">
        <f t="shared" ca="1" si="83"/>
        <v>0.43365241800134419</v>
      </c>
      <c r="H387" s="29">
        <f t="shared" si="75"/>
        <v>3000</v>
      </c>
      <c r="I387" s="42">
        <f t="shared" ca="1" si="84"/>
        <v>13913.149207165878</v>
      </c>
      <c r="J387" s="42">
        <f t="shared" ca="1" si="85"/>
        <v>28919.056361172476</v>
      </c>
      <c r="L387" s="29">
        <f t="shared" ca="1" si="76"/>
        <v>6033.4707957009678</v>
      </c>
      <c r="M387" s="29">
        <f t="shared" ca="1" si="77"/>
        <v>12540.818717339598</v>
      </c>
      <c r="O387" s="29">
        <f ca="1">SUM($L$12:L387)</f>
        <v>1493728.2240360756</v>
      </c>
      <c r="P387" s="29">
        <f ca="1">SUM($M$12:M387)</f>
        <v>2409434.4305216614</v>
      </c>
      <c r="R387" s="29">
        <f t="shared" ca="1" si="86"/>
        <v>2826363.4975235485</v>
      </c>
      <c r="S387" s="29">
        <f t="shared" ca="1" si="87"/>
        <v>5874713.4861420579</v>
      </c>
    </row>
    <row r="388" spans="2:19" x14ac:dyDescent="0.25">
      <c r="B388" s="12">
        <f t="shared" ca="1" si="78"/>
        <v>3</v>
      </c>
      <c r="C388" s="28">
        <f t="shared" ca="1" si="79"/>
        <v>31</v>
      </c>
      <c r="D388" s="45">
        <f t="shared" ca="1" si="80"/>
        <v>203.4819048655518</v>
      </c>
      <c r="E388" s="46">
        <f t="shared" ca="1" si="81"/>
        <v>2.5595226974297176E-2</v>
      </c>
      <c r="F388" s="21">
        <f t="shared" ca="1" si="82"/>
        <v>57558</v>
      </c>
      <c r="G388" s="47">
        <f t="shared" ca="1" si="83"/>
        <v>0.43401379501634529</v>
      </c>
      <c r="H388" s="29">
        <f t="shared" si="75"/>
        <v>3000</v>
      </c>
      <c r="I388" s="42">
        <f t="shared" ca="1" si="84"/>
        <v>13927.892532878217</v>
      </c>
      <c r="J388" s="42">
        <f t="shared" ca="1" si="85"/>
        <v>28995.430811901191</v>
      </c>
      <c r="L388" s="29">
        <f t="shared" ca="1" si="76"/>
        <v>6044.8974947742927</v>
      </c>
      <c r="M388" s="29">
        <f t="shared" ca="1" si="77"/>
        <v>12584.416964807106</v>
      </c>
      <c r="O388" s="29">
        <f ca="1">SUM($L$12:L388)</f>
        <v>1499773.12153085</v>
      </c>
      <c r="P388" s="29">
        <f ca="1">SUM($M$12:M388)</f>
        <v>2422018.8474864685</v>
      </c>
      <c r="R388" s="29">
        <f t="shared" ca="1" si="86"/>
        <v>2834074.1033527548</v>
      </c>
      <c r="S388" s="29">
        <f t="shared" ca="1" si="87"/>
        <v>5900045.4940029671</v>
      </c>
    </row>
    <row r="389" spans="2:19" x14ac:dyDescent="0.25">
      <c r="B389" s="12">
        <f t="shared" ca="1" si="78"/>
        <v>3</v>
      </c>
      <c r="C389" s="28">
        <f t="shared" ca="1" si="79"/>
        <v>31</v>
      </c>
      <c r="D389" s="45">
        <f t="shared" ca="1" si="80"/>
        <v>203.82104137366105</v>
      </c>
      <c r="E389" s="46">
        <f t="shared" ca="1" si="81"/>
        <v>2.557393310826199E-2</v>
      </c>
      <c r="F389" s="21">
        <f t="shared" ca="1" si="82"/>
        <v>57589</v>
      </c>
      <c r="G389" s="47">
        <f t="shared" ca="1" si="83"/>
        <v>0.43437547317885894</v>
      </c>
      <c r="H389" s="29">
        <f t="shared" si="75"/>
        <v>3000</v>
      </c>
      <c r="I389" s="42">
        <f t="shared" ca="1" si="84"/>
        <v>13942.611327266575</v>
      </c>
      <c r="J389" s="42">
        <f t="shared" ca="1" si="85"/>
        <v>29071.892088223671</v>
      </c>
      <c r="L389" s="29">
        <f t="shared" ca="1" si="76"/>
        <v>6056.3283926303375</v>
      </c>
      <c r="M389" s="29">
        <f t="shared" ca="1" si="77"/>
        <v>12628.116882026883</v>
      </c>
      <c r="O389" s="29">
        <f ca="1">SUM($L$12:L389)</f>
        <v>1505829.4499234804</v>
      </c>
      <c r="P389" s="29">
        <f ca="1">SUM($M$12:M389)</f>
        <v>2434646.9643684952</v>
      </c>
      <c r="R389" s="29">
        <f t="shared" ca="1" si="86"/>
        <v>2841797.5601916756</v>
      </c>
      <c r="S389" s="29">
        <f t="shared" ca="1" si="87"/>
        <v>5925463.3201244464</v>
      </c>
    </row>
    <row r="390" spans="2:19" x14ac:dyDescent="0.25">
      <c r="B390" s="12">
        <f t="shared" ca="1" si="78"/>
        <v>4</v>
      </c>
      <c r="C390" s="28">
        <f t="shared" ca="1" si="79"/>
        <v>31</v>
      </c>
      <c r="D390" s="45">
        <f t="shared" ca="1" si="80"/>
        <v>204.16074310928383</v>
      </c>
      <c r="E390" s="46">
        <f t="shared" ca="1" si="81"/>
        <v>2.555265695758956E-2</v>
      </c>
      <c r="F390" s="21">
        <f t="shared" ca="1" si="82"/>
        <v>57619</v>
      </c>
      <c r="G390" s="47">
        <f t="shared" ca="1" si="83"/>
        <v>0.43473745273984132</v>
      </c>
      <c r="H390" s="29">
        <f t="shared" si="75"/>
        <v>3000</v>
      </c>
      <c r="I390" s="42">
        <f t="shared" ca="1" si="84"/>
        <v>13957.305631148463</v>
      </c>
      <c r="J390" s="42">
        <f t="shared" ca="1" si="85"/>
        <v>29148.440187745728</v>
      </c>
      <c r="L390" s="29">
        <f t="shared" ca="1" si="76"/>
        <v>6067.7634971969264</v>
      </c>
      <c r="M390" s="29">
        <f t="shared" ca="1" si="77"/>
        <v>12671.918638560201</v>
      </c>
      <c r="O390" s="29">
        <f ca="1">SUM($L$12:L390)</f>
        <v>1511897.2134206772</v>
      </c>
      <c r="P390" s="29">
        <f ca="1">SUM($M$12:M390)</f>
        <v>2447318.8830070551</v>
      </c>
      <c r="R390" s="29">
        <f t="shared" ca="1" si="86"/>
        <v>2849533.8894586619</v>
      </c>
      <c r="S390" s="29">
        <f t="shared" ca="1" si="87"/>
        <v>5950967.2092066808</v>
      </c>
    </row>
    <row r="391" spans="2:19" x14ac:dyDescent="0.25">
      <c r="B391" s="12">
        <f t="shared" ca="1" si="78"/>
        <v>4</v>
      </c>
      <c r="C391" s="28">
        <f t="shared" ca="1" si="79"/>
        <v>31</v>
      </c>
      <c r="D391" s="45">
        <f t="shared" ca="1" si="80"/>
        <v>204.50101101446597</v>
      </c>
      <c r="E391" s="46">
        <f t="shared" ca="1" si="81"/>
        <v>2.5531398507541648E-2</v>
      </c>
      <c r="F391" s="21">
        <f t="shared" ca="1" si="82"/>
        <v>57650</v>
      </c>
      <c r="G391" s="47">
        <f t="shared" ca="1" si="83"/>
        <v>0.43509973395045787</v>
      </c>
      <c r="H391" s="29">
        <f t="shared" si="75"/>
        <v>3000</v>
      </c>
      <c r="I391" s="42">
        <f t="shared" ca="1" si="84"/>
        <v>13971.975485273477</v>
      </c>
      <c r="J391" s="42">
        <f t="shared" ca="1" si="85"/>
        <v>29225.075107841312</v>
      </c>
      <c r="L391" s="29">
        <f t="shared" ca="1" si="76"/>
        <v>6079.2028164048088</v>
      </c>
      <c r="M391" s="29">
        <f t="shared" ca="1" si="77"/>
        <v>12715.822404103903</v>
      </c>
      <c r="O391" s="29">
        <f ca="1">SUM($L$12:L391)</f>
        <v>1517976.4162370821</v>
      </c>
      <c r="P391" s="29">
        <f ca="1">SUM($M$12:M391)</f>
        <v>2460034.705411159</v>
      </c>
      <c r="R391" s="29">
        <f t="shared" ca="1" si="86"/>
        <v>2857283.1126077599</v>
      </c>
      <c r="S391" s="29">
        <f t="shared" ca="1" si="87"/>
        <v>5976557.4065272519</v>
      </c>
    </row>
    <row r="392" spans="2:19" x14ac:dyDescent="0.25">
      <c r="B392" s="12">
        <f t="shared" ca="1" si="78"/>
        <v>4</v>
      </c>
      <c r="C392" s="28">
        <f t="shared" ca="1" si="79"/>
        <v>31</v>
      </c>
      <c r="D392" s="45">
        <f t="shared" ca="1" si="80"/>
        <v>204.84184603282341</v>
      </c>
      <c r="E392" s="46">
        <f t="shared" ca="1" si="81"/>
        <v>2.551015774339228E-2</v>
      </c>
      <c r="F392" s="21">
        <f t="shared" ca="1" si="82"/>
        <v>57680</v>
      </c>
      <c r="G392" s="47">
        <f t="shared" ca="1" si="83"/>
        <v>0.43546231706208327</v>
      </c>
      <c r="H392" s="29">
        <f t="shared" si="75"/>
        <v>3000</v>
      </c>
      <c r="I392" s="42">
        <f t="shared" ca="1" si="84"/>
        <v>13986.620930323406</v>
      </c>
      <c r="J392" s="42">
        <f t="shared" ca="1" si="85"/>
        <v>29301.796845652567</v>
      </c>
      <c r="L392" s="29">
        <f t="shared" ca="1" si="76"/>
        <v>6090.6463581876615</v>
      </c>
      <c r="M392" s="29">
        <f t="shared" ca="1" si="77"/>
        <v>12759.82834849031</v>
      </c>
      <c r="O392" s="29">
        <f ca="1">SUM($L$12:L392)</f>
        <v>1524067.0625952699</v>
      </c>
      <c r="P392" s="29">
        <f ca="1">SUM($M$12:M392)</f>
        <v>2472794.5337596494</v>
      </c>
      <c r="R392" s="29">
        <f t="shared" ca="1" si="86"/>
        <v>2865045.2511287727</v>
      </c>
      <c r="S392" s="29">
        <f t="shared" ca="1" si="87"/>
        <v>6002234.1579422336</v>
      </c>
    </row>
    <row r="393" spans="2:19" x14ac:dyDescent="0.25">
      <c r="B393" s="12">
        <f t="shared" ca="1" si="78"/>
        <v>1</v>
      </c>
      <c r="C393" s="28">
        <f t="shared" ca="1" si="79"/>
        <v>32</v>
      </c>
      <c r="D393" s="45">
        <f t="shared" ca="1" si="80"/>
        <v>205.18324910954479</v>
      </c>
      <c r="E393" s="46">
        <f t="shared" ca="1" si="81"/>
        <v>2.5488934650427727E-2</v>
      </c>
      <c r="F393" s="21">
        <f t="shared" ca="1" si="82"/>
        <v>57711</v>
      </c>
      <c r="G393" s="47">
        <f t="shared" ca="1" si="83"/>
        <v>0.43582520232630168</v>
      </c>
      <c r="H393" s="29">
        <f t="shared" si="75"/>
        <v>3000</v>
      </c>
      <c r="I393" s="42">
        <f t="shared" ca="1" si="84"/>
        <v>14001.242006912355</v>
      </c>
      <c r="J393" s="42">
        <f t="shared" ca="1" si="85"/>
        <v>29378.605398089887</v>
      </c>
      <c r="L393" s="29">
        <f t="shared" ca="1" si="76"/>
        <v>6102.0941304820908</v>
      </c>
      <c r="M393" s="29">
        <f t="shared" ca="1" si="77"/>
        <v>12803.936641687103</v>
      </c>
      <c r="O393" s="29">
        <f ca="1">SUM($L$12:L393)</f>
        <v>1530169.1567257519</v>
      </c>
      <c r="P393" s="29">
        <f ca="1">SUM($M$12:M393)</f>
        <v>2485598.4704013364</v>
      </c>
      <c r="R393" s="29">
        <f t="shared" ca="1" si="86"/>
        <v>2872820.3265473205</v>
      </c>
      <c r="S393" s="29">
        <f t="shared" ca="1" si="87"/>
        <v>6027997.7098872941</v>
      </c>
    </row>
    <row r="394" spans="2:19" x14ac:dyDescent="0.25">
      <c r="B394" s="12">
        <f t="shared" ca="1" si="78"/>
        <v>1</v>
      </c>
      <c r="C394" s="28">
        <f t="shared" ca="1" si="79"/>
        <v>32</v>
      </c>
      <c r="D394" s="45">
        <f t="shared" ca="1" si="80"/>
        <v>205.52522119139402</v>
      </c>
      <c r="E394" s="46">
        <f t="shared" ca="1" si="81"/>
        <v>2.5467729213946504E-2</v>
      </c>
      <c r="F394" s="21">
        <f t="shared" ca="1" si="82"/>
        <v>57742</v>
      </c>
      <c r="G394" s="47">
        <f t="shared" ca="1" si="83"/>
        <v>0.43618838999490694</v>
      </c>
      <c r="H394" s="29">
        <f t="shared" si="75"/>
        <v>3000</v>
      </c>
      <c r="I394" s="42">
        <f t="shared" ca="1" si="84"/>
        <v>14015.838755586847</v>
      </c>
      <c r="J394" s="42">
        <f t="shared" ca="1" si="85"/>
        <v>29455.500761831983</v>
      </c>
      <c r="L394" s="29">
        <f t="shared" ca="1" si="76"/>
        <v>6113.5461412276463</v>
      </c>
      <c r="M394" s="29">
        <f t="shared" ca="1" si="77"/>
        <v>12848.147453797248</v>
      </c>
      <c r="O394" s="29">
        <f ca="1">SUM($L$12:L394)</f>
        <v>1536282.7028669796</v>
      </c>
      <c r="P394" s="29">
        <f ca="1">SUM($M$12:M394)</f>
        <v>2498446.6178551335</v>
      </c>
      <c r="R394" s="29">
        <f t="shared" ca="1" si="86"/>
        <v>2880608.3604248995</v>
      </c>
      <c r="S394" s="29">
        <f t="shared" ca="1" si="87"/>
        <v>6053848.3093787935</v>
      </c>
    </row>
    <row r="395" spans="2:19" x14ac:dyDescent="0.25">
      <c r="B395" s="12">
        <f t="shared" ca="1" si="78"/>
        <v>1</v>
      </c>
      <c r="C395" s="28">
        <f t="shared" ca="1" si="79"/>
        <v>32</v>
      </c>
      <c r="D395" s="45">
        <f t="shared" ca="1" si="80"/>
        <v>205.86776322671301</v>
      </c>
      <c r="E395" s="46">
        <f t="shared" ca="1" si="81"/>
        <v>2.5446541419259366E-2</v>
      </c>
      <c r="F395" s="21">
        <f t="shared" ca="1" si="82"/>
        <v>57770</v>
      </c>
      <c r="G395" s="47">
        <f t="shared" ca="1" si="83"/>
        <v>0.43655188031990272</v>
      </c>
      <c r="H395" s="29">
        <f t="shared" si="75"/>
        <v>3000</v>
      </c>
      <c r="I395" s="42">
        <f t="shared" ca="1" si="84"/>
        <v>14030.41121682594</v>
      </c>
      <c r="J395" s="42">
        <f t="shared" ca="1" si="85"/>
        <v>29532.482933325944</v>
      </c>
      <c r="L395" s="29">
        <f t="shared" ca="1" si="76"/>
        <v>6125.0023983668179</v>
      </c>
      <c r="M395" s="29">
        <f t="shared" ca="1" si="77"/>
        <v>12892.460955058878</v>
      </c>
      <c r="O395" s="29">
        <f ca="1">SUM($L$12:L395)</f>
        <v>1542407.7052653464</v>
      </c>
      <c r="P395" s="29">
        <f ca="1">SUM($M$12:M395)</f>
        <v>2511339.0788101922</v>
      </c>
      <c r="R395" s="29">
        <f t="shared" ca="1" si="86"/>
        <v>2888409.3743589409</v>
      </c>
      <c r="S395" s="29">
        <f t="shared" ca="1" si="87"/>
        <v>6079786.204014888</v>
      </c>
    </row>
    <row r="396" spans="2:19" x14ac:dyDescent="0.25">
      <c r="B396" s="12">
        <f t="shared" ca="1" si="78"/>
        <v>2</v>
      </c>
      <c r="C396" s="28">
        <f t="shared" ca="1" si="79"/>
        <v>32</v>
      </c>
      <c r="D396" s="45">
        <f t="shared" ca="1" si="80"/>
        <v>206.2108761654242</v>
      </c>
      <c r="E396" s="46">
        <f t="shared" ca="1" si="81"/>
        <v>2.5425371251689265E-2</v>
      </c>
      <c r="F396" s="21">
        <f t="shared" ca="1" si="82"/>
        <v>57801</v>
      </c>
      <c r="G396" s="47">
        <f t="shared" ca="1" si="83"/>
        <v>0.43691567355350264</v>
      </c>
      <c r="H396" s="29">
        <f t="shared" si="75"/>
        <v>3000</v>
      </c>
      <c r="I396" s="42">
        <f t="shared" ca="1" si="84"/>
        <v>14044.959431041339</v>
      </c>
      <c r="J396" s="42">
        <f t="shared" ca="1" si="85"/>
        <v>29609.551908787304</v>
      </c>
      <c r="L396" s="29">
        <f t="shared" ca="1" si="76"/>
        <v>6136.4629098450459</v>
      </c>
      <c r="M396" s="29">
        <f t="shared" ca="1" si="77"/>
        <v>12936.877315845204</v>
      </c>
      <c r="O396" s="29">
        <f ca="1">SUM($L$12:L396)</f>
        <v>1548544.1681751914</v>
      </c>
      <c r="P396" s="29">
        <f ca="1">SUM($M$12:M396)</f>
        <v>2524275.9561260375</v>
      </c>
      <c r="R396" s="29">
        <f t="shared" ca="1" si="86"/>
        <v>2896223.3899828722</v>
      </c>
      <c r="S396" s="29">
        <f t="shared" ca="1" si="87"/>
        <v>6105811.6419766387</v>
      </c>
    </row>
    <row r="397" spans="2:19" x14ac:dyDescent="0.25">
      <c r="B397" s="12">
        <f t="shared" ca="1" si="78"/>
        <v>2</v>
      </c>
      <c r="C397" s="28">
        <f t="shared" ca="1" si="79"/>
        <v>32</v>
      </c>
      <c r="D397" s="45">
        <f t="shared" ca="1" si="80"/>
        <v>206.55456095903324</v>
      </c>
      <c r="E397" s="46">
        <f t="shared" ca="1" si="81"/>
        <v>2.5404218696571387E-2</v>
      </c>
      <c r="F397" s="21">
        <f t="shared" ca="1" si="82"/>
        <v>57831</v>
      </c>
      <c r="G397" s="47">
        <f t="shared" ca="1" si="83"/>
        <v>0.43727976994813056</v>
      </c>
      <c r="H397" s="29">
        <f t="shared" si="75"/>
        <v>3000</v>
      </c>
      <c r="I397" s="42">
        <f t="shared" ca="1" si="84"/>
        <v>14059.483438577512</v>
      </c>
      <c r="J397" s="42">
        <f t="shared" ca="1" si="85"/>
        <v>29686.707684200108</v>
      </c>
      <c r="L397" s="29">
        <f t="shared" ca="1" si="76"/>
        <v>6147.9276836107265</v>
      </c>
      <c r="M397" s="29">
        <f t="shared" ca="1" si="77"/>
        <v>12981.396706664424</v>
      </c>
      <c r="O397" s="29">
        <f ca="1">SUM($L$12:L397)</f>
        <v>1554692.0958588021</v>
      </c>
      <c r="P397" s="29">
        <f ca="1">SUM($M$12:M397)</f>
        <v>2537257.352832702</v>
      </c>
      <c r="R397" s="29">
        <f t="shared" ca="1" si="86"/>
        <v>2904050.4289661772</v>
      </c>
      <c r="S397" s="29">
        <f t="shared" ca="1" si="87"/>
        <v>6131924.8720291117</v>
      </c>
    </row>
    <row r="398" spans="2:19" x14ac:dyDescent="0.25">
      <c r="B398" s="12">
        <f t="shared" ca="1" si="78"/>
        <v>2</v>
      </c>
      <c r="C398" s="28">
        <f t="shared" ca="1" si="79"/>
        <v>32</v>
      </c>
      <c r="D398" s="45">
        <f t="shared" ca="1" si="80"/>
        <v>206.89881856063164</v>
      </c>
      <c r="E398" s="46">
        <f t="shared" ca="1" si="81"/>
        <v>2.5383083739253111E-2</v>
      </c>
      <c r="F398" s="21">
        <f t="shared" ca="1" si="82"/>
        <v>57862</v>
      </c>
      <c r="G398" s="47">
        <f t="shared" ca="1" si="83"/>
        <v>0.43764416975642068</v>
      </c>
      <c r="H398" s="29">
        <f t="shared" ref="H398:H461" si="88">IF($F$5="Mensuel",$E$5,0)</f>
        <v>3000</v>
      </c>
      <c r="I398" s="42">
        <f t="shared" ca="1" si="84"/>
        <v>14073.983279711794</v>
      </c>
      <c r="J398" s="42">
        <f t="shared" ca="1" si="85"/>
        <v>29763.95025531697</v>
      </c>
      <c r="L398" s="29">
        <f t="shared" ref="L398:L461" ca="1" si="89">I398*G398</f>
        <v>6159.3967276152143</v>
      </c>
      <c r="M398" s="29">
        <f t="shared" ref="M398:M461" ca="1" si="90">J398*G398</f>
        <v>13026.019298159601</v>
      </c>
      <c r="O398" s="29">
        <f ca="1">SUM($L$12:L398)</f>
        <v>1560851.4925864174</v>
      </c>
      <c r="P398" s="29">
        <f ca="1">SUM($M$12:M398)</f>
        <v>2550283.3721308615</v>
      </c>
      <c r="R398" s="29">
        <f t="shared" ca="1" si="86"/>
        <v>2911890.5130144539</v>
      </c>
      <c r="S398" s="29">
        <f t="shared" ca="1" si="87"/>
        <v>6158126.1435224917</v>
      </c>
    </row>
    <row r="399" spans="2:19" x14ac:dyDescent="0.25">
      <c r="B399" s="12">
        <f t="shared" ca="1" si="78"/>
        <v>3</v>
      </c>
      <c r="C399" s="28">
        <f t="shared" ca="1" si="79"/>
        <v>32</v>
      </c>
      <c r="D399" s="45">
        <f t="shared" ca="1" si="80"/>
        <v>207.24364992489936</v>
      </c>
      <c r="E399" s="46">
        <f t="shared" ca="1" si="81"/>
        <v>2.5361966365093993E-2</v>
      </c>
      <c r="F399" s="21">
        <f t="shared" ca="1" si="82"/>
        <v>57892</v>
      </c>
      <c r="G399" s="47">
        <f t="shared" ca="1" si="83"/>
        <v>0.43800887323121768</v>
      </c>
      <c r="H399" s="29">
        <f t="shared" si="88"/>
        <v>3000</v>
      </c>
      <c r="I399" s="42">
        <f t="shared" ca="1" si="84"/>
        <v>14088.458994654506</v>
      </c>
      <c r="J399" s="42">
        <f t="shared" ca="1" si="85"/>
        <v>29841.279617659155</v>
      </c>
      <c r="L399" s="29">
        <f t="shared" ca="1" si="89"/>
        <v>6170.8700498128337</v>
      </c>
      <c r="M399" s="29">
        <f t="shared" ca="1" si="90"/>
        <v>13070.745261108588</v>
      </c>
      <c r="O399" s="29">
        <f ca="1">SUM($L$12:L399)</f>
        <v>1567022.3626362302</v>
      </c>
      <c r="P399" s="29">
        <f ca="1">SUM($M$12:M399)</f>
        <v>2563354.11739197</v>
      </c>
      <c r="R399" s="29">
        <f t="shared" ca="1" si="86"/>
        <v>2919743.6638694778</v>
      </c>
      <c r="S399" s="29">
        <f t="shared" ca="1" si="87"/>
        <v>6184415.7063931888</v>
      </c>
    </row>
    <row r="400" spans="2:19" x14ac:dyDescent="0.25">
      <c r="B400" s="12">
        <f t="shared" ca="1" si="78"/>
        <v>3</v>
      </c>
      <c r="C400" s="28">
        <f t="shared" ca="1" si="79"/>
        <v>32</v>
      </c>
      <c r="D400" s="45">
        <f t="shared" ca="1" si="80"/>
        <v>207.58905600810752</v>
      </c>
      <c r="E400" s="46">
        <f t="shared" ca="1" si="81"/>
        <v>2.5340866559465797E-2</v>
      </c>
      <c r="F400" s="21">
        <f t="shared" ca="1" si="82"/>
        <v>57923</v>
      </c>
      <c r="G400" s="47">
        <f t="shared" ca="1" si="83"/>
        <v>0.43837388062557703</v>
      </c>
      <c r="H400" s="29">
        <f t="shared" si="88"/>
        <v>3000</v>
      </c>
      <c r="I400" s="42">
        <f t="shared" ca="1" si="84"/>
        <v>14102.91062354906</v>
      </c>
      <c r="J400" s="42">
        <f t="shared" ca="1" si="85"/>
        <v>29918.695766516641</v>
      </c>
      <c r="L400" s="29">
        <f t="shared" ca="1" si="89"/>
        <v>6182.3476581608775</v>
      </c>
      <c r="M400" s="29">
        <f t="shared" ca="1" si="90"/>
        <v>13115.574766423922</v>
      </c>
      <c r="O400" s="29">
        <f ca="1">SUM($L$12:L400)</f>
        <v>1573204.710294391</v>
      </c>
      <c r="P400" s="29">
        <f ca="1">SUM($M$12:M400)</f>
        <v>2576469.692158394</v>
      </c>
      <c r="R400" s="29">
        <f t="shared" ca="1" si="86"/>
        <v>2927609.9033092605</v>
      </c>
      <c r="S400" s="29">
        <f t="shared" ca="1" si="87"/>
        <v>6210793.8111649519</v>
      </c>
    </row>
    <row r="401" spans="2:19" x14ac:dyDescent="0.25">
      <c r="B401" s="12">
        <f t="shared" ca="1" si="78"/>
        <v>3</v>
      </c>
      <c r="C401" s="28">
        <f t="shared" ca="1" si="79"/>
        <v>32</v>
      </c>
      <c r="D401" s="45">
        <f t="shared" ca="1" si="80"/>
        <v>207.93503776812105</v>
      </c>
      <c r="E401" s="46">
        <f t="shared" ca="1" si="81"/>
        <v>2.5319784307752429E-2</v>
      </c>
      <c r="F401" s="21">
        <f t="shared" ca="1" si="82"/>
        <v>57954</v>
      </c>
      <c r="G401" s="47">
        <f t="shared" ca="1" si="83"/>
        <v>0.43873919219276503</v>
      </c>
      <c r="H401" s="29">
        <f t="shared" si="88"/>
        <v>3000</v>
      </c>
      <c r="I401" s="42">
        <f t="shared" ca="1" si="84"/>
        <v>14117.338206472075</v>
      </c>
      <c r="J401" s="42">
        <f t="shared" ca="1" si="85"/>
        <v>29996.198696948188</v>
      </c>
      <c r="L401" s="29">
        <f t="shared" ca="1" si="89"/>
        <v>6193.829560619617</v>
      </c>
      <c r="M401" s="29">
        <f t="shared" ca="1" si="90"/>
        <v>13160.507985152719</v>
      </c>
      <c r="O401" s="29">
        <f ca="1">SUM($L$12:L401)</f>
        <v>1579398.5398550106</v>
      </c>
      <c r="P401" s="29">
        <f ca="1">SUM($M$12:M401)</f>
        <v>2589630.2001435468</v>
      </c>
      <c r="R401" s="29">
        <f t="shared" ca="1" si="86"/>
        <v>2935489.2531481092</v>
      </c>
      <c r="S401" s="29">
        <f t="shared" ca="1" si="87"/>
        <v>6237260.708949985</v>
      </c>
    </row>
    <row r="402" spans="2:19" x14ac:dyDescent="0.25">
      <c r="B402" s="12">
        <f t="shared" ca="1" si="78"/>
        <v>4</v>
      </c>
      <c r="C402" s="28">
        <f t="shared" ca="1" si="79"/>
        <v>32</v>
      </c>
      <c r="D402" s="45">
        <f t="shared" ca="1" si="80"/>
        <v>208.28159616440126</v>
      </c>
      <c r="E402" s="46">
        <f t="shared" ca="1" si="81"/>
        <v>2.5298719595349975E-2</v>
      </c>
      <c r="F402" s="21">
        <f t="shared" ca="1" si="82"/>
        <v>57984</v>
      </c>
      <c r="G402" s="47">
        <f t="shared" ca="1" si="83"/>
        <v>0.43910480818625902</v>
      </c>
      <c r="H402" s="29">
        <f t="shared" si="88"/>
        <v>3000</v>
      </c>
      <c r="I402" s="42">
        <f t="shared" ca="1" si="84"/>
        <v>14131.741783433488</v>
      </c>
      <c r="J402" s="42">
        <f t="shared" ca="1" si="85"/>
        <v>30073.788403781415</v>
      </c>
      <c r="L402" s="29">
        <f t="shared" ca="1" si="89"/>
        <v>6205.3157651523043</v>
      </c>
      <c r="M402" s="29">
        <f t="shared" ca="1" si="90"/>
        <v>13205.54508847658</v>
      </c>
      <c r="O402" s="29">
        <f ca="1">SUM($L$12:L402)</f>
        <v>1585603.8556201628</v>
      </c>
      <c r="P402" s="29">
        <f ca="1">SUM($M$12:M402)</f>
        <v>2602835.7452320233</v>
      </c>
      <c r="R402" s="29">
        <f t="shared" ca="1" si="86"/>
        <v>2943381.7352366894</v>
      </c>
      <c r="S402" s="29">
        <f t="shared" ca="1" si="87"/>
        <v>6263816.6514500547</v>
      </c>
    </row>
    <row r="403" spans="2:19" x14ac:dyDescent="0.25">
      <c r="B403" s="12">
        <f t="shared" ca="1" si="78"/>
        <v>4</v>
      </c>
      <c r="C403" s="28">
        <f t="shared" ca="1" si="79"/>
        <v>32</v>
      </c>
      <c r="D403" s="45">
        <f t="shared" ca="1" si="80"/>
        <v>208.6287321580086</v>
      </c>
      <c r="E403" s="46">
        <f t="shared" ca="1" si="81"/>
        <v>2.5277672407666651E-2</v>
      </c>
      <c r="F403" s="21">
        <f t="shared" ca="1" si="82"/>
        <v>58015</v>
      </c>
      <c r="G403" s="47">
        <f t="shared" ca="1" si="83"/>
        <v>0.43947072885974758</v>
      </c>
      <c r="H403" s="29">
        <f t="shared" si="88"/>
        <v>3000</v>
      </c>
      <c r="I403" s="42">
        <f t="shared" ca="1" si="84"/>
        <v>14146.121394376663</v>
      </c>
      <c r="J403" s="42">
        <f t="shared" ca="1" si="85"/>
        <v>30151.464881612872</v>
      </c>
      <c r="L403" s="29">
        <f t="shared" ca="1" si="89"/>
        <v>6216.8062797251814</v>
      </c>
      <c r="M403" s="29">
        <f t="shared" ca="1" si="90"/>
        <v>13250.686247711492</v>
      </c>
      <c r="O403" s="29">
        <f ca="1">SUM($L$12:L403)</f>
        <v>1591820.661899888</v>
      </c>
      <c r="P403" s="29">
        <f ca="1">SUM($M$12:M403)</f>
        <v>2616086.4314797348</v>
      </c>
      <c r="R403" s="29">
        <f t="shared" ca="1" si="86"/>
        <v>2951287.3714620839</v>
      </c>
      <c r="S403" s="29">
        <f t="shared" ca="1" si="87"/>
        <v>6290461.8909576144</v>
      </c>
    </row>
    <row r="404" spans="2:19" x14ac:dyDescent="0.25">
      <c r="B404" s="12">
        <f t="shared" ca="1" si="78"/>
        <v>4</v>
      </c>
      <c r="C404" s="28">
        <f t="shared" ca="1" si="79"/>
        <v>32</v>
      </c>
      <c r="D404" s="45">
        <f t="shared" ca="1" si="80"/>
        <v>208.97644671160529</v>
      </c>
      <c r="E404" s="46">
        <f t="shared" ca="1" si="81"/>
        <v>2.525664273012284E-2</v>
      </c>
      <c r="F404" s="21">
        <f t="shared" ca="1" si="82"/>
        <v>58045</v>
      </c>
      <c r="G404" s="47">
        <f t="shared" ca="1" si="83"/>
        <v>0.43983695446713073</v>
      </c>
      <c r="H404" s="29">
        <f t="shared" si="88"/>
        <v>3000</v>
      </c>
      <c r="I404" s="42">
        <f t="shared" ca="1" si="84"/>
        <v>14160.477079178501</v>
      </c>
      <c r="J404" s="42">
        <f t="shared" ca="1" si="85"/>
        <v>30229.228124808113</v>
      </c>
      <c r="L404" s="29">
        <f t="shared" ca="1" si="89"/>
        <v>6228.301112307483</v>
      </c>
      <c r="M404" s="29">
        <f t="shared" ca="1" si="90"/>
        <v>13295.931634307733</v>
      </c>
      <c r="O404" s="29">
        <f ca="1">SUM($L$12:L404)</f>
        <v>1598048.9630121954</v>
      </c>
      <c r="P404" s="29">
        <f ca="1">SUM($M$12:M404)</f>
        <v>2629382.3631140427</v>
      </c>
      <c r="R404" s="29">
        <f t="shared" ca="1" si="86"/>
        <v>2959206.1837478541</v>
      </c>
      <c r="S404" s="29">
        <f t="shared" ca="1" si="87"/>
        <v>6317196.6803569226</v>
      </c>
    </row>
    <row r="405" spans="2:19" x14ac:dyDescent="0.25">
      <c r="B405" s="12">
        <f t="shared" ca="1" si="78"/>
        <v>1</v>
      </c>
      <c r="C405" s="28">
        <f t="shared" ca="1" si="79"/>
        <v>33</v>
      </c>
      <c r="D405" s="45">
        <f t="shared" ca="1" si="80"/>
        <v>209.32474078945796</v>
      </c>
      <c r="E405" s="46">
        <f t="shared" ca="1" si="81"/>
        <v>2.5235630548151023E-2</v>
      </c>
      <c r="F405" s="21">
        <f t="shared" ca="1" si="82"/>
        <v>58076</v>
      </c>
      <c r="G405" s="47">
        <f t="shared" ca="1" si="83"/>
        <v>0.44020348526252001</v>
      </c>
      <c r="H405" s="29">
        <f t="shared" si="88"/>
        <v>3000</v>
      </c>
      <c r="I405" s="42">
        <f t="shared" ca="1" si="84"/>
        <v>14174.808877649555</v>
      </c>
      <c r="J405" s="42">
        <f t="shared" ca="1" si="85"/>
        <v>30307.078127501765</v>
      </c>
      <c r="L405" s="29">
        <f t="shared" ca="1" si="89"/>
        <v>6239.8002708714439</v>
      </c>
      <c r="M405" s="29">
        <f t="shared" ca="1" si="90"/>
        <v>13341.281419849765</v>
      </c>
      <c r="O405" s="29">
        <f ca="1">SUM($L$12:L405)</f>
        <v>1604288.7632830669</v>
      </c>
      <c r="P405" s="29">
        <f ca="1">SUM($M$12:M405)</f>
        <v>2642723.6445338926</v>
      </c>
      <c r="R405" s="29">
        <f t="shared" ca="1" si="86"/>
        <v>2967138.1940541007</v>
      </c>
      <c r="S405" s="29">
        <f t="shared" ca="1" si="87"/>
        <v>6344021.2731251577</v>
      </c>
    </row>
    <row r="406" spans="2:19" x14ac:dyDescent="0.25">
      <c r="B406" s="12">
        <f t="shared" ca="1" si="78"/>
        <v>1</v>
      </c>
      <c r="C406" s="28">
        <f t="shared" ca="1" si="79"/>
        <v>33</v>
      </c>
      <c r="D406" s="45">
        <f t="shared" ca="1" si="80"/>
        <v>209.67361535744041</v>
      </c>
      <c r="E406" s="46">
        <f t="shared" ca="1" si="81"/>
        <v>2.5214635847195823E-2</v>
      </c>
      <c r="F406" s="21">
        <f t="shared" ca="1" si="82"/>
        <v>58107</v>
      </c>
      <c r="G406" s="47">
        <f t="shared" ca="1" si="83"/>
        <v>0.44057032150023878</v>
      </c>
      <c r="H406" s="29">
        <f t="shared" si="88"/>
        <v>3000</v>
      </c>
      <c r="I406" s="42">
        <f t="shared" ca="1" si="84"/>
        <v>14189.116829534134</v>
      </c>
      <c r="J406" s="42">
        <f t="shared" ca="1" si="85"/>
        <v>30385.014883597625</v>
      </c>
      <c r="L406" s="29">
        <f t="shared" ca="1" si="89"/>
        <v>6251.3037633923022</v>
      </c>
      <c r="M406" s="29">
        <f t="shared" ca="1" si="90"/>
        <v>13386.735776056146</v>
      </c>
      <c r="O406" s="29">
        <f ca="1">SUM($L$12:L406)</f>
        <v>1610540.0670464593</v>
      </c>
      <c r="P406" s="29">
        <f ca="1">SUM($M$12:M406)</f>
        <v>2656110.3803099487</v>
      </c>
      <c r="R406" s="29">
        <f t="shared" ca="1" si="86"/>
        <v>2975083.4243775243</v>
      </c>
      <c r="S406" s="29">
        <f t="shared" ca="1" si="87"/>
        <v>6370935.9233335508</v>
      </c>
    </row>
    <row r="407" spans="2:19" x14ac:dyDescent="0.25">
      <c r="B407" s="12">
        <f t="shared" ca="1" si="78"/>
        <v>1</v>
      </c>
      <c r="C407" s="28">
        <f t="shared" ca="1" si="79"/>
        <v>33</v>
      </c>
      <c r="D407" s="45">
        <f t="shared" ca="1" si="80"/>
        <v>210.02307138303615</v>
      </c>
      <c r="E407" s="46">
        <f t="shared" ca="1" si="81"/>
        <v>2.519365861271396E-2</v>
      </c>
      <c r="F407" s="21">
        <f t="shared" ca="1" si="82"/>
        <v>58135</v>
      </c>
      <c r="G407" s="47">
        <f t="shared" ca="1" si="83"/>
        <v>0.44093746343482232</v>
      </c>
      <c r="H407" s="29">
        <f t="shared" si="88"/>
        <v>3000</v>
      </c>
      <c r="I407" s="42">
        <f t="shared" ca="1" si="84"/>
        <v>14203.400974510419</v>
      </c>
      <c r="J407" s="42">
        <f t="shared" ca="1" si="85"/>
        <v>30463.038386768712</v>
      </c>
      <c r="L407" s="29">
        <f t="shared" ca="1" si="89"/>
        <v>6262.8115978483074</v>
      </c>
      <c r="M407" s="29">
        <f t="shared" ca="1" si="90"/>
        <v>13432.294874779418</v>
      </c>
      <c r="O407" s="29">
        <f ca="1">SUM($L$12:L407)</f>
        <v>1616802.8786443076</v>
      </c>
      <c r="P407" s="29">
        <f ca="1">SUM($M$12:M407)</f>
        <v>2669542.6751847281</v>
      </c>
      <c r="R407" s="29">
        <f t="shared" ca="1" si="86"/>
        <v>2983041.8967514872</v>
      </c>
      <c r="S407" s="29">
        <f t="shared" ca="1" si="87"/>
        <v>6397940.8856484955</v>
      </c>
    </row>
    <row r="408" spans="2:19" x14ac:dyDescent="0.25">
      <c r="B408" s="12">
        <f t="shared" ca="1" si="78"/>
        <v>2</v>
      </c>
      <c r="C408" s="28">
        <f t="shared" ca="1" si="79"/>
        <v>33</v>
      </c>
      <c r="D408" s="45">
        <f t="shared" ca="1" si="80"/>
        <v>210.37310983534121</v>
      </c>
      <c r="E408" s="46">
        <f t="shared" ca="1" si="81"/>
        <v>2.517269883017427E-2</v>
      </c>
      <c r="F408" s="21">
        <f t="shared" ca="1" si="82"/>
        <v>58166</v>
      </c>
      <c r="G408" s="47">
        <f t="shared" ca="1" si="83"/>
        <v>0.44130491132101801</v>
      </c>
      <c r="H408" s="29">
        <f t="shared" si="88"/>
        <v>3000</v>
      </c>
      <c r="I408" s="42">
        <f t="shared" ca="1" si="84"/>
        <v>14217.661352190571</v>
      </c>
      <c r="J408" s="42">
        <f t="shared" ca="1" si="85"/>
        <v>30541.14863045737</v>
      </c>
      <c r="L408" s="29">
        <f t="shared" ca="1" si="89"/>
        <v>6274.3237822207248</v>
      </c>
      <c r="M408" s="29">
        <f t="shared" ca="1" si="90"/>
        <v>13477.95888800602</v>
      </c>
      <c r="O408" s="29">
        <f ca="1">SUM($L$12:L408)</f>
        <v>1623077.2024265283</v>
      </c>
      <c r="P408" s="29">
        <f ca="1">SUM($M$12:M408)</f>
        <v>2683020.634072734</v>
      </c>
      <c r="R408" s="29">
        <f t="shared" ca="1" si="86"/>
        <v>2991013.633246073</v>
      </c>
      <c r="S408" s="29">
        <f t="shared" ca="1" si="87"/>
        <v>6425036.415332689</v>
      </c>
    </row>
    <row r="409" spans="2:19" x14ac:dyDescent="0.25">
      <c r="B409" s="12">
        <f t="shared" ca="1" si="78"/>
        <v>2</v>
      </c>
      <c r="C409" s="28">
        <f t="shared" ca="1" si="79"/>
        <v>33</v>
      </c>
      <c r="D409" s="45">
        <f t="shared" ca="1" si="80"/>
        <v>210.72373168506678</v>
      </c>
      <c r="E409" s="46">
        <f t="shared" ca="1" si="81"/>
        <v>2.5151756485057651E-2</v>
      </c>
      <c r="F409" s="21">
        <f t="shared" ca="1" si="82"/>
        <v>58196</v>
      </c>
      <c r="G409" s="47">
        <f t="shared" ca="1" si="83"/>
        <v>0.44167266541378553</v>
      </c>
      <c r="H409" s="29">
        <f t="shared" si="88"/>
        <v>3000</v>
      </c>
      <c r="I409" s="42">
        <f t="shared" ca="1" si="84"/>
        <v>14231.898002120839</v>
      </c>
      <c r="J409" s="42">
        <f t="shared" ca="1" si="85"/>
        <v>30619.345607875333</v>
      </c>
      <c r="L409" s="29">
        <f t="shared" ca="1" si="89"/>
        <v>6285.8403244938399</v>
      </c>
      <c r="M409" s="29">
        <f t="shared" ca="1" si="90"/>
        <v>13523.727987856186</v>
      </c>
      <c r="O409" s="29">
        <f ca="1">SUM($L$12:L409)</f>
        <v>1629363.0427510221</v>
      </c>
      <c r="P409" s="29">
        <f ca="1">SUM($M$12:M409)</f>
        <v>2696544.3620605902</v>
      </c>
      <c r="R409" s="29">
        <f t="shared" ca="1" si="86"/>
        <v>2998998.6559681497</v>
      </c>
      <c r="S409" s="29">
        <f t="shared" ca="1" si="87"/>
        <v>6452222.7682462502</v>
      </c>
    </row>
    <row r="410" spans="2:19" x14ac:dyDescent="0.25">
      <c r="B410" s="12">
        <f t="shared" ca="1" si="78"/>
        <v>2</v>
      </c>
      <c r="C410" s="28">
        <f t="shared" ca="1" si="79"/>
        <v>33</v>
      </c>
      <c r="D410" s="45">
        <f t="shared" ca="1" si="80"/>
        <v>211.07493790454191</v>
      </c>
      <c r="E410" s="46">
        <f t="shared" ca="1" si="81"/>
        <v>2.5130831562857101E-2</v>
      </c>
      <c r="F410" s="21">
        <f t="shared" ca="1" si="82"/>
        <v>58227</v>
      </c>
      <c r="G410" s="47">
        <f t="shared" ca="1" si="83"/>
        <v>0.44204072596829702</v>
      </c>
      <c r="H410" s="29">
        <f t="shared" si="88"/>
        <v>3000</v>
      </c>
      <c r="I410" s="42">
        <f t="shared" ca="1" si="84"/>
        <v>14246.110963781672</v>
      </c>
      <c r="J410" s="42">
        <f t="shared" ca="1" si="85"/>
        <v>30697.629312003814</v>
      </c>
      <c r="L410" s="29">
        <f t="shared" ca="1" si="89"/>
        <v>6297.3612326549655</v>
      </c>
      <c r="M410" s="29">
        <f t="shared" ca="1" si="90"/>
        <v>13569.602346583841</v>
      </c>
      <c r="O410" s="29">
        <f ca="1">SUM($L$12:L410)</f>
        <v>1635660.403983677</v>
      </c>
      <c r="P410" s="29">
        <f ca="1">SUM($M$12:M410)</f>
        <v>2710113.9644071739</v>
      </c>
      <c r="R410" s="29">
        <f t="shared" ca="1" si="86"/>
        <v>3006996.9870614302</v>
      </c>
      <c r="S410" s="29">
        <f t="shared" ca="1" si="87"/>
        <v>6479500.2008478502</v>
      </c>
    </row>
    <row r="411" spans="2:19" x14ac:dyDescent="0.25">
      <c r="B411" s="12">
        <f t="shared" ca="1" si="78"/>
        <v>3</v>
      </c>
      <c r="C411" s="28">
        <f t="shared" ca="1" si="79"/>
        <v>33</v>
      </c>
      <c r="D411" s="45">
        <f t="shared" ca="1" si="80"/>
        <v>211.42672946771614</v>
      </c>
      <c r="E411" s="46">
        <f t="shared" ca="1" si="81"/>
        <v>2.5109924049077689E-2</v>
      </c>
      <c r="F411" s="21">
        <f t="shared" ca="1" si="82"/>
        <v>58257</v>
      </c>
      <c r="G411" s="47">
        <f t="shared" ca="1" si="83"/>
        <v>0.44240909323993727</v>
      </c>
      <c r="H411" s="29">
        <f t="shared" si="88"/>
        <v>3000</v>
      </c>
      <c r="I411" s="42">
        <f t="shared" ca="1" si="84"/>
        <v>14260.300276587828</v>
      </c>
      <c r="J411" s="42">
        <f t="shared" ca="1" si="85"/>
        <v>30775.999735593581</v>
      </c>
      <c r="L411" s="29">
        <f t="shared" ca="1" si="89"/>
        <v>6308.8865146944481</v>
      </c>
      <c r="M411" s="29">
        <f t="shared" ca="1" si="90"/>
        <v>13615.582136576506</v>
      </c>
      <c r="O411" s="29">
        <f ca="1">SUM($L$12:L411)</f>
        <v>1641969.2904983715</v>
      </c>
      <c r="P411" s="29">
        <f ca="1">SUM($M$12:M411)</f>
        <v>2723729.5465437504</v>
      </c>
      <c r="R411" s="29">
        <f t="shared" ca="1" si="86"/>
        <v>3015008.6487065325</v>
      </c>
      <c r="S411" s="29">
        <f t="shared" ca="1" si="87"/>
        <v>6506868.9701958476</v>
      </c>
    </row>
    <row r="412" spans="2:19" x14ac:dyDescent="0.25">
      <c r="B412" s="12">
        <f t="shared" ca="1" si="78"/>
        <v>3</v>
      </c>
      <c r="C412" s="28">
        <f t="shared" ca="1" si="79"/>
        <v>33</v>
      </c>
      <c r="D412" s="45">
        <f t="shared" ca="1" si="80"/>
        <v>211.77910735016235</v>
      </c>
      <c r="E412" s="46">
        <f t="shared" ca="1" si="81"/>
        <v>2.5089033929236521E-2</v>
      </c>
      <c r="F412" s="21">
        <f t="shared" ca="1" si="82"/>
        <v>58288</v>
      </c>
      <c r="G412" s="47">
        <f t="shared" ca="1" si="83"/>
        <v>0.44277776748430386</v>
      </c>
      <c r="H412" s="29">
        <f t="shared" si="88"/>
        <v>3000</v>
      </c>
      <c r="I412" s="42">
        <f t="shared" ca="1" si="84"/>
        <v>14274.465979888484</v>
      </c>
      <c r="J412" s="42">
        <f t="shared" ca="1" si="85"/>
        <v>30854.45687116505</v>
      </c>
      <c r="L412" s="29">
        <f t="shared" ca="1" si="89"/>
        <v>6320.4161786056693</v>
      </c>
      <c r="M412" s="29">
        <f t="shared" ca="1" si="90"/>
        <v>13661.6675303552</v>
      </c>
      <c r="O412" s="29">
        <f ca="1">SUM($L$12:L412)</f>
        <v>1648289.7066769772</v>
      </c>
      <c r="P412" s="29">
        <f ca="1">SUM($M$12:M412)</f>
        <v>2737391.2140741055</v>
      </c>
      <c r="R412" s="29">
        <f t="shared" ca="1" si="86"/>
        <v>3023033.6631210437</v>
      </c>
      <c r="S412" s="29">
        <f t="shared" ca="1" si="87"/>
        <v>6534329.3339494178</v>
      </c>
    </row>
    <row r="413" spans="2:19" x14ac:dyDescent="0.25">
      <c r="B413" s="12">
        <f t="shared" ref="B413:B476" ca="1" si="91">ROUNDUP(MONTH(F413)/3,0)</f>
        <v>3</v>
      </c>
      <c r="C413" s="28">
        <f t="shared" ref="C413:C476" ca="1" si="92">YEAR(F413)-YEAR(TODAY())</f>
        <v>33</v>
      </c>
      <c r="D413" s="45">
        <f t="shared" ref="D413:D476" ca="1" si="93">D412*(1+($C$5/12))</f>
        <v>212.1320725290793</v>
      </c>
      <c r="E413" s="46">
        <f t="shared" ref="E413:E476" ca="1" si="94">(G413*12)/D413</f>
        <v>2.5068161188862778E-2</v>
      </c>
      <c r="F413" s="21">
        <f t="shared" ref="F413:F476" ca="1" si="95">EDATE(F412,1)</f>
        <v>58319</v>
      </c>
      <c r="G413" s="47">
        <f t="shared" ref="G413:G476" ca="1" si="96">($H$5/12)*G412+G412</f>
        <v>0.44314674895720746</v>
      </c>
      <c r="H413" s="29">
        <f t="shared" si="88"/>
        <v>3000</v>
      </c>
      <c r="I413" s="42">
        <f t="shared" ref="I413:I476" ca="1" si="97">I412+H413/D413</f>
        <v>14288.60811296734</v>
      </c>
      <c r="J413" s="42">
        <f t="shared" ref="J413:J476" ca="1" si="98">J412+(H413+G412*J412)/D413</f>
        <v>30933.000711008368</v>
      </c>
      <c r="L413" s="29">
        <f t="shared" ca="1" si="89"/>
        <v>6331.9502323850556</v>
      </c>
      <c r="M413" s="29">
        <f t="shared" ca="1" si="90"/>
        <v>13707.858700574345</v>
      </c>
      <c r="O413" s="29">
        <f ca="1">SUM($L$12:L413)</f>
        <v>1654621.6569093622</v>
      </c>
      <c r="P413" s="29">
        <f ca="1">SUM($M$12:M413)</f>
        <v>2751099.0727746799</v>
      </c>
      <c r="R413" s="29">
        <f t="shared" ref="R413:R476" ca="1" si="99">I413*D413</f>
        <v>3031072.0525595788</v>
      </c>
      <c r="S413" s="29">
        <f t="shared" ref="S413:S476" ca="1" si="100">J413*D413</f>
        <v>6561881.5503696883</v>
      </c>
    </row>
    <row r="414" spans="2:19" x14ac:dyDescent="0.25">
      <c r="B414" s="12">
        <f t="shared" ca="1" si="91"/>
        <v>4</v>
      </c>
      <c r="C414" s="28">
        <f t="shared" ca="1" si="92"/>
        <v>33</v>
      </c>
      <c r="D414" s="45">
        <f t="shared" ca="1" si="93"/>
        <v>212.48562598329443</v>
      </c>
      <c r="E414" s="46">
        <f t="shared" ca="1" si="94"/>
        <v>2.5047305813497667E-2</v>
      </c>
      <c r="F414" s="21">
        <f t="shared" ca="1" si="95"/>
        <v>58349</v>
      </c>
      <c r="G414" s="47">
        <f t="shared" ca="1" si="96"/>
        <v>0.44351603791467181</v>
      </c>
      <c r="H414" s="29">
        <f t="shared" si="88"/>
        <v>3000</v>
      </c>
      <c r="I414" s="42">
        <f t="shared" ca="1" si="97"/>
        <v>14302.726715042738</v>
      </c>
      <c r="J414" s="42">
        <f t="shared" ca="1" si="98"/>
        <v>31011.631247183497</v>
      </c>
      <c r="L414" s="29">
        <f t="shared" ca="1" si="89"/>
        <v>6343.4886840320842</v>
      </c>
      <c r="M414" s="29">
        <f t="shared" ca="1" si="90"/>
        <v>13754.155820021657</v>
      </c>
      <c r="O414" s="29">
        <f ca="1">SUM($L$12:L414)</f>
        <v>1660965.1455933943</v>
      </c>
      <c r="P414" s="29">
        <f ca="1">SUM($M$12:M414)</f>
        <v>2764853.2285947017</v>
      </c>
      <c r="R414" s="29">
        <f t="shared" ca="1" si="99"/>
        <v>3039123.8393138447</v>
      </c>
      <c r="S414" s="29">
        <f t="shared" ca="1" si="100"/>
        <v>6589525.8783208793</v>
      </c>
    </row>
    <row r="415" spans="2:19" x14ac:dyDescent="0.25">
      <c r="B415" s="12">
        <f t="shared" ca="1" si="91"/>
        <v>4</v>
      </c>
      <c r="C415" s="28">
        <f t="shared" ca="1" si="92"/>
        <v>33</v>
      </c>
      <c r="D415" s="45">
        <f t="shared" ca="1" si="93"/>
        <v>212.83976869326659</v>
      </c>
      <c r="E415" s="46">
        <f t="shared" ca="1" si="94"/>
        <v>2.5026467788694426E-2</v>
      </c>
      <c r="F415" s="21">
        <f t="shared" ca="1" si="95"/>
        <v>58380</v>
      </c>
      <c r="G415" s="47">
        <f t="shared" ca="1" si="96"/>
        <v>0.44388563461293407</v>
      </c>
      <c r="H415" s="29">
        <f t="shared" si="88"/>
        <v>3000</v>
      </c>
      <c r="I415" s="42">
        <f t="shared" ca="1" si="97"/>
        <v>14316.821825267762</v>
      </c>
      <c r="J415" s="42">
        <f t="shared" ca="1" si="98"/>
        <v>31090.348471520301</v>
      </c>
      <c r="L415" s="29">
        <f t="shared" ca="1" si="89"/>
        <v>6355.0315415492851</v>
      </c>
      <c r="M415" s="29">
        <f t="shared" ca="1" si="90"/>
        <v>13800.559061618054</v>
      </c>
      <c r="O415" s="29">
        <f ca="1">SUM($L$12:L415)</f>
        <v>1667320.1771349437</v>
      </c>
      <c r="P415" s="29">
        <f ca="1">SUM($M$12:M415)</f>
        <v>2778653.7876563198</v>
      </c>
      <c r="R415" s="29">
        <f t="shared" ca="1" si="99"/>
        <v>3047189.045712701</v>
      </c>
      <c r="S415" s="29">
        <f t="shared" ca="1" si="100"/>
        <v>6617262.5772714354</v>
      </c>
    </row>
    <row r="416" spans="2:19" x14ac:dyDescent="0.25">
      <c r="B416" s="12">
        <f t="shared" ca="1" si="91"/>
        <v>4</v>
      </c>
      <c r="C416" s="28">
        <f t="shared" ca="1" si="92"/>
        <v>33</v>
      </c>
      <c r="D416" s="45">
        <f t="shared" ca="1" si="93"/>
        <v>213.19450164108872</v>
      </c>
      <c r="E416" s="46">
        <f t="shared" ca="1" si="94"/>
        <v>2.5005647100018305E-2</v>
      </c>
      <c r="F416" s="21">
        <f t="shared" ca="1" si="95"/>
        <v>58410</v>
      </c>
      <c r="G416" s="47">
        <f t="shared" ca="1" si="96"/>
        <v>0.44425553930844486</v>
      </c>
      <c r="H416" s="29">
        <f t="shared" si="88"/>
        <v>3000</v>
      </c>
      <c r="I416" s="42">
        <f t="shared" ca="1" si="97"/>
        <v>14330.893482730347</v>
      </c>
      <c r="J416" s="42">
        <f t="shared" ca="1" si="98"/>
        <v>31169.152375618643</v>
      </c>
      <c r="L416" s="29">
        <f t="shared" ca="1" si="89"/>
        <v>6366.5788129422481</v>
      </c>
      <c r="M416" s="29">
        <f t="shared" ca="1" si="90"/>
        <v>13847.068598417556</v>
      </c>
      <c r="O416" s="29">
        <f ca="1">SUM($L$12:L416)</f>
        <v>1673686.7559478858</v>
      </c>
      <c r="P416" s="29">
        <f ca="1">SUM($M$12:M416)</f>
        <v>2792500.8562547374</v>
      </c>
      <c r="R416" s="29">
        <f t="shared" ca="1" si="99"/>
        <v>3055267.6941222227</v>
      </c>
      <c r="S416" s="29">
        <f t="shared" ca="1" si="100"/>
        <v>6645091.907295173</v>
      </c>
    </row>
    <row r="417" spans="2:19" x14ac:dyDescent="0.25">
      <c r="B417" s="12">
        <f t="shared" ca="1" si="91"/>
        <v>1</v>
      </c>
      <c r="C417" s="28">
        <f t="shared" ca="1" si="92"/>
        <v>34</v>
      </c>
      <c r="D417" s="45">
        <f t="shared" ca="1" si="93"/>
        <v>213.54982581049055</v>
      </c>
      <c r="E417" s="46">
        <f t="shared" ca="1" si="94"/>
        <v>2.4984843733046578E-2</v>
      </c>
      <c r="F417" s="21">
        <f t="shared" ca="1" si="95"/>
        <v>58441</v>
      </c>
      <c r="G417" s="47">
        <f t="shared" ca="1" si="96"/>
        <v>0.44462575225786855</v>
      </c>
      <c r="H417" s="29">
        <f t="shared" si="88"/>
        <v>3000</v>
      </c>
      <c r="I417" s="42">
        <f t="shared" ca="1" si="97"/>
        <v>14344.941726453395</v>
      </c>
      <c r="J417" s="42">
        <f t="shared" ca="1" si="98"/>
        <v>31248.042950848463</v>
      </c>
      <c r="L417" s="29">
        <f t="shared" ca="1" si="89"/>
        <v>6378.1305062196279</v>
      </c>
      <c r="M417" s="29">
        <f t="shared" ca="1" si="90"/>
        <v>13893.684603607184</v>
      </c>
      <c r="O417" s="29">
        <f ca="1">SUM($L$12:L417)</f>
        <v>1680064.8864541054</v>
      </c>
      <c r="P417" s="29">
        <f ca="1">SUM($M$12:M417)</f>
        <v>2806394.5408583446</v>
      </c>
      <c r="R417" s="29">
        <f t="shared" ca="1" si="99"/>
        <v>3063359.8069457598</v>
      </c>
      <c r="S417" s="29">
        <f t="shared" ca="1" si="100"/>
        <v>6673014.1290724166</v>
      </c>
    </row>
    <row r="418" spans="2:19" x14ac:dyDescent="0.25">
      <c r="B418" s="12">
        <f t="shared" ca="1" si="91"/>
        <v>1</v>
      </c>
      <c r="C418" s="28">
        <f t="shared" ca="1" si="92"/>
        <v>34</v>
      </c>
      <c r="D418" s="45">
        <f t="shared" ca="1" si="93"/>
        <v>213.90574218684137</v>
      </c>
      <c r="E418" s="46">
        <f t="shared" ca="1" si="94"/>
        <v>2.4964057673368498E-2</v>
      </c>
      <c r="F418" s="21">
        <f t="shared" ca="1" si="95"/>
        <v>58472</v>
      </c>
      <c r="G418" s="47">
        <f t="shared" ca="1" si="96"/>
        <v>0.44499627371808342</v>
      </c>
      <c r="H418" s="29">
        <f t="shared" si="88"/>
        <v>3000</v>
      </c>
      <c r="I418" s="42">
        <f t="shared" ca="1" si="97"/>
        <v>14358.966595394873</v>
      </c>
      <c r="J418" s="42">
        <f t="shared" ca="1" si="98"/>
        <v>31327.020188349881</v>
      </c>
      <c r="L418" s="29">
        <f t="shared" ca="1" si="89"/>
        <v>6389.6866293931535</v>
      </c>
      <c r="M418" s="29">
        <f t="shared" ca="1" si="90"/>
        <v>13940.407250506869</v>
      </c>
      <c r="O418" s="29">
        <f ca="1">SUM($L$12:L418)</f>
        <v>1686454.5730834985</v>
      </c>
      <c r="P418" s="29">
        <f ca="1">SUM($M$12:M418)</f>
        <v>2820334.9481088514</v>
      </c>
      <c r="R418" s="29">
        <f t="shared" ca="1" si="99"/>
        <v>3071465.4066240033</v>
      </c>
      <c r="S418" s="29">
        <f t="shared" ca="1" si="100"/>
        <v>6701029.5038911439</v>
      </c>
    </row>
    <row r="419" spans="2:19" x14ac:dyDescent="0.25">
      <c r="B419" s="12">
        <f t="shared" ca="1" si="91"/>
        <v>1</v>
      </c>
      <c r="C419" s="28">
        <f t="shared" ca="1" si="92"/>
        <v>34</v>
      </c>
      <c r="D419" s="45">
        <f t="shared" ca="1" si="93"/>
        <v>214.26225175715277</v>
      </c>
      <c r="E419" s="46">
        <f t="shared" ca="1" si="94"/>
        <v>2.4943288906585329E-2</v>
      </c>
      <c r="F419" s="21">
        <f t="shared" ca="1" si="95"/>
        <v>58501</v>
      </c>
      <c r="G419" s="47">
        <f t="shared" ca="1" si="96"/>
        <v>0.44536710394618184</v>
      </c>
      <c r="H419" s="29">
        <f t="shared" si="88"/>
        <v>3000</v>
      </c>
      <c r="I419" s="42">
        <f t="shared" ca="1" si="97"/>
        <v>14372.96812844793</v>
      </c>
      <c r="J419" s="42">
        <f t="shared" ca="1" si="98"/>
        <v>31406.08407903328</v>
      </c>
      <c r="L419" s="29">
        <f t="shared" ca="1" si="89"/>
        <v>6401.2471904776285</v>
      </c>
      <c r="M419" s="29">
        <f t="shared" ca="1" si="90"/>
        <v>13987.236712569342</v>
      </c>
      <c r="O419" s="29">
        <f ca="1">SUM($L$12:L419)</f>
        <v>1692855.8202739761</v>
      </c>
      <c r="P419" s="29">
        <f ca="1">SUM($M$12:M419)</f>
        <v>2834322.1848214208</v>
      </c>
      <c r="R419" s="29">
        <f t="shared" ca="1" si="99"/>
        <v>3079584.5156350434</v>
      </c>
      <c r="S419" s="29">
        <f t="shared" ca="1" si="100"/>
        <v>6729138.2936481358</v>
      </c>
    </row>
    <row r="420" spans="2:19" x14ac:dyDescent="0.25">
      <c r="B420" s="12">
        <f t="shared" ca="1" si="91"/>
        <v>2</v>
      </c>
      <c r="C420" s="28">
        <f t="shared" ca="1" si="92"/>
        <v>34</v>
      </c>
      <c r="D420" s="45">
        <f t="shared" ca="1" si="93"/>
        <v>214.61935551008136</v>
      </c>
      <c r="E420" s="46">
        <f t="shared" ca="1" si="94"/>
        <v>2.4922537418310301E-2</v>
      </c>
      <c r="F420" s="21">
        <f t="shared" ca="1" si="95"/>
        <v>58532</v>
      </c>
      <c r="G420" s="47">
        <f t="shared" ca="1" si="96"/>
        <v>0.44573824319947031</v>
      </c>
      <c r="H420" s="29">
        <f t="shared" si="88"/>
        <v>3000</v>
      </c>
      <c r="I420" s="42">
        <f t="shared" ca="1" si="97"/>
        <v>14386.946364440997</v>
      </c>
      <c r="J420" s="42">
        <f t="shared" ca="1" si="98"/>
        <v>31485.234613579414</v>
      </c>
      <c r="L420" s="29">
        <f t="shared" ca="1" si="89"/>
        <v>6412.8121974909363</v>
      </c>
      <c r="M420" s="29">
        <f t="shared" ca="1" si="90"/>
        <v>14034.173163380041</v>
      </c>
      <c r="O420" s="29">
        <f ca="1">SUM($L$12:L420)</f>
        <v>1699268.6324714669</v>
      </c>
      <c r="P420" s="29">
        <f ca="1">SUM($M$12:M420)</f>
        <v>2848356.3579848008</v>
      </c>
      <c r="R420" s="29">
        <f t="shared" ca="1" si="99"/>
        <v>3087717.1564944349</v>
      </c>
      <c r="S420" s="29">
        <f t="shared" ca="1" si="100"/>
        <v>6757340.7608501194</v>
      </c>
    </row>
    <row r="421" spans="2:19" x14ac:dyDescent="0.25">
      <c r="B421" s="12">
        <f t="shared" ca="1" si="91"/>
        <v>2</v>
      </c>
      <c r="C421" s="28">
        <f t="shared" ca="1" si="92"/>
        <v>34</v>
      </c>
      <c r="D421" s="45">
        <f t="shared" ca="1" si="93"/>
        <v>214.97705443593151</v>
      </c>
      <c r="E421" s="46">
        <f t="shared" ca="1" si="94"/>
        <v>2.4901803194168612E-2</v>
      </c>
      <c r="F421" s="21">
        <f t="shared" ca="1" si="95"/>
        <v>58562</v>
      </c>
      <c r="G421" s="47">
        <f t="shared" ca="1" si="96"/>
        <v>0.44610969173546988</v>
      </c>
      <c r="H421" s="29">
        <f t="shared" si="88"/>
        <v>3000</v>
      </c>
      <c r="I421" s="42">
        <f t="shared" ca="1" si="97"/>
        <v>14400.901342137904</v>
      </c>
      <c r="J421" s="42">
        <f t="shared" ca="1" si="98"/>
        <v>31564.471782439483</v>
      </c>
      <c r="L421" s="29">
        <f t="shared" ca="1" si="89"/>
        <v>6424.3816584540546</v>
      </c>
      <c r="M421" s="29">
        <f t="shared" ca="1" si="90"/>
        <v>14081.216776657015</v>
      </c>
      <c r="O421" s="29">
        <f ca="1">SUM($L$12:L421)</f>
        <v>1705693.0141299209</v>
      </c>
      <c r="P421" s="29">
        <f ca="1">SUM($M$12:M421)</f>
        <v>2862437.5747614577</v>
      </c>
      <c r="R421" s="29">
        <f t="shared" ca="1" si="99"/>
        <v>3095863.3517552591</v>
      </c>
      <c r="S421" s="29">
        <f t="shared" ca="1" si="100"/>
        <v>6785637.1686149165</v>
      </c>
    </row>
    <row r="422" spans="2:19" x14ac:dyDescent="0.25">
      <c r="B422" s="12">
        <f t="shared" ca="1" si="91"/>
        <v>2</v>
      </c>
      <c r="C422" s="28">
        <f t="shared" ca="1" si="92"/>
        <v>34</v>
      </c>
      <c r="D422" s="45">
        <f t="shared" ca="1" si="93"/>
        <v>215.33534952665806</v>
      </c>
      <c r="E422" s="46">
        <f t="shared" ca="1" si="94"/>
        <v>2.4881086219797423E-2</v>
      </c>
      <c r="F422" s="21">
        <f t="shared" ca="1" si="95"/>
        <v>58593</v>
      </c>
      <c r="G422" s="47">
        <f t="shared" ca="1" si="96"/>
        <v>0.44648144981191612</v>
      </c>
      <c r="H422" s="29">
        <f t="shared" si="88"/>
        <v>3000</v>
      </c>
      <c r="I422" s="42">
        <f t="shared" ca="1" si="97"/>
        <v>14414.833100237976</v>
      </c>
      <c r="J422" s="42">
        <f t="shared" ca="1" si="98"/>
        <v>31643.795575835247</v>
      </c>
      <c r="L422" s="29">
        <f t="shared" ca="1" si="89"/>
        <v>6435.9555813910492</v>
      </c>
      <c r="M422" s="29">
        <f t="shared" ca="1" si="90"/>
        <v>14128.367726250819</v>
      </c>
      <c r="O422" s="29">
        <f ca="1">SUM($L$12:L422)</f>
        <v>1712128.9697113119</v>
      </c>
      <c r="P422" s="29">
        <f ca="1">SUM($M$12:M422)</f>
        <v>2876565.9424877088</v>
      </c>
      <c r="R422" s="29">
        <f t="shared" ca="1" si="99"/>
        <v>3104023.1240081848</v>
      </c>
      <c r="S422" s="29">
        <f t="shared" ca="1" si="100"/>
        <v>6814027.7806725986</v>
      </c>
    </row>
    <row r="423" spans="2:19" x14ac:dyDescent="0.25">
      <c r="B423" s="12">
        <f t="shared" ca="1" si="91"/>
        <v>3</v>
      </c>
      <c r="C423" s="28">
        <f t="shared" ca="1" si="92"/>
        <v>34</v>
      </c>
      <c r="D423" s="45">
        <f t="shared" ca="1" si="93"/>
        <v>215.69424177586916</v>
      </c>
      <c r="E423" s="46">
        <f t="shared" ca="1" si="94"/>
        <v>2.4860386480845844E-2</v>
      </c>
      <c r="F423" s="21">
        <f t="shared" ca="1" si="95"/>
        <v>58623</v>
      </c>
      <c r="G423" s="47">
        <f t="shared" ca="1" si="96"/>
        <v>0.4468535176867594</v>
      </c>
      <c r="H423" s="29">
        <f t="shared" si="88"/>
        <v>3000</v>
      </c>
      <c r="I423" s="42">
        <f t="shared" ca="1" si="97"/>
        <v>14428.741677376152</v>
      </c>
      <c r="J423" s="42">
        <f t="shared" ca="1" si="98"/>
        <v>31723.205983759115</v>
      </c>
      <c r="L423" s="29">
        <f t="shared" ca="1" si="89"/>
        <v>6447.533974329087</v>
      </c>
      <c r="M423" s="29">
        <f t="shared" ca="1" si="90"/>
        <v>14175.626186144416</v>
      </c>
      <c r="O423" s="29">
        <f ca="1">SUM($L$12:L423)</f>
        <v>1718576.5036856409</v>
      </c>
      <c r="P423" s="29">
        <f ca="1">SUM($M$12:M423)</f>
        <v>2890741.5686738533</v>
      </c>
      <c r="R423" s="29">
        <f t="shared" ca="1" si="99"/>
        <v>3112196.4958815319</v>
      </c>
      <c r="S423" s="29">
        <f t="shared" ca="1" si="100"/>
        <v>6842512.861366638</v>
      </c>
    </row>
    <row r="424" spans="2:19" x14ac:dyDescent="0.25">
      <c r="B424" s="12">
        <f t="shared" ca="1" si="91"/>
        <v>3</v>
      </c>
      <c r="C424" s="28">
        <f t="shared" ca="1" si="92"/>
        <v>34</v>
      </c>
      <c r="D424" s="45">
        <f t="shared" ca="1" si="93"/>
        <v>216.05373217882894</v>
      </c>
      <c r="E424" s="46">
        <f t="shared" ca="1" si="94"/>
        <v>2.483970396297493E-2</v>
      </c>
      <c r="F424" s="21">
        <f t="shared" ca="1" si="95"/>
        <v>58654</v>
      </c>
      <c r="G424" s="47">
        <f t="shared" ca="1" si="96"/>
        <v>0.44722589561816506</v>
      </c>
      <c r="H424" s="29">
        <f t="shared" si="88"/>
        <v>3000</v>
      </c>
      <c r="I424" s="42">
        <f t="shared" ca="1" si="97"/>
        <v>14442.627112123084</v>
      </c>
      <c r="J424" s="42">
        <f t="shared" ca="1" si="98"/>
        <v>31802.702995974243</v>
      </c>
      <c r="L424" s="29">
        <f t="shared" ca="1" si="89"/>
        <v>6459.1168452984393</v>
      </c>
      <c r="M424" s="29">
        <f t="shared" ca="1" si="90"/>
        <v>14222.992330453082</v>
      </c>
      <c r="O424" s="29">
        <f ca="1">SUM($L$12:L424)</f>
        <v>1725035.6205309392</v>
      </c>
      <c r="P424" s="29">
        <f ca="1">SUM($M$12:M424)</f>
        <v>2904964.5610043062</v>
      </c>
      <c r="R424" s="29">
        <f t="shared" ca="1" si="99"/>
        <v>3120383.4900413342</v>
      </c>
      <c r="S424" s="29">
        <f t="shared" ca="1" si="100"/>
        <v>6871092.6756550595</v>
      </c>
    </row>
    <row r="425" spans="2:19" x14ac:dyDescent="0.25">
      <c r="B425" s="12">
        <f t="shared" ca="1" si="91"/>
        <v>3</v>
      </c>
      <c r="C425" s="28">
        <f t="shared" ca="1" si="92"/>
        <v>34</v>
      </c>
      <c r="D425" s="45">
        <f t="shared" ca="1" si="93"/>
        <v>216.41382173246032</v>
      </c>
      <c r="E425" s="46">
        <f t="shared" ca="1" si="94"/>
        <v>2.4819038651857642E-2</v>
      </c>
      <c r="F425" s="21">
        <f t="shared" ca="1" si="95"/>
        <v>58685</v>
      </c>
      <c r="G425" s="47">
        <f t="shared" ca="1" si="96"/>
        <v>0.44759858386451351</v>
      </c>
      <c r="H425" s="29">
        <f t="shared" si="88"/>
        <v>3000</v>
      </c>
      <c r="I425" s="42">
        <f t="shared" ca="1" si="97"/>
        <v>14456.489442985245</v>
      </c>
      <c r="J425" s="42">
        <f t="shared" ca="1" si="98"/>
        <v>31882.286602014643</v>
      </c>
      <c r="L425" s="29">
        <f t="shared" ca="1" si="89"/>
        <v>6470.7042023324857</v>
      </c>
      <c r="M425" s="29">
        <f t="shared" ca="1" si="90"/>
        <v>14270.466333424307</v>
      </c>
      <c r="O425" s="29">
        <f ca="1">SUM($L$12:L425)</f>
        <v>1731506.3247332717</v>
      </c>
      <c r="P425" s="29">
        <f ca="1">SUM($M$12:M425)</f>
        <v>2919235.0273377304</v>
      </c>
      <c r="R425" s="29">
        <f t="shared" ca="1" si="99"/>
        <v>3128584.1291914033</v>
      </c>
      <c r="S425" s="29">
        <f t="shared" ca="1" si="100"/>
        <v>6899767.4891116051</v>
      </c>
    </row>
    <row r="426" spans="2:19" x14ac:dyDescent="0.25">
      <c r="B426" s="12">
        <f t="shared" ca="1" si="91"/>
        <v>4</v>
      </c>
      <c r="C426" s="28">
        <f t="shared" ca="1" si="92"/>
        <v>34</v>
      </c>
      <c r="D426" s="45">
        <f t="shared" ca="1" si="93"/>
        <v>216.77451143534776</v>
      </c>
      <c r="E426" s="46">
        <f t="shared" ca="1" si="94"/>
        <v>2.4798390533178893E-2</v>
      </c>
      <c r="F426" s="21">
        <f t="shared" ca="1" si="95"/>
        <v>58715</v>
      </c>
      <c r="G426" s="47">
        <f t="shared" ca="1" si="96"/>
        <v>0.44797158268440063</v>
      </c>
      <c r="H426" s="29">
        <f t="shared" si="88"/>
        <v>3000</v>
      </c>
      <c r="I426" s="42">
        <f t="shared" ca="1" si="97"/>
        <v>14470.328708405039</v>
      </c>
      <c r="J426" s="42">
        <f t="shared" ca="1" si="98"/>
        <v>31961.956791185268</v>
      </c>
      <c r="L426" s="29">
        <f t="shared" ca="1" si="89"/>
        <v>6482.2960534677241</v>
      </c>
      <c r="M426" s="29">
        <f t="shared" ca="1" si="90"/>
        <v>14318.048369437691</v>
      </c>
      <c r="O426" s="29">
        <f ca="1">SUM($L$12:L426)</f>
        <v>1737988.6207867395</v>
      </c>
      <c r="P426" s="29">
        <f ca="1">SUM($M$12:M426)</f>
        <v>2933553.0757071683</v>
      </c>
      <c r="R426" s="29">
        <f t="shared" ca="1" si="99"/>
        <v>3136798.4360733889</v>
      </c>
      <c r="S426" s="29">
        <f t="shared" ca="1" si="100"/>
        <v>6928537.5679268818</v>
      </c>
    </row>
    <row r="427" spans="2:19" x14ac:dyDescent="0.25">
      <c r="B427" s="12">
        <f t="shared" ca="1" si="91"/>
        <v>4</v>
      </c>
      <c r="C427" s="28">
        <f t="shared" ca="1" si="92"/>
        <v>34</v>
      </c>
      <c r="D427" s="45">
        <f t="shared" ca="1" si="93"/>
        <v>217.13580228774001</v>
      </c>
      <c r="E427" s="46">
        <f t="shared" ca="1" si="94"/>
        <v>2.4777759592635482E-2</v>
      </c>
      <c r="F427" s="21">
        <f t="shared" ca="1" si="95"/>
        <v>58746</v>
      </c>
      <c r="G427" s="47">
        <f t="shared" ca="1" si="96"/>
        <v>0.4483448923366376</v>
      </c>
      <c r="H427" s="29">
        <f t="shared" si="88"/>
        <v>3000</v>
      </c>
      <c r="I427" s="42">
        <f t="shared" ca="1" si="97"/>
        <v>14484.144946760907</v>
      </c>
      <c r="J427" s="42">
        <f t="shared" ca="1" si="98"/>
        <v>32041.713552562134</v>
      </c>
      <c r="L427" s="29">
        <f t="shared" ca="1" si="89"/>
        <v>6493.8924067437729</v>
      </c>
      <c r="M427" s="29">
        <f t="shared" ca="1" si="90"/>
        <v>14365.738613004853</v>
      </c>
      <c r="O427" s="29">
        <f ca="1">SUM($L$12:L427)</f>
        <v>1744482.5131934832</v>
      </c>
      <c r="P427" s="29">
        <f ca="1">SUM($M$12:M427)</f>
        <v>2947918.8143201731</v>
      </c>
      <c r="R427" s="29">
        <f t="shared" ca="1" si="99"/>
        <v>3145026.4334668447</v>
      </c>
      <c r="S427" s="29">
        <f t="shared" ca="1" si="100"/>
        <v>6957403.1789095309</v>
      </c>
    </row>
    <row r="428" spans="2:19" x14ac:dyDescent="0.25">
      <c r="B428" s="12">
        <f t="shared" ca="1" si="91"/>
        <v>4</v>
      </c>
      <c r="C428" s="28">
        <f t="shared" ca="1" si="92"/>
        <v>34</v>
      </c>
      <c r="D428" s="45">
        <f t="shared" ca="1" si="93"/>
        <v>217.4976952915529</v>
      </c>
      <c r="E428" s="46">
        <f t="shared" ca="1" si="94"/>
        <v>2.4757145815936115E-2</v>
      </c>
      <c r="F428" s="21">
        <f t="shared" ca="1" si="95"/>
        <v>58776</v>
      </c>
      <c r="G428" s="47">
        <f t="shared" ca="1" si="96"/>
        <v>0.44871851308025146</v>
      </c>
      <c r="H428" s="29">
        <f t="shared" si="88"/>
        <v>3000</v>
      </c>
      <c r="I428" s="42">
        <f t="shared" ca="1" si="97"/>
        <v>14497.938196367431</v>
      </c>
      <c r="J428" s="42">
        <f t="shared" ca="1" si="98"/>
        <v>32121.55687499241</v>
      </c>
      <c r="L428" s="29">
        <f t="shared" ca="1" si="89"/>
        <v>6505.4932702033766</v>
      </c>
      <c r="M428" s="29">
        <f t="shared" ca="1" si="90"/>
        <v>14413.537238769322</v>
      </c>
      <c r="O428" s="29">
        <f ca="1">SUM($L$12:L428)</f>
        <v>1750988.0064636867</v>
      </c>
      <c r="P428" s="29">
        <f ca="1">SUM($M$12:M428)</f>
        <v>2962332.3515589423</v>
      </c>
      <c r="R428" s="29">
        <f t="shared" ca="1" si="99"/>
        <v>3153268.1441892898</v>
      </c>
      <c r="S428" s="29">
        <f t="shared" ca="1" si="100"/>
        <v>6986364.589487385</v>
      </c>
    </row>
    <row r="429" spans="2:19" x14ac:dyDescent="0.25">
      <c r="B429" s="12">
        <f t="shared" ca="1" si="91"/>
        <v>1</v>
      </c>
      <c r="C429" s="28">
        <f t="shared" ca="1" si="92"/>
        <v>35</v>
      </c>
      <c r="D429" s="45">
        <f t="shared" ca="1" si="93"/>
        <v>217.86019145037216</v>
      </c>
      <c r="E429" s="46">
        <f t="shared" ca="1" si="94"/>
        <v>2.4736549188801391E-2</v>
      </c>
      <c r="F429" s="21">
        <f t="shared" ca="1" si="95"/>
        <v>58807</v>
      </c>
      <c r="G429" s="47">
        <f t="shared" ca="1" si="96"/>
        <v>0.44909244517448499</v>
      </c>
      <c r="H429" s="29">
        <f t="shared" si="88"/>
        <v>3000</v>
      </c>
      <c r="I429" s="42">
        <f t="shared" ca="1" si="97"/>
        <v>14511.708495475441</v>
      </c>
      <c r="J429" s="42">
        <f t="shared" ca="1" si="98"/>
        <v>32201.486747094517</v>
      </c>
      <c r="L429" s="29">
        <f t="shared" ca="1" si="89"/>
        <v>6517.0986518924128</v>
      </c>
      <c r="M429" s="29">
        <f t="shared" ca="1" si="90"/>
        <v>14461.444421506449</v>
      </c>
      <c r="O429" s="29">
        <f ca="1">SUM($L$12:L429)</f>
        <v>1757505.1051155792</v>
      </c>
      <c r="P429" s="29">
        <f ca="1">SUM($M$12:M429)</f>
        <v>2976793.7959804488</v>
      </c>
      <c r="R429" s="29">
        <f t="shared" ca="1" si="99"/>
        <v>3161523.5910962718</v>
      </c>
      <c r="S429" s="29">
        <f t="shared" ca="1" si="100"/>
        <v>7015422.0677086329</v>
      </c>
    </row>
    <row r="430" spans="2:19" x14ac:dyDescent="0.25">
      <c r="B430" s="12">
        <f t="shared" ca="1" si="91"/>
        <v>1</v>
      </c>
      <c r="C430" s="28">
        <f t="shared" ca="1" si="92"/>
        <v>35</v>
      </c>
      <c r="D430" s="45">
        <f t="shared" ca="1" si="93"/>
        <v>218.22329176945613</v>
      </c>
      <c r="E430" s="46">
        <f t="shared" ca="1" si="94"/>
        <v>2.4715969696963786E-2</v>
      </c>
      <c r="F430" s="21">
        <f t="shared" ca="1" si="95"/>
        <v>58838</v>
      </c>
      <c r="G430" s="47">
        <f t="shared" ca="1" si="96"/>
        <v>0.44946668887879704</v>
      </c>
      <c r="H430" s="29">
        <f t="shared" si="88"/>
        <v>3000</v>
      </c>
      <c r="I430" s="42">
        <f t="shared" ca="1" si="97"/>
        <v>14525.455882272123</v>
      </c>
      <c r="J430" s="42">
        <f t="shared" ca="1" si="98"/>
        <v>32281.503157258259</v>
      </c>
      <c r="L430" s="29">
        <f t="shared" ca="1" si="89"/>
        <v>6528.7085598598969</v>
      </c>
      <c r="M430" s="29">
        <f t="shared" ca="1" si="90"/>
        <v>14509.460336123302</v>
      </c>
      <c r="O430" s="29">
        <f ca="1">SUM($L$12:L430)</f>
        <v>1764033.8136754392</v>
      </c>
      <c r="P430" s="29">
        <f ca="1">SUM($M$12:M430)</f>
        <v>2991303.256316572</v>
      </c>
      <c r="R430" s="29">
        <f t="shared" ca="1" si="99"/>
        <v>3169792.7970814323</v>
      </c>
      <c r="S430" s="29">
        <f t="shared" ca="1" si="100"/>
        <v>7044575.8822429879</v>
      </c>
    </row>
    <row r="431" spans="2:19" x14ac:dyDescent="0.25">
      <c r="B431" s="12">
        <f t="shared" ca="1" si="91"/>
        <v>1</v>
      </c>
      <c r="C431" s="28">
        <f t="shared" ca="1" si="92"/>
        <v>35</v>
      </c>
      <c r="D431" s="45">
        <f t="shared" ca="1" si="93"/>
        <v>218.58699725573857</v>
      </c>
      <c r="E431" s="46">
        <f t="shared" ca="1" si="94"/>
        <v>2.4695407326167641E-2</v>
      </c>
      <c r="F431" s="21">
        <f t="shared" ca="1" si="95"/>
        <v>58866</v>
      </c>
      <c r="G431" s="47">
        <f t="shared" ca="1" si="96"/>
        <v>0.44984124445286272</v>
      </c>
      <c r="H431" s="29">
        <f t="shared" si="88"/>
        <v>3000</v>
      </c>
      <c r="I431" s="42">
        <f t="shared" ca="1" si="97"/>
        <v>14539.180394881123</v>
      </c>
      <c r="J431" s="42">
        <f t="shared" ca="1" si="98"/>
        <v>32361.606093644899</v>
      </c>
      <c r="L431" s="29">
        <f t="shared" ca="1" si="89"/>
        <v>6540.3230021579884</v>
      </c>
      <c r="M431" s="29">
        <f t="shared" ca="1" si="90"/>
        <v>14557.585157658566</v>
      </c>
      <c r="O431" s="29">
        <f ca="1">SUM($L$12:L431)</f>
        <v>1770574.1366775972</v>
      </c>
      <c r="P431" s="29">
        <f ca="1">SUM($M$12:M431)</f>
        <v>3005860.8414742304</v>
      </c>
      <c r="R431" s="29">
        <f t="shared" ca="1" si="99"/>
        <v>3178075.7850765679</v>
      </c>
      <c r="S431" s="29">
        <f t="shared" ca="1" si="100"/>
        <v>7073826.3023828501</v>
      </c>
    </row>
    <row r="432" spans="2:19" x14ac:dyDescent="0.25">
      <c r="B432" s="12">
        <f t="shared" ca="1" si="91"/>
        <v>2</v>
      </c>
      <c r="C432" s="28">
        <f t="shared" ca="1" si="92"/>
        <v>35</v>
      </c>
      <c r="D432" s="45">
        <f t="shared" ca="1" si="93"/>
        <v>218.95130891783148</v>
      </c>
      <c r="E432" s="46">
        <f t="shared" ca="1" si="94"/>
        <v>2.4674862062169161E-2</v>
      </c>
      <c r="F432" s="21">
        <f t="shared" ca="1" si="95"/>
        <v>58897</v>
      </c>
      <c r="G432" s="47">
        <f t="shared" ca="1" si="96"/>
        <v>0.45021611215657342</v>
      </c>
      <c r="H432" s="29">
        <f t="shared" si="88"/>
        <v>3000</v>
      </c>
      <c r="I432" s="42">
        <f t="shared" ca="1" si="97"/>
        <v>14552.882071362654</v>
      </c>
      <c r="J432" s="42">
        <f t="shared" ca="1" si="98"/>
        <v>32441.795544187291</v>
      </c>
      <c r="L432" s="29">
        <f t="shared" ca="1" si="89"/>
        <v>6551.9419868419955</v>
      </c>
      <c r="M432" s="29">
        <f t="shared" ca="1" si="90"/>
        <v>14605.819061282449</v>
      </c>
      <c r="O432" s="29">
        <f ca="1">SUM($L$12:L432)</f>
        <v>1777126.0786644393</v>
      </c>
      <c r="P432" s="29">
        <f ca="1">SUM($M$12:M432)</f>
        <v>3020466.660535513</v>
      </c>
      <c r="R432" s="29">
        <f t="shared" ca="1" si="99"/>
        <v>3186372.5780516956</v>
      </c>
      <c r="S432" s="29">
        <f t="shared" ca="1" si="100"/>
        <v>7103173.5980444802</v>
      </c>
    </row>
    <row r="433" spans="2:19" x14ac:dyDescent="0.25">
      <c r="B433" s="12">
        <f t="shared" ca="1" si="91"/>
        <v>2</v>
      </c>
      <c r="C433" s="28">
        <f t="shared" ca="1" si="92"/>
        <v>35</v>
      </c>
      <c r="D433" s="45">
        <f t="shared" ca="1" si="93"/>
        <v>219.31622776602788</v>
      </c>
      <c r="E433" s="46">
        <f t="shared" ca="1" si="94"/>
        <v>2.4654333890736412E-2</v>
      </c>
      <c r="F433" s="21">
        <f t="shared" ca="1" si="95"/>
        <v>58927</v>
      </c>
      <c r="G433" s="47">
        <f t="shared" ca="1" si="96"/>
        <v>0.45059129225003725</v>
      </c>
      <c r="H433" s="29">
        <f t="shared" si="88"/>
        <v>3000</v>
      </c>
      <c r="I433" s="42">
        <f t="shared" ca="1" si="97"/>
        <v>14566.560949713601</v>
      </c>
      <c r="J433" s="42">
        <f t="shared" ca="1" si="98"/>
        <v>32522.071496589979</v>
      </c>
      <c r="L433" s="29">
        <f t="shared" ca="1" si="89"/>
        <v>6563.5655219703813</v>
      </c>
      <c r="M433" s="29">
        <f t="shared" ca="1" si="90"/>
        <v>14654.162222296582</v>
      </c>
      <c r="O433" s="29">
        <f ca="1">SUM($L$12:L433)</f>
        <v>1783689.6441864097</v>
      </c>
      <c r="P433" s="29">
        <f ca="1">SUM($M$12:M433)</f>
        <v>3035120.8227578094</v>
      </c>
      <c r="R433" s="29">
        <f t="shared" ca="1" si="99"/>
        <v>3194683.1990151154</v>
      </c>
      <c r="S433" s="29">
        <f t="shared" ca="1" si="100"/>
        <v>7132618.0397691708</v>
      </c>
    </row>
    <row r="434" spans="2:19" x14ac:dyDescent="0.25">
      <c r="B434" s="12">
        <f t="shared" ca="1" si="91"/>
        <v>2</v>
      </c>
      <c r="C434" s="28">
        <f t="shared" ca="1" si="92"/>
        <v>35</v>
      </c>
      <c r="D434" s="45">
        <f t="shared" ca="1" si="93"/>
        <v>219.6817548123046</v>
      </c>
      <c r="E434" s="46">
        <f t="shared" ca="1" si="94"/>
        <v>2.4633822797649273E-2</v>
      </c>
      <c r="F434" s="21">
        <f t="shared" ca="1" si="95"/>
        <v>58958</v>
      </c>
      <c r="G434" s="47">
        <f t="shared" ca="1" si="96"/>
        <v>0.45096678499357895</v>
      </c>
      <c r="H434" s="29">
        <f t="shared" si="88"/>
        <v>3000</v>
      </c>
      <c r="I434" s="42">
        <f t="shared" ca="1" si="97"/>
        <v>14580.217067867625</v>
      </c>
      <c r="J434" s="42">
        <f t="shared" ca="1" si="98"/>
        <v>32602.433938329305</v>
      </c>
      <c r="L434" s="29">
        <f t="shared" ca="1" si="89"/>
        <v>6575.1936156047695</v>
      </c>
      <c r="M434" s="29">
        <f t="shared" ca="1" si="90"/>
        <v>14702.614816133913</v>
      </c>
      <c r="O434" s="29">
        <f ca="1">SUM($L$12:L434)</f>
        <v>1790264.8378020143</v>
      </c>
      <c r="P434" s="29">
        <f ca="1">SUM($M$12:M434)</f>
        <v>3049823.4375739433</v>
      </c>
      <c r="R434" s="29">
        <f t="shared" ca="1" si="99"/>
        <v>3203007.6710134745</v>
      </c>
      <c r="S434" s="29">
        <f t="shared" ca="1" si="100"/>
        <v>7162159.8987244163</v>
      </c>
    </row>
    <row r="435" spans="2:19" x14ac:dyDescent="0.25">
      <c r="B435" s="12">
        <f t="shared" ca="1" si="91"/>
        <v>3</v>
      </c>
      <c r="C435" s="28">
        <f t="shared" ca="1" si="92"/>
        <v>35</v>
      </c>
      <c r="D435" s="45">
        <f t="shared" ca="1" si="93"/>
        <v>220.04789107032511</v>
      </c>
      <c r="E435" s="46">
        <f t="shared" ca="1" si="94"/>
        <v>2.4613328768699483E-2</v>
      </c>
      <c r="F435" s="21">
        <f t="shared" ca="1" si="95"/>
        <v>58988</v>
      </c>
      <c r="G435" s="47">
        <f t="shared" ca="1" si="96"/>
        <v>0.45134259064774029</v>
      </c>
      <c r="H435" s="29">
        <f t="shared" si="88"/>
        <v>3000</v>
      </c>
      <c r="I435" s="42">
        <f t="shared" ca="1" si="97"/>
        <v>14593.850463695269</v>
      </c>
      <c r="J435" s="42">
        <f t="shared" ca="1" si="98"/>
        <v>32682.882856653527</v>
      </c>
      <c r="L435" s="29">
        <f t="shared" ca="1" si="89"/>
        <v>6586.826275809949</v>
      </c>
      <c r="M435" s="29">
        <f t="shared" ca="1" si="90"/>
        <v>14751.177018358621</v>
      </c>
      <c r="O435" s="29">
        <f ca="1">SUM($L$12:L435)</f>
        <v>1796851.6640778242</v>
      </c>
      <c r="P435" s="29">
        <f ca="1">SUM($M$12:M435)</f>
        <v>3064574.6145923021</v>
      </c>
      <c r="R435" s="29">
        <f t="shared" ca="1" si="99"/>
        <v>3211346.0171318301</v>
      </c>
      <c r="S435" s="29">
        <f t="shared" ca="1" si="100"/>
        <v>7191799.4467050908</v>
      </c>
    </row>
    <row r="436" spans="2:19" x14ac:dyDescent="0.25">
      <c r="B436" s="12">
        <f t="shared" ca="1" si="91"/>
        <v>3</v>
      </c>
      <c r="C436" s="28">
        <f t="shared" ca="1" si="92"/>
        <v>35</v>
      </c>
      <c r="D436" s="45">
        <f t="shared" ca="1" si="93"/>
        <v>220.41463755544231</v>
      </c>
      <c r="E436" s="46">
        <f t="shared" ca="1" si="94"/>
        <v>2.4592851789690583E-2</v>
      </c>
      <c r="F436" s="21">
        <f t="shared" ca="1" si="95"/>
        <v>59019</v>
      </c>
      <c r="G436" s="47">
        <f t="shared" ca="1" si="96"/>
        <v>0.45171870947328008</v>
      </c>
      <c r="H436" s="29">
        <f t="shared" si="88"/>
        <v>3000</v>
      </c>
      <c r="I436" s="42">
        <f t="shared" ca="1" si="97"/>
        <v>14607.461175004066</v>
      </c>
      <c r="J436" s="42">
        <f t="shared" ca="1" si="98"/>
        <v>32763.41823858293</v>
      </c>
      <c r="L436" s="29">
        <f t="shared" ca="1" si="89"/>
        <v>6598.4635106538799</v>
      </c>
      <c r="M436" s="29">
        <f t="shared" ca="1" si="90"/>
        <v>14799.849004666008</v>
      </c>
      <c r="O436" s="29">
        <f ca="1">SUM($L$12:L436)</f>
        <v>1803450.1275884781</v>
      </c>
      <c r="P436" s="29">
        <f ca="1">SUM($M$12:M436)</f>
        <v>3079374.463596968</v>
      </c>
      <c r="R436" s="29">
        <f t="shared" ca="1" si="99"/>
        <v>3219698.2604937167</v>
      </c>
      <c r="S436" s="29">
        <f t="shared" ca="1" si="100"/>
        <v>7221536.9561346248</v>
      </c>
    </row>
    <row r="437" spans="2:19" x14ac:dyDescent="0.25">
      <c r="B437" s="12">
        <f t="shared" ca="1" si="91"/>
        <v>3</v>
      </c>
      <c r="C437" s="28">
        <f t="shared" ca="1" si="92"/>
        <v>35</v>
      </c>
      <c r="D437" s="45">
        <f t="shared" ca="1" si="93"/>
        <v>220.7819952847014</v>
      </c>
      <c r="E437" s="46">
        <f t="shared" ca="1" si="94"/>
        <v>2.4572391846437929E-2</v>
      </c>
      <c r="F437" s="21">
        <f t="shared" ca="1" si="95"/>
        <v>59050</v>
      </c>
      <c r="G437" s="47">
        <f t="shared" ca="1" si="96"/>
        <v>0.45209514173117449</v>
      </c>
      <c r="H437" s="29">
        <f t="shared" si="88"/>
        <v>3000</v>
      </c>
      <c r="I437" s="42">
        <f t="shared" ca="1" si="97"/>
        <v>14621.049239538637</v>
      </c>
      <c r="J437" s="42">
        <f t="shared" ca="1" si="98"/>
        <v>32844.040070909941</v>
      </c>
      <c r="L437" s="29">
        <f t="shared" ca="1" si="89"/>
        <v>6610.1053282077009</v>
      </c>
      <c r="M437" s="29">
        <f t="shared" ca="1" si="90"/>
        <v>14848.630950882403</v>
      </c>
      <c r="O437" s="29">
        <f ca="1">SUM($L$12:L437)</f>
        <v>1810060.2329166858</v>
      </c>
      <c r="P437" s="29">
        <f ca="1">SUM($M$12:M437)</f>
        <v>3094223.0945478505</v>
      </c>
      <c r="R437" s="29">
        <f t="shared" ca="1" si="99"/>
        <v>3228064.4242612063</v>
      </c>
      <c r="S437" s="29">
        <f t="shared" ca="1" si="100"/>
        <v>7251372.7000661828</v>
      </c>
    </row>
    <row r="438" spans="2:19" x14ac:dyDescent="0.25">
      <c r="B438" s="12">
        <f t="shared" ca="1" si="91"/>
        <v>4</v>
      </c>
      <c r="C438" s="28">
        <f t="shared" ca="1" si="92"/>
        <v>35</v>
      </c>
      <c r="D438" s="45">
        <f t="shared" ca="1" si="93"/>
        <v>221.14996527684258</v>
      </c>
      <c r="E438" s="46">
        <f t="shared" ca="1" si="94"/>
        <v>2.4551948924768675E-2</v>
      </c>
      <c r="F438" s="21">
        <f t="shared" ca="1" si="95"/>
        <v>59080</v>
      </c>
      <c r="G438" s="47">
        <f t="shared" ca="1" si="96"/>
        <v>0.45247188768261715</v>
      </c>
      <c r="H438" s="29">
        <f t="shared" si="88"/>
        <v>3000</v>
      </c>
      <c r="I438" s="42">
        <f t="shared" ca="1" si="97"/>
        <v>14634.614694980804</v>
      </c>
      <c r="J438" s="42">
        <f t="shared" ca="1" si="98"/>
        <v>32924.748340199243</v>
      </c>
      <c r="L438" s="29">
        <f t="shared" ca="1" si="89"/>
        <v>6621.7517365457334</v>
      </c>
      <c r="M438" s="29">
        <f t="shared" ca="1" si="90"/>
        <v>14897.523032965068</v>
      </c>
      <c r="O438" s="29">
        <f ca="1">SUM($L$12:L438)</f>
        <v>1816681.9846532315</v>
      </c>
      <c r="P438" s="29">
        <f ca="1">SUM($M$12:M438)</f>
        <v>3109120.6175808157</v>
      </c>
      <c r="R438" s="29">
        <f t="shared" ca="1" si="99"/>
        <v>3236444.5316349752</v>
      </c>
      <c r="S438" s="29">
        <f t="shared" ca="1" si="100"/>
        <v>7281306.9521838427</v>
      </c>
    </row>
    <row r="439" spans="2:19" x14ac:dyDescent="0.25">
      <c r="B439" s="12">
        <f t="shared" ca="1" si="91"/>
        <v>4</v>
      </c>
      <c r="C439" s="28">
        <f t="shared" ca="1" si="92"/>
        <v>35</v>
      </c>
      <c r="D439" s="45">
        <f t="shared" ca="1" si="93"/>
        <v>221.518548552304</v>
      </c>
      <c r="E439" s="46">
        <f t="shared" ca="1" si="94"/>
        <v>2.4531523010521781E-2</v>
      </c>
      <c r="F439" s="21">
        <f t="shared" ca="1" si="95"/>
        <v>59111</v>
      </c>
      <c r="G439" s="47">
        <f t="shared" ca="1" si="96"/>
        <v>0.45284894758901933</v>
      </c>
      <c r="H439" s="29">
        <f t="shared" si="88"/>
        <v>3000</v>
      </c>
      <c r="I439" s="42">
        <f t="shared" ca="1" si="97"/>
        <v>14648.157578949691</v>
      </c>
      <c r="J439" s="42">
        <f t="shared" ca="1" si="98"/>
        <v>33005.543032787886</v>
      </c>
      <c r="L439" s="29">
        <f t="shared" ca="1" si="89"/>
        <v>6633.4027437454852</v>
      </c>
      <c r="M439" s="29">
        <f t="shared" ca="1" si="90"/>
        <v>14946.525427002083</v>
      </c>
      <c r="O439" s="29">
        <f ca="1">SUM($L$12:L439)</f>
        <v>1823315.3873969771</v>
      </c>
      <c r="P439" s="29">
        <f ca="1">SUM($M$12:M439)</f>
        <v>3124067.1430078177</v>
      </c>
      <c r="R439" s="29">
        <f t="shared" ca="1" si="99"/>
        <v>3244838.6058543669</v>
      </c>
      <c r="S439" s="29">
        <f t="shared" ca="1" si="100"/>
        <v>7311339.9868037822</v>
      </c>
    </row>
    <row r="440" spans="2:19" x14ac:dyDescent="0.25">
      <c r="B440" s="12">
        <f t="shared" ca="1" si="91"/>
        <v>4</v>
      </c>
      <c r="C440" s="28">
        <f t="shared" ca="1" si="92"/>
        <v>35</v>
      </c>
      <c r="D440" s="45">
        <f t="shared" ca="1" si="93"/>
        <v>221.88774613322451</v>
      </c>
      <c r="E440" s="46">
        <f t="shared" ca="1" si="94"/>
        <v>2.4511114089547967E-2</v>
      </c>
      <c r="F440" s="21">
        <f t="shared" ca="1" si="95"/>
        <v>59141</v>
      </c>
      <c r="G440" s="47">
        <f t="shared" ca="1" si="96"/>
        <v>0.45322632171201016</v>
      </c>
      <c r="H440" s="29">
        <f t="shared" si="88"/>
        <v>3000</v>
      </c>
      <c r="I440" s="42">
        <f t="shared" ca="1" si="97"/>
        <v>14661.677929001824</v>
      </c>
      <c r="J440" s="42">
        <f t="shared" ca="1" si="98"/>
        <v>33086.424134785411</v>
      </c>
      <c r="L440" s="29">
        <f t="shared" ca="1" si="89"/>
        <v>6645.0583578876594</v>
      </c>
      <c r="M440" s="29">
        <f t="shared" ca="1" si="90"/>
        <v>14995.638309212271</v>
      </c>
      <c r="O440" s="29">
        <f ca="1">SUM($L$12:L440)</f>
        <v>1829960.4457548647</v>
      </c>
      <c r="P440" s="29">
        <f ca="1">SUM($M$12:M440)</f>
        <v>3139062.7813170301</v>
      </c>
      <c r="R440" s="29">
        <f t="shared" ca="1" si="99"/>
        <v>3253246.6701974575</v>
      </c>
      <c r="S440" s="29">
        <f t="shared" ca="1" si="100"/>
        <v>7341472.0788754579</v>
      </c>
    </row>
    <row r="441" spans="2:19" x14ac:dyDescent="0.25">
      <c r="B441" s="12">
        <f t="shared" ca="1" si="91"/>
        <v>1</v>
      </c>
      <c r="C441" s="28">
        <f t="shared" ca="1" si="92"/>
        <v>36</v>
      </c>
      <c r="D441" s="45">
        <f t="shared" ca="1" si="93"/>
        <v>222.25755904344655</v>
      </c>
      <c r="E441" s="46">
        <f t="shared" ca="1" si="94"/>
        <v>2.449072214770974E-2</v>
      </c>
      <c r="F441" s="21">
        <f t="shared" ca="1" si="95"/>
        <v>59172</v>
      </c>
      <c r="G441" s="47">
        <f t="shared" ca="1" si="96"/>
        <v>0.45360401031343683</v>
      </c>
      <c r="H441" s="29">
        <f t="shared" si="88"/>
        <v>3000</v>
      </c>
      <c r="I441" s="42">
        <f t="shared" ca="1" si="97"/>
        <v>14675.175782631241</v>
      </c>
      <c r="J441" s="42">
        <f t="shared" ca="1" si="98"/>
        <v>33167.391632073974</v>
      </c>
      <c r="L441" s="29">
        <f t="shared" ca="1" si="89"/>
        <v>6656.7185870561598</v>
      </c>
      <c r="M441" s="29">
        <f t="shared" ca="1" si="90"/>
        <v>15044.861855945081</v>
      </c>
      <c r="O441" s="29">
        <f ca="1">SUM($L$12:L441)</f>
        <v>1836617.164341921</v>
      </c>
      <c r="P441" s="29">
        <f ca="1">SUM($M$12:M441)</f>
        <v>3154107.6431729752</v>
      </c>
      <c r="R441" s="29">
        <f t="shared" ca="1" si="99"/>
        <v>3261668.7479811199</v>
      </c>
      <c r="S441" s="29">
        <f t="shared" ca="1" si="100"/>
        <v>7371703.5039827963</v>
      </c>
    </row>
    <row r="442" spans="2:19" x14ac:dyDescent="0.25">
      <c r="B442" s="12">
        <f t="shared" ca="1" si="91"/>
        <v>1</v>
      </c>
      <c r="C442" s="28">
        <f t="shared" ca="1" si="92"/>
        <v>36</v>
      </c>
      <c r="D442" s="45">
        <f t="shared" ca="1" si="93"/>
        <v>222.62798830851898</v>
      </c>
      <c r="E442" s="46">
        <f t="shared" ca="1" si="94"/>
        <v>2.4470347170881365E-2</v>
      </c>
      <c r="F442" s="21">
        <f t="shared" ca="1" si="95"/>
        <v>59203</v>
      </c>
      <c r="G442" s="47">
        <f t="shared" ca="1" si="96"/>
        <v>0.45398201365536472</v>
      </c>
      <c r="H442" s="29">
        <f t="shared" si="88"/>
        <v>3000</v>
      </c>
      <c r="I442" s="42">
        <f t="shared" ca="1" si="97"/>
        <v>14688.651177269594</v>
      </c>
      <c r="J442" s="42">
        <f t="shared" ca="1" si="98"/>
        <v>33248.445510308447</v>
      </c>
      <c r="L442" s="29">
        <f t="shared" ca="1" si="89"/>
        <v>6668.3834393380939</v>
      </c>
      <c r="M442" s="29">
        <f t="shared" ca="1" si="90"/>
        <v>15094.196243680499</v>
      </c>
      <c r="O442" s="29">
        <f ca="1">SUM($L$12:L442)</f>
        <v>1843285.5477812591</v>
      </c>
      <c r="P442" s="29">
        <f ca="1">SUM($M$12:M442)</f>
        <v>3169201.8394166557</v>
      </c>
      <c r="R442" s="29">
        <f t="shared" ca="1" si="99"/>
        <v>3270104.8625610885</v>
      </c>
      <c r="S442" s="29">
        <f t="shared" ca="1" si="100"/>
        <v>7402034.5383453798</v>
      </c>
    </row>
    <row r="443" spans="2:19" x14ac:dyDescent="0.25">
      <c r="B443" s="12">
        <f t="shared" ca="1" si="91"/>
        <v>1</v>
      </c>
      <c r="C443" s="28">
        <f t="shared" ca="1" si="92"/>
        <v>36</v>
      </c>
      <c r="D443" s="45">
        <f t="shared" ca="1" si="93"/>
        <v>222.99903495569984</v>
      </c>
      <c r="E443" s="46">
        <f t="shared" ca="1" si="94"/>
        <v>2.444998914494885E-2</v>
      </c>
      <c r="F443" s="21">
        <f t="shared" ca="1" si="95"/>
        <v>59231</v>
      </c>
      <c r="G443" s="47">
        <f t="shared" ca="1" si="96"/>
        <v>0.45436033200007753</v>
      </c>
      <c r="H443" s="29">
        <f t="shared" si="88"/>
        <v>3000</v>
      </c>
      <c r="I443" s="42">
        <f t="shared" ca="1" si="97"/>
        <v>14702.104150286254</v>
      </c>
      <c r="J443" s="42">
        <f t="shared" ca="1" si="98"/>
        <v>33329.585754916567</v>
      </c>
      <c r="L443" s="29">
        <f t="shared" ca="1" si="89"/>
        <v>6680.0529228237801</v>
      </c>
      <c r="M443" s="29">
        <f t="shared" ca="1" si="90"/>
        <v>15143.641649028947</v>
      </c>
      <c r="O443" s="29">
        <f ca="1">SUM($L$12:L443)</f>
        <v>1849965.6007040828</v>
      </c>
      <c r="P443" s="29">
        <f ca="1">SUM($M$12:M443)</f>
        <v>3184345.4810656845</v>
      </c>
      <c r="R443" s="29">
        <f t="shared" ca="1" si="99"/>
        <v>3278555.037332024</v>
      </c>
      <c r="S443" s="29">
        <f t="shared" ca="1" si="100"/>
        <v>7432465.4588196352</v>
      </c>
    </row>
    <row r="444" spans="2:19" x14ac:dyDescent="0.25">
      <c r="B444" s="12">
        <f t="shared" ca="1" si="91"/>
        <v>2</v>
      </c>
      <c r="C444" s="28">
        <f t="shared" ca="1" si="92"/>
        <v>36</v>
      </c>
      <c r="D444" s="45">
        <f t="shared" ca="1" si="93"/>
        <v>223.37070001395935</v>
      </c>
      <c r="E444" s="46">
        <f t="shared" ca="1" si="94"/>
        <v>2.4429648055809959E-2</v>
      </c>
      <c r="F444" s="21">
        <f t="shared" ca="1" si="95"/>
        <v>59262</v>
      </c>
      <c r="G444" s="47">
        <f t="shared" ca="1" si="96"/>
        <v>0.45473896561007759</v>
      </c>
      <c r="H444" s="29">
        <f t="shared" si="88"/>
        <v>3000</v>
      </c>
      <c r="I444" s="42">
        <f t="shared" ca="1" si="97"/>
        <v>14715.534738988408</v>
      </c>
      <c r="J444" s="42">
        <f t="shared" ca="1" si="98"/>
        <v>33410.812351099034</v>
      </c>
      <c r="L444" s="29">
        <f t="shared" ca="1" si="89"/>
        <v>6691.7270456067517</v>
      </c>
      <c r="M444" s="29">
        <f t="shared" ca="1" si="90"/>
        <v>15193.19824873118</v>
      </c>
      <c r="O444" s="29">
        <f ca="1">SUM($L$12:L444)</f>
        <v>1856657.3277496896</v>
      </c>
      <c r="P444" s="29">
        <f ca="1">SUM($M$12:M444)</f>
        <v>3199538.6793144154</v>
      </c>
      <c r="R444" s="29">
        <f t="shared" ca="1" si="99"/>
        <v>3287019.2957275775</v>
      </c>
      <c r="S444" s="29">
        <f t="shared" ca="1" si="100"/>
        <v>7462996.5429000305</v>
      </c>
    </row>
    <row r="445" spans="2:19" x14ac:dyDescent="0.25">
      <c r="B445" s="12">
        <f t="shared" ca="1" si="91"/>
        <v>2</v>
      </c>
      <c r="C445" s="28">
        <f t="shared" ca="1" si="92"/>
        <v>36</v>
      </c>
      <c r="D445" s="45">
        <f t="shared" ca="1" si="93"/>
        <v>223.74298451398263</v>
      </c>
      <c r="E445" s="46">
        <f t="shared" ca="1" si="94"/>
        <v>2.4409323889374175E-2</v>
      </c>
      <c r="F445" s="21">
        <f t="shared" ca="1" si="95"/>
        <v>59292</v>
      </c>
      <c r="G445" s="47">
        <f t="shared" ca="1" si="96"/>
        <v>0.45511791474808599</v>
      </c>
      <c r="H445" s="29">
        <f t="shared" si="88"/>
        <v>3000</v>
      </c>
      <c r="I445" s="42">
        <f t="shared" ca="1" si="97"/>
        <v>14728.942980621176</v>
      </c>
      <c r="J445" s="42">
        <f t="shared" ca="1" si="98"/>
        <v>33492.125283829642</v>
      </c>
      <c r="L445" s="29">
        <f t="shared" ca="1" si="89"/>
        <v>6703.405815783768</v>
      </c>
      <c r="M445" s="29">
        <f t="shared" ca="1" si="90"/>
        <v>15242.866219658195</v>
      </c>
      <c r="O445" s="29">
        <f ca="1">SUM($L$12:L445)</f>
        <v>1863360.7335654732</v>
      </c>
      <c r="P445" s="29">
        <f ca="1">SUM($M$12:M445)</f>
        <v>3214781.5455340738</v>
      </c>
      <c r="R445" s="29">
        <f t="shared" ca="1" si="99"/>
        <v>3295497.6612204569</v>
      </c>
      <c r="S445" s="29">
        <f t="shared" ca="1" si="100"/>
        <v>7493628.0687202616</v>
      </c>
    </row>
    <row r="446" spans="2:19" x14ac:dyDescent="0.25">
      <c r="B446" s="12">
        <f t="shared" ca="1" si="91"/>
        <v>2</v>
      </c>
      <c r="C446" s="28">
        <f t="shared" ca="1" si="92"/>
        <v>36</v>
      </c>
      <c r="D446" s="45">
        <f t="shared" ca="1" si="93"/>
        <v>224.11588948817263</v>
      </c>
      <c r="E446" s="46">
        <f t="shared" ca="1" si="94"/>
        <v>2.4389016631562708E-2</v>
      </c>
      <c r="F446" s="21">
        <f t="shared" ca="1" si="95"/>
        <v>59323</v>
      </c>
      <c r="G446" s="47">
        <f t="shared" ca="1" si="96"/>
        <v>0.45549717967704273</v>
      </c>
      <c r="H446" s="29">
        <f t="shared" si="88"/>
        <v>3000</v>
      </c>
      <c r="I446" s="42">
        <f t="shared" ca="1" si="97"/>
        <v>14742.328912367699</v>
      </c>
      <c r="J446" s="42">
        <f t="shared" ca="1" si="98"/>
        <v>33573.52453785541</v>
      </c>
      <c r="L446" s="29">
        <f t="shared" ca="1" si="89"/>
        <v>6715.0892414548116</v>
      </c>
      <c r="M446" s="29">
        <f t="shared" ca="1" si="90"/>
        <v>15292.645738811128</v>
      </c>
      <c r="O446" s="29">
        <f ca="1">SUM($L$12:L446)</f>
        <v>1870075.8228069281</v>
      </c>
      <c r="P446" s="29">
        <f ca="1">SUM($M$12:M446)</f>
        <v>3230074.1912728851</v>
      </c>
      <c r="R446" s="29">
        <f t="shared" ca="1" si="99"/>
        <v>3303990.1573224915</v>
      </c>
      <c r="S446" s="29">
        <f t="shared" ca="1" si="100"/>
        <v>7524360.3150544548</v>
      </c>
    </row>
    <row r="447" spans="2:19" x14ac:dyDescent="0.25">
      <c r="B447" s="12">
        <f t="shared" ca="1" si="91"/>
        <v>3</v>
      </c>
      <c r="C447" s="28">
        <f t="shared" ca="1" si="92"/>
        <v>36</v>
      </c>
      <c r="D447" s="45">
        <f t="shared" ca="1" si="93"/>
        <v>224.48941597065291</v>
      </c>
      <c r="E447" s="46">
        <f t="shared" ca="1" si="94"/>
        <v>2.4368726268308497E-2</v>
      </c>
      <c r="F447" s="21">
        <f t="shared" ca="1" si="95"/>
        <v>59353</v>
      </c>
      <c r="G447" s="47">
        <f t="shared" ca="1" si="96"/>
        <v>0.45587676066010691</v>
      </c>
      <c r="H447" s="29">
        <f t="shared" si="88"/>
        <v>3000</v>
      </c>
      <c r="I447" s="42">
        <f t="shared" ca="1" si="97"/>
        <v>14755.692571349253</v>
      </c>
      <c r="J447" s="42">
        <f t="shared" ca="1" si="98"/>
        <v>33655.010097696693</v>
      </c>
      <c r="L447" s="29">
        <f t="shared" ca="1" si="89"/>
        <v>6726.7773307231009</v>
      </c>
      <c r="M447" s="29">
        <f t="shared" ca="1" si="90"/>
        <v>15342.536983321157</v>
      </c>
      <c r="O447" s="29">
        <f ca="1">SUM($L$12:L447)</f>
        <v>1876802.6001376512</v>
      </c>
      <c r="P447" s="29">
        <f ca="1">SUM($M$12:M447)</f>
        <v>3245416.728256206</v>
      </c>
      <c r="R447" s="29">
        <f t="shared" ca="1" si="99"/>
        <v>3312496.8075846955</v>
      </c>
      <c r="S447" s="29">
        <f t="shared" ca="1" si="100"/>
        <v>7555193.5613183575</v>
      </c>
    </row>
    <row r="448" spans="2:19" x14ac:dyDescent="0.25">
      <c r="B448" s="12">
        <f t="shared" ca="1" si="91"/>
        <v>3</v>
      </c>
      <c r="C448" s="28">
        <f t="shared" ca="1" si="92"/>
        <v>36</v>
      </c>
      <c r="D448" s="45">
        <f t="shared" ca="1" si="93"/>
        <v>224.86356499727069</v>
      </c>
      <c r="E448" s="46">
        <f t="shared" ca="1" si="94"/>
        <v>2.4348452785556158E-2</v>
      </c>
      <c r="F448" s="21">
        <f t="shared" ca="1" si="95"/>
        <v>59384</v>
      </c>
      <c r="G448" s="47">
        <f t="shared" ca="1" si="96"/>
        <v>0.45625665796065701</v>
      </c>
      <c r="H448" s="29">
        <f t="shared" si="88"/>
        <v>3000</v>
      </c>
      <c r="I448" s="42">
        <f t="shared" ca="1" si="97"/>
        <v>14769.033994625346</v>
      </c>
      <c r="J448" s="42">
        <f t="shared" ca="1" si="98"/>
        <v>33736.581947647326</v>
      </c>
      <c r="L448" s="29">
        <f t="shared" ca="1" si="89"/>
        <v>6738.4700916950924</v>
      </c>
      <c r="M448" s="29">
        <f t="shared" ca="1" si="90"/>
        <v>15392.540130449403</v>
      </c>
      <c r="O448" s="29">
        <f ca="1">SUM($L$12:L448)</f>
        <v>1883541.0702293464</v>
      </c>
      <c r="P448" s="29">
        <f ca="1">SUM($M$12:M448)</f>
        <v>3260809.2683866555</v>
      </c>
      <c r="R448" s="29">
        <f t="shared" ca="1" si="99"/>
        <v>3321017.635597337</v>
      </c>
      <c r="S448" s="29">
        <f t="shared" ca="1" si="100"/>
        <v>7586128.0875705434</v>
      </c>
    </row>
    <row r="449" spans="2:19" x14ac:dyDescent="0.25">
      <c r="B449" s="12">
        <f t="shared" ca="1" si="91"/>
        <v>3</v>
      </c>
      <c r="C449" s="28">
        <f t="shared" ca="1" si="92"/>
        <v>36</v>
      </c>
      <c r="D449" s="45">
        <f t="shared" ca="1" si="93"/>
        <v>225.23833760559947</v>
      </c>
      <c r="E449" s="46">
        <f t="shared" ca="1" si="94"/>
        <v>2.4328196169262021E-2</v>
      </c>
      <c r="F449" s="21">
        <f t="shared" ca="1" si="95"/>
        <v>59415</v>
      </c>
      <c r="G449" s="47">
        <f t="shared" ca="1" si="96"/>
        <v>0.4566368718422909</v>
      </c>
      <c r="H449" s="29">
        <f t="shared" si="88"/>
        <v>3000</v>
      </c>
      <c r="I449" s="42">
        <f t="shared" ca="1" si="97"/>
        <v>14782.353219193827</v>
      </c>
      <c r="J449" s="42">
        <f t="shared" ca="1" si="98"/>
        <v>33818.240071774737</v>
      </c>
      <c r="L449" s="29">
        <f t="shared" ca="1" si="89"/>
        <v>6750.1675324804874</v>
      </c>
      <c r="M449" s="29">
        <f t="shared" ca="1" si="90"/>
        <v>15442.655357586827</v>
      </c>
      <c r="O449" s="29">
        <f ca="1">SUM($L$12:L449)</f>
        <v>1890291.237761827</v>
      </c>
      <c r="P449" s="29">
        <f ca="1">SUM($M$12:M449)</f>
        <v>3276251.9237442422</v>
      </c>
      <c r="R449" s="29">
        <f t="shared" ca="1" si="99"/>
        <v>3329552.664989999</v>
      </c>
      <c r="S449" s="29">
        <f t="shared" ca="1" si="100"/>
        <v>7617164.174513611</v>
      </c>
    </row>
    <row r="450" spans="2:19" x14ac:dyDescent="0.25">
      <c r="B450" s="12">
        <f t="shared" ca="1" si="91"/>
        <v>4</v>
      </c>
      <c r="C450" s="28">
        <f t="shared" ca="1" si="92"/>
        <v>36</v>
      </c>
      <c r="D450" s="45">
        <f t="shared" ca="1" si="93"/>
        <v>225.61373483494214</v>
      </c>
      <c r="E450" s="46">
        <f t="shared" ca="1" si="94"/>
        <v>2.4307956405394082E-2</v>
      </c>
      <c r="F450" s="21">
        <f t="shared" ca="1" si="95"/>
        <v>59445</v>
      </c>
      <c r="G450" s="47">
        <f t="shared" ca="1" si="96"/>
        <v>0.45701740256882617</v>
      </c>
      <c r="H450" s="29">
        <f t="shared" si="88"/>
        <v>3000</v>
      </c>
      <c r="I450" s="42">
        <f t="shared" ca="1" si="97"/>
        <v>14795.650281990978</v>
      </c>
      <c r="J450" s="42">
        <f t="shared" ca="1" si="98"/>
        <v>33899.984453920086</v>
      </c>
      <c r="L450" s="29">
        <f t="shared" ca="1" si="89"/>
        <v>6761.8696611922378</v>
      </c>
      <c r="M450" s="29">
        <f t="shared" ca="1" si="90"/>
        <v>15492.882842254145</v>
      </c>
      <c r="O450" s="29">
        <f ca="1">SUM($L$12:L450)</f>
        <v>1897053.1074230191</v>
      </c>
      <c r="P450" s="29">
        <f ca="1">SUM($M$12:M450)</f>
        <v>3291744.8065864965</v>
      </c>
      <c r="R450" s="29">
        <f t="shared" ca="1" si="99"/>
        <v>3338101.9194316496</v>
      </c>
      <c r="S450" s="29">
        <f t="shared" ca="1" si="100"/>
        <v>7648302.1034953874</v>
      </c>
    </row>
    <row r="451" spans="2:19" x14ac:dyDescent="0.25">
      <c r="B451" s="12">
        <f t="shared" ca="1" si="91"/>
        <v>4</v>
      </c>
      <c r="C451" s="28">
        <f t="shared" ca="1" si="92"/>
        <v>36</v>
      </c>
      <c r="D451" s="45">
        <f t="shared" ca="1" si="93"/>
        <v>225.98975772633372</v>
      </c>
      <c r="E451" s="46">
        <f t="shared" ca="1" si="94"/>
        <v>2.4287733479932027E-2</v>
      </c>
      <c r="F451" s="21">
        <f t="shared" ca="1" si="95"/>
        <v>59476</v>
      </c>
      <c r="G451" s="47">
        <f t="shared" ca="1" si="96"/>
        <v>0.45739825040430021</v>
      </c>
      <c r="H451" s="29">
        <f t="shared" si="88"/>
        <v>3000</v>
      </c>
      <c r="I451" s="42">
        <f t="shared" ca="1" si="97"/>
        <v>14808.925219891627</v>
      </c>
      <c r="J451" s="42">
        <f t="shared" ca="1" si="98"/>
        <v>33981.815077698389</v>
      </c>
      <c r="L451" s="29">
        <f t="shared" ca="1" si="89"/>
        <v>6773.5764859465471</v>
      </c>
      <c r="M451" s="29">
        <f t="shared" ca="1" si="90"/>
        <v>15543.222762101712</v>
      </c>
      <c r="O451" s="29">
        <f ca="1">SUM($L$12:L451)</f>
        <v>1903826.6839089657</v>
      </c>
      <c r="P451" s="29">
        <f ca="1">SUM($M$12:M451)</f>
        <v>3307288.0293485983</v>
      </c>
      <c r="R451" s="29">
        <f t="shared" ca="1" si="99"/>
        <v>3346665.4226307021</v>
      </c>
      <c r="S451" s="29">
        <f t="shared" ca="1" si="100"/>
        <v>7679542.1565101333</v>
      </c>
    </row>
    <row r="452" spans="2:19" x14ac:dyDescent="0.25">
      <c r="B452" s="12">
        <f t="shared" ca="1" si="91"/>
        <v>4</v>
      </c>
      <c r="C452" s="28">
        <f t="shared" ca="1" si="92"/>
        <v>36</v>
      </c>
      <c r="D452" s="45">
        <f t="shared" ca="1" si="93"/>
        <v>226.36640732254429</v>
      </c>
      <c r="E452" s="46">
        <f t="shared" ca="1" si="94"/>
        <v>2.4267527378867192E-2</v>
      </c>
      <c r="F452" s="21">
        <f t="shared" ca="1" si="95"/>
        <v>59506</v>
      </c>
      <c r="G452" s="47">
        <f t="shared" ca="1" si="96"/>
        <v>0.45777941561297048</v>
      </c>
      <c r="H452" s="29">
        <f t="shared" si="88"/>
        <v>3000</v>
      </c>
      <c r="I452" s="42">
        <f t="shared" ca="1" si="97"/>
        <v>14822.178069709247</v>
      </c>
      <c r="J452" s="42">
        <f t="shared" ca="1" si="98"/>
        <v>34063.731926498658</v>
      </c>
      <c r="L452" s="29">
        <f t="shared" ca="1" si="89"/>
        <v>6785.2880148628856</v>
      </c>
      <c r="M452" s="29">
        <f t="shared" ca="1" si="90"/>
        <v>15593.675294909441</v>
      </c>
      <c r="O452" s="29">
        <f ca="1">SUM($L$12:L452)</f>
        <v>1910611.9719238286</v>
      </c>
      <c r="P452" s="29">
        <f ca="1">SUM($M$12:M452)</f>
        <v>3322881.704643508</v>
      </c>
      <c r="R452" s="29">
        <f t="shared" ca="1" si="99"/>
        <v>3355243.1983350869</v>
      </c>
      <c r="S452" s="29">
        <f t="shared" ca="1" si="100"/>
        <v>7710884.6161997514</v>
      </c>
    </row>
    <row r="453" spans="2:19" x14ac:dyDescent="0.25">
      <c r="B453" s="12">
        <f t="shared" ca="1" si="91"/>
        <v>1</v>
      </c>
      <c r="C453" s="28">
        <f t="shared" ca="1" si="92"/>
        <v>37</v>
      </c>
      <c r="D453" s="45">
        <f t="shared" ca="1" si="93"/>
        <v>226.74368466808187</v>
      </c>
      <c r="E453" s="46">
        <f t="shared" ca="1" si="94"/>
        <v>2.4247338088202574E-2</v>
      </c>
      <c r="F453" s="21">
        <f t="shared" ca="1" si="95"/>
        <v>59537</v>
      </c>
      <c r="G453" s="47">
        <f t="shared" ca="1" si="96"/>
        <v>0.45816089845931462</v>
      </c>
      <c r="H453" s="29">
        <f t="shared" si="88"/>
        <v>3000</v>
      </c>
      <c r="I453" s="42">
        <f t="shared" ca="1" si="97"/>
        <v>14835.408868196057</v>
      </c>
      <c r="J453" s="42">
        <f t="shared" ca="1" si="98"/>
        <v>34145.734983484028</v>
      </c>
      <c r="L453" s="29">
        <f t="shared" ca="1" si="89"/>
        <v>6797.0042560639895</v>
      </c>
      <c r="M453" s="29">
        <f t="shared" ca="1" si="90"/>
        <v>15644.240618586693</v>
      </c>
      <c r="O453" s="29">
        <f ca="1">SUM($L$12:L453)</f>
        <v>1917408.9761798927</v>
      </c>
      <c r="P453" s="29">
        <f ca="1">SUM($M$12:M453)</f>
        <v>3338525.9452620945</v>
      </c>
      <c r="R453" s="29">
        <f t="shared" ca="1" si="99"/>
        <v>3363835.2703323122</v>
      </c>
      <c r="S453" s="29">
        <f t="shared" ca="1" si="100"/>
        <v>7742329.7658549938</v>
      </c>
    </row>
    <row r="454" spans="2:19" x14ac:dyDescent="0.25">
      <c r="B454" s="12">
        <f t="shared" ca="1" si="91"/>
        <v>1</v>
      </c>
      <c r="C454" s="28">
        <f t="shared" ca="1" si="92"/>
        <v>37</v>
      </c>
      <c r="D454" s="45">
        <f t="shared" ca="1" si="93"/>
        <v>227.12159080919534</v>
      </c>
      <c r="E454" s="46">
        <f t="shared" ca="1" si="94"/>
        <v>2.4227165593952823E-2</v>
      </c>
      <c r="F454" s="21">
        <f t="shared" ca="1" si="95"/>
        <v>59568</v>
      </c>
      <c r="G454" s="47">
        <f t="shared" ca="1" si="96"/>
        <v>0.4585426992080307</v>
      </c>
      <c r="H454" s="29">
        <f t="shared" si="88"/>
        <v>3000</v>
      </c>
      <c r="I454" s="42">
        <f t="shared" ca="1" si="97"/>
        <v>14848.61765204312</v>
      </c>
      <c r="J454" s="42">
        <f t="shared" ca="1" si="98"/>
        <v>34227.824231591883</v>
      </c>
      <c r="L454" s="29">
        <f t="shared" ca="1" si="89"/>
        <v>6808.7252176758639</v>
      </c>
      <c r="M454" s="29">
        <f t="shared" ca="1" si="90"/>
        <v>15694.918911172181</v>
      </c>
      <c r="O454" s="29">
        <f ca="1">SUM($L$12:L454)</f>
        <v>1924217.7013975685</v>
      </c>
      <c r="P454" s="29">
        <f ca="1">SUM($M$12:M454)</f>
        <v>3354220.8641732666</v>
      </c>
      <c r="R454" s="29">
        <f t="shared" ca="1" si="99"/>
        <v>3372441.6624495322</v>
      </c>
      <c r="S454" s="29">
        <f t="shared" ca="1" si="100"/>
        <v>7773877.8894166723</v>
      </c>
    </row>
    <row r="455" spans="2:19" x14ac:dyDescent="0.25">
      <c r="B455" s="12">
        <f t="shared" ca="1" si="91"/>
        <v>1</v>
      </c>
      <c r="C455" s="28">
        <f t="shared" ca="1" si="92"/>
        <v>37</v>
      </c>
      <c r="D455" s="45">
        <f t="shared" ca="1" si="93"/>
        <v>227.50012679387734</v>
      </c>
      <c r="E455" s="46">
        <f t="shared" ca="1" si="94"/>
        <v>2.4207009882144206E-2</v>
      </c>
      <c r="F455" s="21">
        <f t="shared" ca="1" si="95"/>
        <v>59596</v>
      </c>
      <c r="G455" s="47">
        <f t="shared" ca="1" si="96"/>
        <v>0.4589248181240374</v>
      </c>
      <c r="H455" s="29">
        <f t="shared" si="88"/>
        <v>3000</v>
      </c>
      <c r="I455" s="42">
        <f t="shared" ca="1" si="97"/>
        <v>14861.804457880455</v>
      </c>
      <c r="J455" s="42">
        <f t="shared" ca="1" si="98"/>
        <v>34309.999653534003</v>
      </c>
      <c r="L455" s="29">
        <f t="shared" ca="1" si="89"/>
        <v>6820.4509078277961</v>
      </c>
      <c r="M455" s="29">
        <f t="shared" ca="1" si="90"/>
        <v>15745.710350833879</v>
      </c>
      <c r="O455" s="29">
        <f ca="1">SUM($L$12:L455)</f>
        <v>1931038.1523053963</v>
      </c>
      <c r="P455" s="29">
        <f ca="1">SUM($M$12:M455)</f>
        <v>3369966.5745241004</v>
      </c>
      <c r="R455" s="29">
        <f t="shared" ca="1" si="99"/>
        <v>3381062.398553615</v>
      </c>
      <c r="S455" s="29">
        <f t="shared" ca="1" si="100"/>
        <v>7805529.2714768732</v>
      </c>
    </row>
    <row r="456" spans="2:19" x14ac:dyDescent="0.25">
      <c r="B456" s="12">
        <f t="shared" ca="1" si="91"/>
        <v>2</v>
      </c>
      <c r="C456" s="28">
        <f t="shared" ca="1" si="92"/>
        <v>37</v>
      </c>
      <c r="D456" s="45">
        <f t="shared" ca="1" si="93"/>
        <v>227.87929367186715</v>
      </c>
      <c r="E456" s="46">
        <f t="shared" ca="1" si="94"/>
        <v>2.4186870938814633E-2</v>
      </c>
      <c r="F456" s="21">
        <f t="shared" ca="1" si="95"/>
        <v>59627</v>
      </c>
      <c r="G456" s="47">
        <f t="shared" ca="1" si="96"/>
        <v>0.45930725547247409</v>
      </c>
      <c r="H456" s="29">
        <f t="shared" si="88"/>
        <v>3000</v>
      </c>
      <c r="I456" s="42">
        <f t="shared" ca="1" si="97"/>
        <v>14874.969322277129</v>
      </c>
      <c r="J456" s="42">
        <f t="shared" ca="1" si="98"/>
        <v>34392.261231796692</v>
      </c>
      <c r="L456" s="29">
        <f t="shared" ca="1" si="89"/>
        <v>6832.1813346523559</v>
      </c>
      <c r="M456" s="29">
        <f t="shared" ca="1" si="90"/>
        <v>15796.61511586891</v>
      </c>
      <c r="O456" s="29">
        <f ca="1">SUM($L$12:L456)</f>
        <v>1937870.3336400487</v>
      </c>
      <c r="P456" s="29">
        <f ca="1">SUM($M$12:M456)</f>
        <v>3385763.1896399693</v>
      </c>
      <c r="R456" s="29">
        <f t="shared" ca="1" si="99"/>
        <v>3389697.5025512045</v>
      </c>
      <c r="S456" s="29">
        <f t="shared" ca="1" si="100"/>
        <v>7837284.1972801695</v>
      </c>
    </row>
    <row r="457" spans="2:19" x14ac:dyDescent="0.25">
      <c r="B457" s="12">
        <f t="shared" ca="1" si="91"/>
        <v>2</v>
      </c>
      <c r="C457" s="28">
        <f t="shared" ca="1" si="92"/>
        <v>37</v>
      </c>
      <c r="D457" s="45">
        <f t="shared" ca="1" si="93"/>
        <v>228.2590924946536</v>
      </c>
      <c r="E457" s="46">
        <f t="shared" ca="1" si="94"/>
        <v>2.4166748750013619E-2</v>
      </c>
      <c r="F457" s="21">
        <f t="shared" ca="1" si="95"/>
        <v>59657</v>
      </c>
      <c r="G457" s="47">
        <f t="shared" ca="1" si="96"/>
        <v>0.45969001151870115</v>
      </c>
      <c r="H457" s="29">
        <f t="shared" si="88"/>
        <v>3000</v>
      </c>
      <c r="I457" s="42">
        <f t="shared" ca="1" si="97"/>
        <v>14888.112281741363</v>
      </c>
      <c r="J457" s="42">
        <f t="shared" ca="1" si="98"/>
        <v>34474.608948640918</v>
      </c>
      <c r="L457" s="29">
        <f t="shared" ca="1" si="89"/>
        <v>6843.9165062854036</v>
      </c>
      <c r="M457" s="29">
        <f t="shared" ca="1" si="90"/>
        <v>15847.633384703462</v>
      </c>
      <c r="O457" s="29">
        <f ca="1">SUM($L$12:L457)</f>
        <v>1944714.2501463341</v>
      </c>
      <c r="P457" s="29">
        <f ca="1">SUM($M$12:M457)</f>
        <v>3401610.8230246729</v>
      </c>
      <c r="R457" s="29">
        <f t="shared" ca="1" si="99"/>
        <v>3398346.9983887901</v>
      </c>
      <c r="S457" s="29">
        <f t="shared" ca="1" si="100"/>
        <v>7869142.9527248405</v>
      </c>
    </row>
    <row r="458" spans="2:19" x14ac:dyDescent="0.25">
      <c r="B458" s="12">
        <f t="shared" ca="1" si="91"/>
        <v>2</v>
      </c>
      <c r="C458" s="28">
        <f t="shared" ca="1" si="92"/>
        <v>37</v>
      </c>
      <c r="D458" s="45">
        <f t="shared" ca="1" si="93"/>
        <v>228.63952431547804</v>
      </c>
      <c r="E458" s="46">
        <f t="shared" ca="1" si="94"/>
        <v>2.4146643301802297E-2</v>
      </c>
      <c r="F458" s="21">
        <f t="shared" ca="1" si="95"/>
        <v>59688</v>
      </c>
      <c r="G458" s="47">
        <f t="shared" ca="1" si="96"/>
        <v>0.46007308652830009</v>
      </c>
      <c r="H458" s="29">
        <f t="shared" si="88"/>
        <v>3000</v>
      </c>
      <c r="I458" s="42">
        <f t="shared" ca="1" si="97"/>
        <v>14901.233372720631</v>
      </c>
      <c r="J458" s="42">
        <f t="shared" ca="1" si="98"/>
        <v>34557.042786102451</v>
      </c>
      <c r="L458" s="29">
        <f t="shared" ca="1" si="89"/>
        <v>6855.6564308660918</v>
      </c>
      <c r="M458" s="29">
        <f t="shared" ca="1" si="90"/>
        <v>15898.765335892682</v>
      </c>
      <c r="O458" s="29">
        <f ca="1">SUM($L$12:L458)</f>
        <v>1951569.9065772002</v>
      </c>
      <c r="P458" s="29">
        <f ca="1">SUM($M$12:M458)</f>
        <v>3417509.5883605657</v>
      </c>
      <c r="R458" s="29">
        <f t="shared" ca="1" si="99"/>
        <v>3407010.9100527717</v>
      </c>
      <c r="S458" s="29">
        <f t="shared" ca="1" si="100"/>
        <v>7901105.8243640866</v>
      </c>
    </row>
    <row r="459" spans="2:19" x14ac:dyDescent="0.25">
      <c r="B459" s="12">
        <f t="shared" ca="1" si="91"/>
        <v>3</v>
      </c>
      <c r="C459" s="28">
        <f t="shared" ca="1" si="92"/>
        <v>37</v>
      </c>
      <c r="D459" s="45">
        <f t="shared" ca="1" si="93"/>
        <v>229.02059018933718</v>
      </c>
      <c r="E459" s="46">
        <f t="shared" ca="1" si="94"/>
        <v>2.4126554580253375E-2</v>
      </c>
      <c r="F459" s="21">
        <f t="shared" ca="1" si="95"/>
        <v>59718</v>
      </c>
      <c r="G459" s="47">
        <f t="shared" ca="1" si="96"/>
        <v>0.46045648076707368</v>
      </c>
      <c r="H459" s="29">
        <f t="shared" si="88"/>
        <v>3000</v>
      </c>
      <c r="I459" s="42">
        <f t="shared" ca="1" si="97"/>
        <v>14914.332631601765</v>
      </c>
      <c r="J459" s="42">
        <f t="shared" ca="1" si="98"/>
        <v>34639.562725992</v>
      </c>
      <c r="L459" s="29">
        <f t="shared" ca="1" si="89"/>
        <v>6867.4011165368775</v>
      </c>
      <c r="M459" s="29">
        <f t="shared" ca="1" si="90"/>
        <v>15950.011148120579</v>
      </c>
      <c r="O459" s="29">
        <f ca="1">SUM($L$12:L459)</f>
        <v>1958437.3076937371</v>
      </c>
      <c r="P459" s="29">
        <f ca="1">SUM($M$12:M459)</f>
        <v>3433459.5995086865</v>
      </c>
      <c r="R459" s="29">
        <f t="shared" ca="1" si="99"/>
        <v>3415689.2615695265</v>
      </c>
      <c r="S459" s="29">
        <f t="shared" ca="1" si="100"/>
        <v>7933173.0994072538</v>
      </c>
    </row>
    <row r="460" spans="2:19" x14ac:dyDescent="0.25">
      <c r="B460" s="12">
        <f t="shared" ca="1" si="91"/>
        <v>3</v>
      </c>
      <c r="C460" s="28">
        <f t="shared" ca="1" si="92"/>
        <v>37</v>
      </c>
      <c r="D460" s="45">
        <f t="shared" ca="1" si="93"/>
        <v>229.40229117298608</v>
      </c>
      <c r="E460" s="46">
        <f t="shared" ca="1" si="94"/>
        <v>2.4106482571451166E-2</v>
      </c>
      <c r="F460" s="21">
        <f t="shared" ca="1" si="95"/>
        <v>59749</v>
      </c>
      <c r="G460" s="47">
        <f t="shared" ca="1" si="96"/>
        <v>0.46084019450104624</v>
      </c>
      <c r="H460" s="29">
        <f t="shared" si="88"/>
        <v>3000</v>
      </c>
      <c r="I460" s="42">
        <f t="shared" ca="1" si="97"/>
        <v>14927.410094711049</v>
      </c>
      <c r="J460" s="42">
        <f t="shared" ca="1" si="98"/>
        <v>34722.168749895354</v>
      </c>
      <c r="L460" s="29">
        <f t="shared" ca="1" si="89"/>
        <v>6879.1505714435207</v>
      </c>
      <c r="M460" s="29">
        <f t="shared" ca="1" si="90"/>
        <v>16001.371000199924</v>
      </c>
      <c r="O460" s="29">
        <f ca="1">SUM($L$12:L460)</f>
        <v>1965316.4582651807</v>
      </c>
      <c r="P460" s="29">
        <f ca="1">SUM($M$12:M460)</f>
        <v>3449460.9705088865</v>
      </c>
      <c r="R460" s="29">
        <f t="shared" ca="1" si="99"/>
        <v>3424382.0770054758</v>
      </c>
      <c r="S460" s="29">
        <f t="shared" ca="1" si="100"/>
        <v>7965345.0657210518</v>
      </c>
    </row>
    <row r="461" spans="2:19" x14ac:dyDescent="0.25">
      <c r="B461" s="12">
        <f t="shared" ca="1" si="91"/>
        <v>3</v>
      </c>
      <c r="C461" s="28">
        <f t="shared" ca="1" si="92"/>
        <v>37</v>
      </c>
      <c r="D461" s="45">
        <f t="shared" ca="1" si="93"/>
        <v>229.78462832494108</v>
      </c>
      <c r="E461" s="46">
        <f t="shared" ca="1" si="94"/>
        <v>2.4086427261491555E-2</v>
      </c>
      <c r="F461" s="21">
        <f t="shared" ca="1" si="95"/>
        <v>59780</v>
      </c>
      <c r="G461" s="47">
        <f t="shared" ca="1" si="96"/>
        <v>0.46122422799646379</v>
      </c>
      <c r="H461" s="29">
        <f t="shared" si="88"/>
        <v>3000</v>
      </c>
      <c r="I461" s="42">
        <f t="shared" ca="1" si="97"/>
        <v>14940.465798314328</v>
      </c>
      <c r="J461" s="42">
        <f t="shared" ca="1" si="98"/>
        <v>34804.86083917354</v>
      </c>
      <c r="L461" s="29">
        <f t="shared" ca="1" si="89"/>
        <v>6890.9048037350967</v>
      </c>
      <c r="M461" s="29">
        <f t="shared" ca="1" si="90"/>
        <v>16052.84507107217</v>
      </c>
      <c r="O461" s="29">
        <f ca="1">SUM($L$12:L461)</f>
        <v>1972207.3630689159</v>
      </c>
      <c r="P461" s="29">
        <f ca="1">SUM($M$12:M461)</f>
        <v>3465513.8155799587</v>
      </c>
      <c r="R461" s="29">
        <f t="shared" ca="1" si="99"/>
        <v>3433089.3804671518</v>
      </c>
      <c r="S461" s="29">
        <f t="shared" ca="1" si="100"/>
        <v>7997622.011830789</v>
      </c>
    </row>
    <row r="462" spans="2:19" x14ac:dyDescent="0.25">
      <c r="B462" s="12">
        <f t="shared" ca="1" si="91"/>
        <v>4</v>
      </c>
      <c r="C462" s="28">
        <f t="shared" ca="1" si="92"/>
        <v>37</v>
      </c>
      <c r="D462" s="45">
        <f t="shared" ca="1" si="93"/>
        <v>230.16760270548266</v>
      </c>
      <c r="E462" s="46">
        <f t="shared" ca="1" si="94"/>
        <v>2.4066388636481993E-2</v>
      </c>
      <c r="F462" s="21">
        <f t="shared" ca="1" si="95"/>
        <v>59810</v>
      </c>
      <c r="G462" s="47">
        <f t="shared" ca="1" si="96"/>
        <v>0.46160858151979417</v>
      </c>
      <c r="H462" s="29">
        <f t="shared" ref="H462:H503" si="101">IF($F$5="Mensuel",$E$5,0)</f>
        <v>3000</v>
      </c>
      <c r="I462" s="42">
        <f t="shared" ca="1" si="97"/>
        <v>14953.499778617102</v>
      </c>
      <c r="J462" s="42">
        <f t="shared" ca="1" si="98"/>
        <v>34887.638974962923</v>
      </c>
      <c r="L462" s="29">
        <f t="shared" ref="L462:L503" ca="1" si="102">I462*G462</f>
        <v>6902.6638215639969</v>
      </c>
      <c r="M462" s="29">
        <f t="shared" ref="M462:M503" ca="1" si="103">J462*G462</f>
        <v>16104.433539807322</v>
      </c>
      <c r="O462" s="29">
        <f ca="1">SUM($L$12:L462)</f>
        <v>1979110.02689048</v>
      </c>
      <c r="P462" s="29">
        <f ca="1">SUM($M$12:M462)</f>
        <v>3481618.2491197661</v>
      </c>
      <c r="R462" s="29">
        <f t="shared" ca="1" si="99"/>
        <v>3441811.1961012641</v>
      </c>
      <c r="S462" s="29">
        <f t="shared" ca="1" si="100"/>
        <v>8030004.2269215789</v>
      </c>
    </row>
    <row r="463" spans="2:19" x14ac:dyDescent="0.25">
      <c r="B463" s="12">
        <f t="shared" ca="1" si="91"/>
        <v>4</v>
      </c>
      <c r="C463" s="28">
        <f t="shared" ca="1" si="92"/>
        <v>37</v>
      </c>
      <c r="D463" s="45">
        <f t="shared" ca="1" si="93"/>
        <v>230.55121537665849</v>
      </c>
      <c r="E463" s="46">
        <f t="shared" ca="1" si="94"/>
        <v>2.4046366682541492E-2</v>
      </c>
      <c r="F463" s="21">
        <f t="shared" ca="1" si="95"/>
        <v>59841</v>
      </c>
      <c r="G463" s="47">
        <f t="shared" ca="1" si="96"/>
        <v>0.46199325533772734</v>
      </c>
      <c r="H463" s="29">
        <f t="shared" si="101"/>
        <v>3000</v>
      </c>
      <c r="I463" s="42">
        <f t="shared" ca="1" si="97"/>
        <v>14966.512071764631</v>
      </c>
      <c r="J463" s="42">
        <f t="shared" ca="1" si="98"/>
        <v>34970.503138175402</v>
      </c>
      <c r="L463" s="29">
        <f t="shared" ca="1" si="102"/>
        <v>6914.4276330859357</v>
      </c>
      <c r="M463" s="29">
        <f t="shared" ca="1" si="103"/>
        <v>16156.136585603863</v>
      </c>
      <c r="O463" s="29">
        <f ca="1">SUM($L$12:L463)</f>
        <v>1986024.4545235659</v>
      </c>
      <c r="P463" s="29">
        <f ca="1">SUM($M$12:M463)</f>
        <v>3497774.38570537</v>
      </c>
      <c r="R463" s="29">
        <f t="shared" ca="1" si="99"/>
        <v>3450547.5480947667</v>
      </c>
      <c r="S463" s="29">
        <f t="shared" ca="1" si="100"/>
        <v>8062492.0008395882</v>
      </c>
    </row>
    <row r="464" spans="2:19" x14ac:dyDescent="0.25">
      <c r="B464" s="12">
        <f t="shared" ca="1" si="91"/>
        <v>4</v>
      </c>
      <c r="C464" s="28">
        <f t="shared" ca="1" si="92"/>
        <v>37</v>
      </c>
      <c r="D464" s="45">
        <f t="shared" ca="1" si="93"/>
        <v>230.93546740228626</v>
      </c>
      <c r="E464" s="46">
        <f t="shared" ca="1" si="94"/>
        <v>2.4026361385800606E-2</v>
      </c>
      <c r="F464" s="21">
        <f t="shared" ca="1" si="95"/>
        <v>59871</v>
      </c>
      <c r="G464" s="47">
        <f t="shared" ca="1" si="96"/>
        <v>0.46237824971717545</v>
      </c>
      <c r="H464" s="29">
        <f t="shared" si="101"/>
        <v>3000</v>
      </c>
      <c r="I464" s="42">
        <f t="shared" ca="1" si="97"/>
        <v>14979.50271384203</v>
      </c>
      <c r="J464" s="42">
        <f t="shared" ca="1" si="98"/>
        <v>35053.453309498516</v>
      </c>
      <c r="L464" s="29">
        <f t="shared" ca="1" si="102"/>
        <v>6926.1962464599574</v>
      </c>
      <c r="M464" s="29">
        <f t="shared" ca="1" si="103"/>
        <v>16207.954387788655</v>
      </c>
      <c r="O464" s="29">
        <f ca="1">SUM($L$12:L464)</f>
        <v>1992950.6507700258</v>
      </c>
      <c r="P464" s="29">
        <f ca="1">SUM($M$12:M464)</f>
        <v>3513982.3400931587</v>
      </c>
      <c r="R464" s="29">
        <f t="shared" ca="1" si="99"/>
        <v>3459298.4606749248</v>
      </c>
      <c r="S464" s="29">
        <f t="shared" ca="1" si="100"/>
        <v>8095085.6240932578</v>
      </c>
    </row>
    <row r="465" spans="2:19" x14ac:dyDescent="0.25">
      <c r="B465" s="12">
        <f t="shared" ca="1" si="91"/>
        <v>1</v>
      </c>
      <c r="C465" s="28">
        <f t="shared" ca="1" si="92"/>
        <v>38</v>
      </c>
      <c r="D465" s="45">
        <f t="shared" ca="1" si="93"/>
        <v>231.32035984795675</v>
      </c>
      <c r="E465" s="46">
        <f t="shared" ca="1" si="94"/>
        <v>2.4006372732401436E-2</v>
      </c>
      <c r="F465" s="21">
        <f t="shared" ca="1" si="95"/>
        <v>59902</v>
      </c>
      <c r="G465" s="47">
        <f t="shared" ca="1" si="96"/>
        <v>0.4627635649252731</v>
      </c>
      <c r="H465" s="29">
        <f t="shared" si="101"/>
        <v>3000</v>
      </c>
      <c r="I465" s="42">
        <f t="shared" ca="1" si="97"/>
        <v>14992.471740874375</v>
      </c>
      <c r="J465" s="42">
        <f t="shared" ca="1" si="98"/>
        <v>35136.489469395608</v>
      </c>
      <c r="L465" s="29">
        <f t="shared" ca="1" si="102"/>
        <v>6937.9696698484404</v>
      </c>
      <c r="M465" s="29">
        <f t="shared" ca="1" si="103"/>
        <v>16259.887125816829</v>
      </c>
      <c r="O465" s="29">
        <f ca="1">SUM($L$12:L465)</f>
        <v>1999888.6204398742</v>
      </c>
      <c r="P465" s="29">
        <f ca="1">SUM($M$12:M465)</f>
        <v>3530242.2272189753</v>
      </c>
      <c r="R465" s="29">
        <f t="shared" ca="1" si="99"/>
        <v>3468063.958109383</v>
      </c>
      <c r="S465" s="29">
        <f t="shared" ca="1" si="100"/>
        <v>8127785.3878545351</v>
      </c>
    </row>
    <row r="466" spans="2:19" x14ac:dyDescent="0.25">
      <c r="B466" s="12">
        <f t="shared" ca="1" si="91"/>
        <v>1</v>
      </c>
      <c r="C466" s="28">
        <f t="shared" ca="1" si="92"/>
        <v>38</v>
      </c>
      <c r="D466" s="45">
        <f t="shared" ca="1" si="93"/>
        <v>231.70589378103668</v>
      </c>
      <c r="E466" s="46">
        <f t="shared" ca="1" si="94"/>
        <v>2.3986400708497609E-2</v>
      </c>
      <c r="F466" s="21">
        <f t="shared" ca="1" si="95"/>
        <v>59933</v>
      </c>
      <c r="G466" s="47">
        <f t="shared" ca="1" si="96"/>
        <v>0.46314920122937747</v>
      </c>
      <c r="H466" s="29">
        <f t="shared" si="101"/>
        <v>3000</v>
      </c>
      <c r="I466" s="42">
        <f t="shared" ca="1" si="97"/>
        <v>15005.4191888268</v>
      </c>
      <c r="J466" s="42">
        <f t="shared" ca="1" si="98"/>
        <v>35219.61159810597</v>
      </c>
      <c r="L466" s="29">
        <f t="shared" ca="1" si="102"/>
        <v>6949.7479114171056</v>
      </c>
      <c r="M466" s="29">
        <f t="shared" ca="1" si="103"/>
        <v>16311.934979271698</v>
      </c>
      <c r="O466" s="29">
        <f ca="1">SUM($L$12:L466)</f>
        <v>2006838.3683512914</v>
      </c>
      <c r="P466" s="29">
        <f ca="1">SUM($M$12:M466)</f>
        <v>3546554.1621982469</v>
      </c>
      <c r="R466" s="29">
        <f t="shared" ca="1" si="99"/>
        <v>3476844.0647062319</v>
      </c>
      <c r="S466" s="29">
        <f t="shared" ca="1" si="100"/>
        <v>8160591.5839601094</v>
      </c>
    </row>
    <row r="467" spans="2:19" x14ac:dyDescent="0.25">
      <c r="B467" s="12">
        <f t="shared" ca="1" si="91"/>
        <v>1</v>
      </c>
      <c r="C467" s="28">
        <f t="shared" ca="1" si="92"/>
        <v>38</v>
      </c>
      <c r="D467" s="45">
        <f t="shared" ca="1" si="93"/>
        <v>232.09207027067174</v>
      </c>
      <c r="E467" s="46">
        <f t="shared" ca="1" si="94"/>
        <v>2.3966445300254265E-2</v>
      </c>
      <c r="F467" s="21">
        <f t="shared" ca="1" si="95"/>
        <v>59962</v>
      </c>
      <c r="G467" s="47">
        <f t="shared" ca="1" si="96"/>
        <v>0.46353515889706864</v>
      </c>
      <c r="H467" s="29">
        <f t="shared" si="101"/>
        <v>3000</v>
      </c>
      <c r="I467" s="42">
        <f t="shared" ca="1" si="97"/>
        <v>15018.345093604594</v>
      </c>
      <c r="J467" s="42">
        <f t="shared" ca="1" si="98"/>
        <v>35302.819675644983</v>
      </c>
      <c r="L467" s="29">
        <f t="shared" ca="1" si="102"/>
        <v>6961.530979335017</v>
      </c>
      <c r="M467" s="29">
        <f t="shared" ca="1" si="103"/>
        <v>16364.09812786466</v>
      </c>
      <c r="O467" s="29">
        <f ca="1">SUM($L$12:L467)</f>
        <v>2013799.8993306265</v>
      </c>
      <c r="P467" s="29">
        <f ca="1">SUM($M$12:M467)</f>
        <v>3562918.2603261117</v>
      </c>
      <c r="R467" s="29">
        <f t="shared" ca="1" si="99"/>
        <v>3485638.8048140756</v>
      </c>
      <c r="S467" s="29">
        <f t="shared" ca="1" si="100"/>
        <v>8193504.5049126484</v>
      </c>
    </row>
    <row r="468" spans="2:19" x14ac:dyDescent="0.25">
      <c r="B468" s="12">
        <f t="shared" ca="1" si="91"/>
        <v>2</v>
      </c>
      <c r="C468" s="28">
        <f t="shared" ca="1" si="92"/>
        <v>38</v>
      </c>
      <c r="D468" s="45">
        <f t="shared" ca="1" si="93"/>
        <v>232.47889038778953</v>
      </c>
      <c r="E468" s="46">
        <f t="shared" ca="1" si="94"/>
        <v>2.3946506493848066E-2</v>
      </c>
      <c r="F468" s="21">
        <f t="shared" ca="1" si="95"/>
        <v>59993</v>
      </c>
      <c r="G468" s="47">
        <f t="shared" ca="1" si="96"/>
        <v>0.46392143819614956</v>
      </c>
      <c r="H468" s="29">
        <f t="shared" si="101"/>
        <v>3000</v>
      </c>
      <c r="I468" s="42">
        <f t="shared" ca="1" si="97"/>
        <v>15031.249491053308</v>
      </c>
      <c r="J468" s="42">
        <f t="shared" ca="1" si="98"/>
        <v>35386.113681804272</v>
      </c>
      <c r="L468" s="29">
        <f t="shared" ca="1" si="102"/>
        <v>6973.3188817745913</v>
      </c>
      <c r="M468" s="29">
        <f t="shared" ca="1" si="103"/>
        <v>16416.376751435084</v>
      </c>
      <c r="O468" s="29">
        <f ca="1">SUM($L$12:L468)</f>
        <v>2020773.218212401</v>
      </c>
      <c r="P468" s="29">
        <f ca="1">SUM($M$12:M468)</f>
        <v>3579334.6370775467</v>
      </c>
      <c r="R468" s="29">
        <f t="shared" ca="1" si="99"/>
        <v>3494448.202822099</v>
      </c>
      <c r="S468" s="29">
        <f t="shared" ca="1" si="100"/>
        <v>8226524.4438820351</v>
      </c>
    </row>
    <row r="469" spans="2:19" x14ac:dyDescent="0.25">
      <c r="B469" s="12">
        <f t="shared" ca="1" si="91"/>
        <v>2</v>
      </c>
      <c r="C469" s="28">
        <f t="shared" ca="1" si="92"/>
        <v>38</v>
      </c>
      <c r="D469" s="45">
        <f t="shared" ca="1" si="93"/>
        <v>232.86635520510254</v>
      </c>
      <c r="E469" s="46">
        <f t="shared" ca="1" si="94"/>
        <v>2.392658427546716E-2</v>
      </c>
      <c r="F469" s="21">
        <f t="shared" ca="1" si="95"/>
        <v>60023</v>
      </c>
      <c r="G469" s="47">
        <f t="shared" ca="1" si="96"/>
        <v>0.46430803939464638</v>
      </c>
      <c r="H469" s="29">
        <f t="shared" si="101"/>
        <v>3000</v>
      </c>
      <c r="I469" s="42">
        <f t="shared" ca="1" si="97"/>
        <v>15044.132416958846</v>
      </c>
      <c r="J469" s="42">
        <f t="shared" ca="1" si="98"/>
        <v>35469.493596151857</v>
      </c>
      <c r="L469" s="29">
        <f t="shared" ca="1" si="102"/>
        <v>6985.1116269116046</v>
      </c>
      <c r="M469" s="29">
        <f t="shared" ca="1" si="103"/>
        <v>16468.771029950232</v>
      </c>
      <c r="O469" s="29">
        <f ca="1">SUM($L$12:L469)</f>
        <v>2027758.3298393127</v>
      </c>
      <c r="P469" s="29">
        <f ca="1">SUM($M$12:M469)</f>
        <v>3595803.4081074968</v>
      </c>
      <c r="R469" s="29">
        <f t="shared" ca="1" si="99"/>
        <v>3503272.2831601365</v>
      </c>
      <c r="S469" s="29">
        <f t="shared" ca="1" si="100"/>
        <v>8259651.6947066076</v>
      </c>
    </row>
    <row r="470" spans="2:19" x14ac:dyDescent="0.25">
      <c r="B470" s="12">
        <f t="shared" ca="1" si="91"/>
        <v>2</v>
      </c>
      <c r="C470" s="28">
        <f t="shared" ca="1" si="92"/>
        <v>38</v>
      </c>
      <c r="D470" s="45">
        <f t="shared" ca="1" si="93"/>
        <v>233.25446579711104</v>
      </c>
      <c r="E470" s="46">
        <f t="shared" ca="1" si="94"/>
        <v>2.3906678631311198E-2</v>
      </c>
      <c r="F470" s="21">
        <f t="shared" ca="1" si="95"/>
        <v>60054</v>
      </c>
      <c r="G470" s="47">
        <f t="shared" ca="1" si="96"/>
        <v>0.46469496276080857</v>
      </c>
      <c r="H470" s="29">
        <f t="shared" si="101"/>
        <v>3000</v>
      </c>
      <c r="I470" s="42">
        <f t="shared" ca="1" si="97"/>
        <v>15056.99390704757</v>
      </c>
      <c r="J470" s="42">
        <f t="shared" ca="1" si="98"/>
        <v>35552.959398032297</v>
      </c>
      <c r="L470" s="29">
        <f t="shared" ca="1" si="102"/>
        <v>6996.9092229251919</v>
      </c>
      <c r="M470" s="29">
        <f t="shared" ca="1" si="103"/>
        <v>16521.281143505159</v>
      </c>
      <c r="O470" s="29">
        <f ca="1">SUM($L$12:L470)</f>
        <v>2034755.2390622378</v>
      </c>
      <c r="P470" s="29">
        <f ca="1">SUM($M$12:M470)</f>
        <v>3612324.6892510019</v>
      </c>
      <c r="R470" s="29">
        <f t="shared" ca="1" si="99"/>
        <v>3512111.0702987369</v>
      </c>
      <c r="S470" s="29">
        <f t="shared" ca="1" si="100"/>
        <v>8292886.5518944021</v>
      </c>
    </row>
    <row r="471" spans="2:19" x14ac:dyDescent="0.25">
      <c r="B471" s="12">
        <f t="shared" ca="1" si="91"/>
        <v>3</v>
      </c>
      <c r="C471" s="28">
        <f t="shared" ca="1" si="92"/>
        <v>38</v>
      </c>
      <c r="D471" s="45">
        <f t="shared" ca="1" si="93"/>
        <v>233.64322324010624</v>
      </c>
      <c r="E471" s="46">
        <f t="shared" ca="1" si="94"/>
        <v>2.3886789547591301E-2</v>
      </c>
      <c r="F471" s="21">
        <f t="shared" ca="1" si="95"/>
        <v>60084</v>
      </c>
      <c r="G471" s="47">
        <f t="shared" ca="1" si="96"/>
        <v>0.46508220856310922</v>
      </c>
      <c r="H471" s="29">
        <f t="shared" si="101"/>
        <v>3000</v>
      </c>
      <c r="I471" s="42">
        <f t="shared" ca="1" si="97"/>
        <v>15069.833996986396</v>
      </c>
      <c r="J471" s="42">
        <f t="shared" ca="1" si="98"/>
        <v>35636.511066566862</v>
      </c>
      <c r="L471" s="29">
        <f t="shared" ca="1" si="102"/>
        <v>7008.7116779978605</v>
      </c>
      <c r="M471" s="29">
        <f t="shared" ca="1" si="103"/>
        <v>16573.907272322598</v>
      </c>
      <c r="O471" s="29">
        <f ca="1">SUM($L$12:L471)</f>
        <v>2041763.9507402356</v>
      </c>
      <c r="P471" s="29">
        <f ca="1">SUM($M$12:M471)</f>
        <v>3628898.5965233245</v>
      </c>
      <c r="R471" s="29">
        <f t="shared" ca="1" si="99"/>
        <v>3520964.588749235</v>
      </c>
      <c r="S471" s="29">
        <f t="shared" ca="1" si="100"/>
        <v>8326229.3106243974</v>
      </c>
    </row>
    <row r="472" spans="2:19" x14ac:dyDescent="0.25">
      <c r="B472" s="12">
        <f t="shared" ca="1" si="91"/>
        <v>3</v>
      </c>
      <c r="C472" s="28">
        <f t="shared" ca="1" si="92"/>
        <v>38</v>
      </c>
      <c r="D472" s="45">
        <f t="shared" ca="1" si="93"/>
        <v>234.03262861217308</v>
      </c>
      <c r="E472" s="46">
        <f t="shared" ca="1" si="94"/>
        <v>2.3866917010530078E-2</v>
      </c>
      <c r="F472" s="21">
        <f t="shared" ca="1" si="95"/>
        <v>60115</v>
      </c>
      <c r="G472" s="47">
        <f t="shared" ca="1" si="96"/>
        <v>0.46546977707024517</v>
      </c>
      <c r="H472" s="29">
        <f t="shared" si="101"/>
        <v>3000</v>
      </c>
      <c r="I472" s="42">
        <f t="shared" ca="1" si="97"/>
        <v>15082.652722382893</v>
      </c>
      <c r="J472" s="42">
        <f t="shared" ca="1" si="98"/>
        <v>35720.148580653666</v>
      </c>
      <c r="L472" s="29">
        <f t="shared" ca="1" si="102"/>
        <v>7020.5190003154912</v>
      </c>
      <c r="M472" s="29">
        <f t="shared" ca="1" si="103"/>
        <v>16626.649596752897</v>
      </c>
      <c r="O472" s="29">
        <f ca="1">SUM($L$12:L472)</f>
        <v>2048784.4697405512</v>
      </c>
      <c r="P472" s="29">
        <f ca="1">SUM($M$12:M472)</f>
        <v>3645525.2461200776</v>
      </c>
      <c r="R472" s="29">
        <f t="shared" ca="1" si="99"/>
        <v>3529832.8630638169</v>
      </c>
      <c r="S472" s="29">
        <f t="shared" ca="1" si="100"/>
        <v>8359680.2667477606</v>
      </c>
    </row>
    <row r="473" spans="2:19" x14ac:dyDescent="0.25">
      <c r="B473" s="12">
        <f t="shared" ca="1" si="91"/>
        <v>3</v>
      </c>
      <c r="C473" s="28">
        <f t="shared" ca="1" si="92"/>
        <v>38</v>
      </c>
      <c r="D473" s="45">
        <f t="shared" ca="1" si="93"/>
        <v>234.42268299319338</v>
      </c>
      <c r="E473" s="46">
        <f t="shared" ca="1" si="94"/>
        <v>2.3847061006361581E-2</v>
      </c>
      <c r="F473" s="21">
        <f t="shared" ca="1" si="95"/>
        <v>60146</v>
      </c>
      <c r="G473" s="47">
        <f t="shared" ca="1" si="96"/>
        <v>0.46585766855113703</v>
      </c>
      <c r="H473" s="29">
        <f t="shared" si="101"/>
        <v>3000</v>
      </c>
      <c r="I473" s="42">
        <f t="shared" ca="1" si="97"/>
        <v>15095.450118785386</v>
      </c>
      <c r="J473" s="42">
        <f t="shared" ca="1" si="98"/>
        <v>35803.87191896783</v>
      </c>
      <c r="L473" s="29">
        <f t="shared" ca="1" si="102"/>
        <v>7032.3311980673443</v>
      </c>
      <c r="M473" s="29">
        <f t="shared" ca="1" si="103"/>
        <v>16679.508297273878</v>
      </c>
      <c r="O473" s="29">
        <f ca="1">SUM($L$12:L473)</f>
        <v>2055816.8009386186</v>
      </c>
      <c r="P473" s="29">
        <f ca="1">SUM($M$12:M473)</f>
        <v>3662204.7544173514</v>
      </c>
      <c r="R473" s="29">
        <f t="shared" ca="1" si="99"/>
        <v>3538715.91783559</v>
      </c>
      <c r="S473" s="29">
        <f t="shared" ca="1" si="100"/>
        <v>8393239.7167890947</v>
      </c>
    </row>
    <row r="474" spans="2:19" x14ac:dyDescent="0.25">
      <c r="B474" s="12">
        <f t="shared" ca="1" si="91"/>
        <v>4</v>
      </c>
      <c r="C474" s="28">
        <f t="shared" ca="1" si="92"/>
        <v>38</v>
      </c>
      <c r="D474" s="45">
        <f t="shared" ca="1" si="93"/>
        <v>234.81338746484872</v>
      </c>
      <c r="E474" s="46">
        <f t="shared" ca="1" si="94"/>
        <v>2.3827221521331331E-2</v>
      </c>
      <c r="F474" s="21">
        <f t="shared" ca="1" si="95"/>
        <v>60176</v>
      </c>
      <c r="G474" s="47">
        <f t="shared" ca="1" si="96"/>
        <v>0.46624588327492966</v>
      </c>
      <c r="H474" s="29">
        <f t="shared" si="101"/>
        <v>3000</v>
      </c>
      <c r="I474" s="42">
        <f t="shared" ca="1" si="97"/>
        <v>15108.22622168305</v>
      </c>
      <c r="J474" s="42">
        <f t="shared" ca="1" si="98"/>
        <v>35887.681059961636</v>
      </c>
      <c r="L474" s="29">
        <f t="shared" ca="1" si="102"/>
        <v>7044.1482794460671</v>
      </c>
      <c r="M474" s="29">
        <f t="shared" ca="1" si="103"/>
        <v>16732.483554490776</v>
      </c>
      <c r="O474" s="29">
        <f ca="1">SUM($L$12:L474)</f>
        <v>2062860.9492180648</v>
      </c>
      <c r="P474" s="29">
        <f ca="1">SUM($M$12:M474)</f>
        <v>3678937.2379718423</v>
      </c>
      <c r="R474" s="29">
        <f t="shared" ca="1" si="99"/>
        <v>3547613.7776986491</v>
      </c>
      <c r="S474" s="29">
        <f t="shared" ca="1" si="100"/>
        <v>8426907.9579476845</v>
      </c>
    </row>
    <row r="475" spans="2:19" x14ac:dyDescent="0.25">
      <c r="B475" s="12">
        <f t="shared" ca="1" si="91"/>
        <v>4</v>
      </c>
      <c r="C475" s="28">
        <f t="shared" ca="1" si="92"/>
        <v>38</v>
      </c>
      <c r="D475" s="45">
        <f t="shared" ca="1" si="93"/>
        <v>235.20474311062347</v>
      </c>
      <c r="E475" s="46">
        <f t="shared" ca="1" si="94"/>
        <v>2.3807398541696279E-2</v>
      </c>
      <c r="F475" s="21">
        <f t="shared" ca="1" si="95"/>
        <v>60207</v>
      </c>
      <c r="G475" s="47">
        <f t="shared" ca="1" si="96"/>
        <v>0.4666344215109921</v>
      </c>
      <c r="H475" s="29">
        <f t="shared" si="101"/>
        <v>3000</v>
      </c>
      <c r="I475" s="42">
        <f t="shared" ca="1" si="97"/>
        <v>15120.981066506009</v>
      </c>
      <c r="J475" s="42">
        <f t="shared" ca="1" si="98"/>
        <v>35971.575981864677</v>
      </c>
      <c r="L475" s="29">
        <f t="shared" ca="1" si="102"/>
        <v>7055.9702526476958</v>
      </c>
      <c r="M475" s="29">
        <f t="shared" ca="1" si="103"/>
        <v>16785.57554913612</v>
      </c>
      <c r="O475" s="29">
        <f ca="1">SUM($L$12:L475)</f>
        <v>2069916.9194707125</v>
      </c>
      <c r="P475" s="29">
        <f ca="1">SUM($M$12:M475)</f>
        <v>3695722.8135209782</v>
      </c>
      <c r="R475" s="29">
        <f t="shared" ca="1" si="99"/>
        <v>3556526.467328147</v>
      </c>
      <c r="S475" s="29">
        <f t="shared" ca="1" si="100"/>
        <v>8460685.2880987544</v>
      </c>
    </row>
    <row r="476" spans="2:19" x14ac:dyDescent="0.25">
      <c r="B476" s="12">
        <f t="shared" ca="1" si="91"/>
        <v>4</v>
      </c>
      <c r="C476" s="28">
        <f t="shared" ca="1" si="92"/>
        <v>38</v>
      </c>
      <c r="D476" s="45">
        <f t="shared" ca="1" si="93"/>
        <v>235.59675101580785</v>
      </c>
      <c r="E476" s="46">
        <f t="shared" ca="1" si="94"/>
        <v>2.3787592053724816E-2</v>
      </c>
      <c r="F476" s="21">
        <f t="shared" ca="1" si="95"/>
        <v>60237</v>
      </c>
      <c r="G476" s="47">
        <f t="shared" ca="1" si="96"/>
        <v>0.46702328352891792</v>
      </c>
      <c r="H476" s="29">
        <f t="shared" si="101"/>
        <v>3000</v>
      </c>
      <c r="I476" s="42">
        <f t="shared" ca="1" si="97"/>
        <v>15133.714688625436</v>
      </c>
      <c r="J476" s="42">
        <f t="shared" ca="1" si="98"/>
        <v>36055.556662684037</v>
      </c>
      <c r="L476" s="29">
        <f t="shared" ca="1" si="102"/>
        <v>7067.797125871667</v>
      </c>
      <c r="M476" s="29">
        <f t="shared" ca="1" si="103"/>
        <v>16838.784462069652</v>
      </c>
      <c r="O476" s="29">
        <f ca="1">SUM($L$12:L476)</f>
        <v>2076984.7165965843</v>
      </c>
      <c r="P476" s="29">
        <f ca="1">SUM($M$12:M476)</f>
        <v>3712561.5979830478</v>
      </c>
      <c r="R476" s="29">
        <f t="shared" ca="1" si="99"/>
        <v>3565454.0114403609</v>
      </c>
      <c r="S476" s="29">
        <f t="shared" ca="1" si="100"/>
        <v>8494572.0057947226</v>
      </c>
    </row>
    <row r="477" spans="2:19" x14ac:dyDescent="0.25">
      <c r="B477" s="12">
        <f t="shared" ref="B477:B503" ca="1" si="104">ROUNDUP(MONTH(F477)/3,0)</f>
        <v>1</v>
      </c>
      <c r="C477" s="28">
        <f t="shared" ref="C477:C503" ca="1" si="105">YEAR(F477)-YEAR(TODAY())</f>
        <v>39</v>
      </c>
      <c r="D477" s="45">
        <f t="shared" ref="D477:D503" ca="1" si="106">D476*(1+($C$5/12))</f>
        <v>235.98941226750088</v>
      </c>
      <c r="E477" s="46">
        <f t="shared" ref="E477:E503" ca="1" si="107">(G477*12)/D477</f>
        <v>2.3767802043696756E-2</v>
      </c>
      <c r="F477" s="21">
        <f t="shared" ref="F477:F503" ca="1" si="108">EDATE(F476,1)</f>
        <v>60268</v>
      </c>
      <c r="G477" s="47">
        <f t="shared" ref="G477:G503" ca="1" si="109">($H$5/12)*G476+G476</f>
        <v>0.46741246959852534</v>
      </c>
      <c r="H477" s="29">
        <f t="shared" si="101"/>
        <v>3000</v>
      </c>
      <c r="I477" s="42">
        <f t="shared" ref="I477:I503" ca="1" si="110">I476+H477/D477</f>
        <v>15146.427123353649</v>
      </c>
      <c r="J477" s="42">
        <f t="shared" ref="J477:J503" ca="1" si="111">J476+(H477+G476*J476)/D477</f>
        <v>36139.623080204423</v>
      </c>
      <c r="L477" s="29">
        <f t="shared" ca="1" si="102"/>
        <v>7079.6289073208172</v>
      </c>
      <c r="M477" s="29">
        <f t="shared" ca="1" si="103"/>
        <v>16892.110474278215</v>
      </c>
      <c r="O477" s="29">
        <f ca="1">SUM($L$12:L477)</f>
        <v>2084064.3455039051</v>
      </c>
      <c r="P477" s="29">
        <f ca="1">SUM($M$12:M477)</f>
        <v>3729453.7084573261</v>
      </c>
      <c r="R477" s="29">
        <f t="shared" ref="R477:R503" ca="1" si="112">I477*D477</f>
        <v>3574396.4347927617</v>
      </c>
      <c r="S477" s="29">
        <f t="shared" ref="S477:S503" ca="1" si="113">J477*D477</f>
        <v>8528568.4102664515</v>
      </c>
    </row>
    <row r="478" spans="2:19" x14ac:dyDescent="0.25">
      <c r="B478" s="12">
        <f t="shared" ca="1" si="104"/>
        <v>1</v>
      </c>
      <c r="C478" s="28">
        <f t="shared" ca="1" si="105"/>
        <v>39</v>
      </c>
      <c r="D478" s="45">
        <f t="shared" ca="1" si="106"/>
        <v>236.38272795461339</v>
      </c>
      <c r="E478" s="46">
        <f t="shared" ca="1" si="107"/>
        <v>2.3748028497903334E-2</v>
      </c>
      <c r="F478" s="21">
        <f t="shared" ca="1" si="108"/>
        <v>60299</v>
      </c>
      <c r="G478" s="47">
        <f t="shared" ca="1" si="109"/>
        <v>0.46780197998985745</v>
      </c>
      <c r="H478" s="29">
        <f t="shared" si="101"/>
        <v>3000</v>
      </c>
      <c r="I478" s="42">
        <f t="shared" ca="1" si="110"/>
        <v>15159.118405944211</v>
      </c>
      <c r="J478" s="42">
        <f t="shared" ca="1" si="111"/>
        <v>36223.775211988337</v>
      </c>
      <c r="L478" s="29">
        <f t="shared" ca="1" si="102"/>
        <v>7091.4656052013934</v>
      </c>
      <c r="M478" s="29">
        <f t="shared" ca="1" si="103"/>
        <v>16945.553766875662</v>
      </c>
      <c r="O478" s="29">
        <f ca="1">SUM($L$12:L478)</f>
        <v>2091155.8111091065</v>
      </c>
      <c r="P478" s="29">
        <f ca="1">SUM($M$12:M478)</f>
        <v>3746399.2622242016</v>
      </c>
      <c r="R478" s="29">
        <f t="shared" ca="1" si="112"/>
        <v>3583353.762184083</v>
      </c>
      <c r="S478" s="29">
        <f t="shared" ca="1" si="113"/>
        <v>8562674.8014245071</v>
      </c>
    </row>
    <row r="479" spans="2:19" x14ac:dyDescent="0.25">
      <c r="B479" s="12">
        <f t="shared" ca="1" si="104"/>
        <v>1</v>
      </c>
      <c r="C479" s="28">
        <f t="shared" ca="1" si="105"/>
        <v>39</v>
      </c>
      <c r="D479" s="45">
        <f t="shared" ca="1" si="106"/>
        <v>236.77669916787107</v>
      </c>
      <c r="E479" s="46">
        <f t="shared" ca="1" si="107"/>
        <v>2.3728271402647175E-2</v>
      </c>
      <c r="F479" s="21">
        <f t="shared" ca="1" si="108"/>
        <v>60327</v>
      </c>
      <c r="G479" s="47">
        <f t="shared" ca="1" si="109"/>
        <v>0.46819181497318235</v>
      </c>
      <c r="H479" s="29">
        <f t="shared" si="101"/>
        <v>3000</v>
      </c>
      <c r="I479" s="42">
        <f t="shared" ca="1" si="110"/>
        <v>15171.788571592027</v>
      </c>
      <c r="J479" s="42">
        <f t="shared" ca="1" si="111"/>
        <v>36308.013035376251</v>
      </c>
      <c r="L479" s="29">
        <f t="shared" ca="1" si="102"/>
        <v>7103.3072277230567</v>
      </c>
      <c r="M479" s="29">
        <f t="shared" ca="1" si="103"/>
        <v>16999.114521102769</v>
      </c>
      <c r="O479" s="29">
        <f ca="1">SUM($L$12:L479)</f>
        <v>2098259.1183368294</v>
      </c>
      <c r="P479" s="29">
        <f ca="1">SUM($M$12:M479)</f>
        <v>3763398.3767453046</v>
      </c>
      <c r="R479" s="29">
        <f t="shared" ca="1" si="112"/>
        <v>3592326.0184543896</v>
      </c>
      <c r="S479" s="29">
        <f t="shared" ca="1" si="113"/>
        <v>8596891.4798604231</v>
      </c>
    </row>
    <row r="480" spans="2:19" x14ac:dyDescent="0.25">
      <c r="B480" s="12">
        <f t="shared" ca="1" si="104"/>
        <v>2</v>
      </c>
      <c r="C480" s="28">
        <f t="shared" ca="1" si="105"/>
        <v>39</v>
      </c>
      <c r="D480" s="45">
        <f t="shared" ca="1" si="106"/>
        <v>237.17132699981752</v>
      </c>
      <c r="E480" s="46">
        <f t="shared" ca="1" si="107"/>
        <v>2.3708530744242309E-2</v>
      </c>
      <c r="F480" s="21">
        <f t="shared" ca="1" si="108"/>
        <v>60358</v>
      </c>
      <c r="G480" s="47">
        <f t="shared" ca="1" si="109"/>
        <v>0.46858197481899333</v>
      </c>
      <c r="H480" s="29">
        <f t="shared" si="101"/>
        <v>3000</v>
      </c>
      <c r="I480" s="42">
        <f t="shared" ca="1" si="110"/>
        <v>15184.437655433441</v>
      </c>
      <c r="J480" s="42">
        <f t="shared" ca="1" si="111"/>
        <v>36392.336527486739</v>
      </c>
      <c r="L480" s="29">
        <f t="shared" ca="1" si="102"/>
        <v>7115.1537830988873</v>
      </c>
      <c r="M480" s="29">
        <f t="shared" ca="1" si="103"/>
        <v>17052.792918327123</v>
      </c>
      <c r="O480" s="29">
        <f ca="1">SUM($L$12:L480)</f>
        <v>2105374.2721199282</v>
      </c>
      <c r="P480" s="29">
        <f ca="1">SUM($M$12:M480)</f>
        <v>3780451.1696636318</v>
      </c>
      <c r="R480" s="29">
        <f t="shared" ca="1" si="112"/>
        <v>3601313.228485147</v>
      </c>
      <c r="S480" s="29">
        <f t="shared" ca="1" si="113"/>
        <v>8631218.7468479611</v>
      </c>
    </row>
    <row r="481" spans="2:19" x14ac:dyDescent="0.25">
      <c r="B481" s="12">
        <f t="shared" ca="1" si="104"/>
        <v>2</v>
      </c>
      <c r="C481" s="28">
        <f t="shared" ca="1" si="105"/>
        <v>39</v>
      </c>
      <c r="D481" s="45">
        <f t="shared" ca="1" si="106"/>
        <v>237.56661254481722</v>
      </c>
      <c r="E481" s="46">
        <f t="shared" ca="1" si="107"/>
        <v>2.3688806509014157E-2</v>
      </c>
      <c r="F481" s="21">
        <f t="shared" ca="1" si="108"/>
        <v>60388</v>
      </c>
      <c r="G481" s="47">
        <f t="shared" ca="1" si="109"/>
        <v>0.46897245979800917</v>
      </c>
      <c r="H481" s="29">
        <f t="shared" si="101"/>
        <v>3000</v>
      </c>
      <c r="I481" s="42">
        <f t="shared" ca="1" si="110"/>
        <v>15197.065692546334</v>
      </c>
      <c r="J481" s="42">
        <f t="shared" ca="1" si="111"/>
        <v>36476.745665216666</v>
      </c>
      <c r="L481" s="29">
        <f t="shared" ca="1" si="102"/>
        <v>7127.0052795453894</v>
      </c>
      <c r="M481" s="29">
        <f t="shared" ca="1" si="103"/>
        <v>17106.589140043026</v>
      </c>
      <c r="O481" s="29">
        <f ca="1">SUM($L$12:L481)</f>
        <v>2112501.2773994734</v>
      </c>
      <c r="P481" s="29">
        <f ca="1">SUM($M$12:M481)</f>
        <v>3797557.758803675</v>
      </c>
      <c r="R481" s="29">
        <f t="shared" ca="1" si="112"/>
        <v>3610315.417199289</v>
      </c>
      <c r="S481" s="29">
        <f t="shared" ca="1" si="113"/>
        <v>8665656.9043443687</v>
      </c>
    </row>
    <row r="482" spans="2:19" x14ac:dyDescent="0.25">
      <c r="B482" s="12">
        <f t="shared" ca="1" si="104"/>
        <v>2</v>
      </c>
      <c r="C482" s="28">
        <f t="shared" ca="1" si="105"/>
        <v>39</v>
      </c>
      <c r="D482" s="45">
        <f t="shared" ca="1" si="106"/>
        <v>237.9625568990586</v>
      </c>
      <c r="E482" s="46">
        <f t="shared" ca="1" si="107"/>
        <v>2.36690986832995E-2</v>
      </c>
      <c r="F482" s="21">
        <f t="shared" ca="1" si="108"/>
        <v>60419</v>
      </c>
      <c r="G482" s="47">
        <f t="shared" ca="1" si="109"/>
        <v>0.46936327018117419</v>
      </c>
      <c r="H482" s="29">
        <f t="shared" si="101"/>
        <v>3000</v>
      </c>
      <c r="I482" s="42">
        <f t="shared" ca="1" si="110"/>
        <v>15209.67271795022</v>
      </c>
      <c r="J482" s="42">
        <f t="shared" ca="1" si="111"/>
        <v>36561.24042524134</v>
      </c>
      <c r="L482" s="29">
        <f t="shared" ca="1" si="102"/>
        <v>7138.8617252825024</v>
      </c>
      <c r="M482" s="29">
        <f t="shared" ca="1" si="103"/>
        <v>17160.503367871417</v>
      </c>
      <c r="O482" s="29">
        <f ca="1">SUM($L$12:L482)</f>
        <v>2119640.1391247557</v>
      </c>
      <c r="P482" s="29">
        <f ca="1">SUM($M$12:M482)</f>
        <v>3814718.2621715465</v>
      </c>
      <c r="R482" s="29">
        <f t="shared" ca="1" si="112"/>
        <v>3619332.6095612883</v>
      </c>
      <c r="S482" s="29">
        <f t="shared" ca="1" si="113"/>
        <v>8700206.2549916543</v>
      </c>
    </row>
    <row r="483" spans="2:19" x14ac:dyDescent="0.25">
      <c r="B483" s="12">
        <f t="shared" ca="1" si="104"/>
        <v>3</v>
      </c>
      <c r="C483" s="28">
        <f t="shared" ca="1" si="105"/>
        <v>39</v>
      </c>
      <c r="D483" s="45">
        <f t="shared" ca="1" si="106"/>
        <v>238.35916116055705</v>
      </c>
      <c r="E483" s="46">
        <f t="shared" ca="1" si="107"/>
        <v>2.3649407253446504E-2</v>
      </c>
      <c r="F483" s="21">
        <f t="shared" ca="1" si="108"/>
        <v>60449</v>
      </c>
      <c r="G483" s="47">
        <f t="shared" ca="1" si="109"/>
        <v>0.46975440623965847</v>
      </c>
      <c r="H483" s="29">
        <f t="shared" si="101"/>
        <v>3000</v>
      </c>
      <c r="I483" s="42">
        <f t="shared" ca="1" si="110"/>
        <v>15222.258766606345</v>
      </c>
      <c r="J483" s="42">
        <f t="shared" ca="1" si="111"/>
        <v>36645.820784014679</v>
      </c>
      <c r="L483" s="29">
        <f t="shared" ca="1" si="102"/>
        <v>7150.7231285335993</v>
      </c>
      <c r="M483" s="29">
        <f t="shared" ca="1" si="103"/>
        <v>17214.53578355975</v>
      </c>
      <c r="O483" s="29">
        <f ca="1">SUM($L$12:L483)</f>
        <v>2126790.8622532892</v>
      </c>
      <c r="P483" s="29">
        <f ca="1">SUM($M$12:M483)</f>
        <v>3831932.797955106</v>
      </c>
      <c r="R483" s="29">
        <f t="shared" ca="1" si="112"/>
        <v>3628364.830577224</v>
      </c>
      <c r="S483" s="29">
        <f t="shared" ca="1" si="113"/>
        <v>8734867.1021178458</v>
      </c>
    </row>
    <row r="484" spans="2:19" x14ac:dyDescent="0.25">
      <c r="B484" s="12">
        <f t="shared" ca="1" si="104"/>
        <v>3</v>
      </c>
      <c r="C484" s="28">
        <f t="shared" ca="1" si="105"/>
        <v>39</v>
      </c>
      <c r="D484" s="45">
        <f t="shared" ca="1" si="106"/>
        <v>238.75642642915798</v>
      </c>
      <c r="E484" s="46">
        <f t="shared" ca="1" si="107"/>
        <v>2.3629732205814682E-2</v>
      </c>
      <c r="F484" s="21">
        <f t="shared" ca="1" si="108"/>
        <v>60480</v>
      </c>
      <c r="G484" s="47">
        <f t="shared" ca="1" si="109"/>
        <v>0.47014586824485821</v>
      </c>
      <c r="H484" s="29">
        <f t="shared" si="101"/>
        <v>3000</v>
      </c>
      <c r="I484" s="42">
        <f t="shared" ca="1" si="110"/>
        <v>15234.823873417785</v>
      </c>
      <c r="J484" s="42">
        <f t="shared" ca="1" si="111"/>
        <v>36730.486717769381</v>
      </c>
      <c r="L484" s="29">
        <f t="shared" ca="1" si="102"/>
        <v>7162.5894975254987</v>
      </c>
      <c r="M484" s="29">
        <f t="shared" ca="1" si="103"/>
        <v>17268.686568981917</v>
      </c>
      <c r="O484" s="29">
        <f ca="1">SUM($L$12:L484)</f>
        <v>2133953.4517508149</v>
      </c>
      <c r="P484" s="29">
        <f ca="1">SUM($M$12:M484)</f>
        <v>3849201.484524088</v>
      </c>
      <c r="R484" s="29">
        <f t="shared" ca="1" si="112"/>
        <v>3637412.105294853</v>
      </c>
      <c r="S484" s="29">
        <f t="shared" ca="1" si="113"/>
        <v>8769639.7497382704</v>
      </c>
    </row>
    <row r="485" spans="2:19" x14ac:dyDescent="0.25">
      <c r="B485" s="12">
        <f t="shared" ca="1" si="104"/>
        <v>3</v>
      </c>
      <c r="C485" s="28">
        <f t="shared" ca="1" si="105"/>
        <v>39</v>
      </c>
      <c r="D485" s="45">
        <f t="shared" ca="1" si="106"/>
        <v>239.15435380653992</v>
      </c>
      <c r="E485" s="46">
        <f t="shared" ca="1" si="107"/>
        <v>2.3610073526774904E-2</v>
      </c>
      <c r="F485" s="21">
        <f t="shared" ca="1" si="108"/>
        <v>60511</v>
      </c>
      <c r="G485" s="47">
        <f t="shared" ca="1" si="109"/>
        <v>0.47053765646839557</v>
      </c>
      <c r="H485" s="29">
        <f t="shared" si="101"/>
        <v>3000</v>
      </c>
      <c r="I485" s="42">
        <f t="shared" ca="1" si="110"/>
        <v>15247.368073229538</v>
      </c>
      <c r="J485" s="42">
        <f t="shared" ca="1" si="111"/>
        <v>36815.238202517088</v>
      </c>
      <c r="L485" s="29">
        <f t="shared" ca="1" si="102"/>
        <v>7174.460840488463</v>
      </c>
      <c r="M485" s="29">
        <f t="shared" ca="1" si="103"/>
        <v>17322.955906138137</v>
      </c>
      <c r="O485" s="29">
        <f ca="1">SUM($L$12:L485)</f>
        <v>2141127.9125913032</v>
      </c>
      <c r="P485" s="29">
        <f ca="1">SUM($M$12:M485)</f>
        <v>3866524.4404302263</v>
      </c>
      <c r="R485" s="29">
        <f t="shared" ca="1" si="112"/>
        <v>3646474.4588036779</v>
      </c>
      <c r="S485" s="29">
        <f t="shared" ca="1" si="113"/>
        <v>8804524.5025568157</v>
      </c>
    </row>
    <row r="486" spans="2:19" x14ac:dyDescent="0.25">
      <c r="B486" s="12">
        <f t="shared" ca="1" si="104"/>
        <v>4</v>
      </c>
      <c r="C486" s="28">
        <f t="shared" ca="1" si="105"/>
        <v>39</v>
      </c>
      <c r="D486" s="45">
        <f t="shared" ca="1" si="106"/>
        <v>239.5529443962175</v>
      </c>
      <c r="E486" s="46">
        <f t="shared" ca="1" si="107"/>
        <v>2.3590431202709369E-2</v>
      </c>
      <c r="F486" s="21">
        <f t="shared" ca="1" si="108"/>
        <v>60541</v>
      </c>
      <c r="G486" s="47">
        <f t="shared" ca="1" si="109"/>
        <v>0.47092977118211926</v>
      </c>
      <c r="H486" s="29">
        <f t="shared" si="101"/>
        <v>3000</v>
      </c>
      <c r="I486" s="42">
        <f t="shared" ca="1" si="110"/>
        <v>15259.891400828627</v>
      </c>
      <c r="J486" s="42">
        <f t="shared" ca="1" si="111"/>
        <v>36900.075214048549</v>
      </c>
      <c r="L486" s="29">
        <f t="shared" ca="1" si="102"/>
        <v>7186.337165656214</v>
      </c>
      <c r="M486" s="29">
        <f t="shared" ca="1" si="103"/>
        <v>17377.343977154873</v>
      </c>
      <c r="O486" s="29">
        <f ca="1">SUM($L$12:L486)</f>
        <v>2148314.2497569593</v>
      </c>
      <c r="P486" s="29">
        <f ca="1">SUM($M$12:M486)</f>
        <v>3883901.784407381</v>
      </c>
      <c r="R486" s="29">
        <f t="shared" ca="1" si="112"/>
        <v>3655551.9162350176</v>
      </c>
      <c r="S486" s="29">
        <f t="shared" ca="1" si="113"/>
        <v>8839521.6659672149</v>
      </c>
    </row>
    <row r="487" spans="2:19" x14ac:dyDescent="0.25">
      <c r="B487" s="12">
        <f t="shared" ca="1" si="104"/>
        <v>4</v>
      </c>
      <c r="C487" s="28">
        <f t="shared" ca="1" si="105"/>
        <v>39</v>
      </c>
      <c r="D487" s="45">
        <f t="shared" ca="1" si="106"/>
        <v>239.95219930354455</v>
      </c>
      <c r="E487" s="46">
        <f t="shared" ca="1" si="107"/>
        <v>2.3570805220011606E-2</v>
      </c>
      <c r="F487" s="21">
        <f t="shared" ca="1" si="108"/>
        <v>60572</v>
      </c>
      <c r="G487" s="47">
        <f t="shared" ca="1" si="109"/>
        <v>0.47132221265810437</v>
      </c>
      <c r="H487" s="29">
        <f t="shared" si="101"/>
        <v>3000</v>
      </c>
      <c r="I487" s="42">
        <f t="shared" ca="1" si="110"/>
        <v>15272.393890944189</v>
      </c>
      <c r="J487" s="42">
        <f t="shared" ca="1" si="111"/>
        <v>36984.997727933813</v>
      </c>
      <c r="L487" s="29">
        <f t="shared" ca="1" si="102"/>
        <v>7198.2184812659316</v>
      </c>
      <c r="M487" s="29">
        <f t="shared" ca="1" si="103"/>
        <v>17431.850964284728</v>
      </c>
      <c r="O487" s="29">
        <f ca="1">SUM($L$12:L487)</f>
        <v>2155512.4682382252</v>
      </c>
      <c r="P487" s="29">
        <f ca="1">SUM($M$12:M487)</f>
        <v>3901333.6353716655</v>
      </c>
      <c r="R487" s="29">
        <f t="shared" ca="1" si="112"/>
        <v>3664644.5027620764</v>
      </c>
      <c r="S487" s="29">
        <f t="shared" ca="1" si="113"/>
        <v>8874631.5460543167</v>
      </c>
    </row>
    <row r="488" spans="2:19" x14ac:dyDescent="0.25">
      <c r="B488" s="12">
        <f t="shared" ca="1" si="104"/>
        <v>4</v>
      </c>
      <c r="C488" s="28">
        <f t="shared" ca="1" si="105"/>
        <v>39</v>
      </c>
      <c r="D488" s="45">
        <f t="shared" ca="1" si="106"/>
        <v>240.35211963571712</v>
      </c>
      <c r="E488" s="46">
        <f t="shared" ca="1" si="107"/>
        <v>2.3551195565086471E-2</v>
      </c>
      <c r="F488" s="21">
        <f t="shared" ca="1" si="108"/>
        <v>60602</v>
      </c>
      <c r="G488" s="47">
        <f t="shared" ca="1" si="109"/>
        <v>0.47171498116865279</v>
      </c>
      <c r="H488" s="29">
        <f t="shared" si="101"/>
        <v>3000</v>
      </c>
      <c r="I488" s="42">
        <f t="shared" ca="1" si="110"/>
        <v>15284.87557824758</v>
      </c>
      <c r="J488" s="42">
        <f t="shared" ca="1" si="111"/>
        <v>37070.005719522371</v>
      </c>
      <c r="L488" s="29">
        <f t="shared" ca="1" si="102"/>
        <v>7210.104795558258</v>
      </c>
      <c r="M488" s="29">
        <f t="shared" ca="1" si="103"/>
        <v>17486.477049906345</v>
      </c>
      <c r="O488" s="29">
        <f ca="1">SUM($L$12:L488)</f>
        <v>2162722.5730337836</v>
      </c>
      <c r="P488" s="29">
        <f ca="1">SUM($M$12:M488)</f>
        <v>3918820.1124215717</v>
      </c>
      <c r="R488" s="29">
        <f t="shared" ca="1" si="112"/>
        <v>3673752.2436000132</v>
      </c>
      <c r="S488" s="29">
        <f t="shared" ca="1" si="113"/>
        <v>8909854.4495953582</v>
      </c>
    </row>
    <row r="489" spans="2:19" x14ac:dyDescent="0.25">
      <c r="B489" s="12">
        <f t="shared" ca="1" si="104"/>
        <v>1</v>
      </c>
      <c r="C489" s="28">
        <f t="shared" ca="1" si="105"/>
        <v>40</v>
      </c>
      <c r="D489" s="45">
        <f t="shared" ca="1" si="106"/>
        <v>240.75270650177666</v>
      </c>
      <c r="E489" s="46">
        <f t="shared" ca="1" si="107"/>
        <v>2.3531602224350124E-2</v>
      </c>
      <c r="F489" s="21">
        <f t="shared" ca="1" si="108"/>
        <v>60633</v>
      </c>
      <c r="G489" s="47">
        <f t="shared" ca="1" si="109"/>
        <v>0.47210807698629331</v>
      </c>
      <c r="H489" s="29">
        <f t="shared" si="101"/>
        <v>3000</v>
      </c>
      <c r="I489" s="42">
        <f t="shared" ca="1" si="110"/>
        <v>15297.336497352462</v>
      </c>
      <c r="J489" s="42">
        <f t="shared" ca="1" si="111"/>
        <v>37155.099163943341</v>
      </c>
      <c r="L489" s="29">
        <f t="shared" ca="1" si="102"/>
        <v>7221.9961167773108</v>
      </c>
      <c r="M489" s="29">
        <f t="shared" ca="1" si="103"/>
        <v>17541.222416524324</v>
      </c>
      <c r="O489" s="29">
        <f ca="1">SUM($L$12:L489)</f>
        <v>2169944.569150561</v>
      </c>
      <c r="P489" s="29">
        <f ca="1">SUM($M$12:M489)</f>
        <v>3936361.3348380961</v>
      </c>
      <c r="R489" s="29">
        <f t="shared" ca="1" si="112"/>
        <v>3682875.1640060134</v>
      </c>
      <c r="S489" s="29">
        <f t="shared" ca="1" si="113"/>
        <v>8945190.684061259</v>
      </c>
    </row>
    <row r="490" spans="2:19" x14ac:dyDescent="0.25">
      <c r="B490" s="12">
        <f t="shared" ca="1" si="104"/>
        <v>1</v>
      </c>
      <c r="C490" s="28">
        <f t="shared" ca="1" si="105"/>
        <v>40</v>
      </c>
      <c r="D490" s="45">
        <f t="shared" ca="1" si="106"/>
        <v>241.15396101261297</v>
      </c>
      <c r="E490" s="46">
        <f t="shared" ca="1" si="107"/>
        <v>2.3512025184230033E-2</v>
      </c>
      <c r="F490" s="21">
        <f t="shared" ca="1" si="108"/>
        <v>60664</v>
      </c>
      <c r="G490" s="47">
        <f t="shared" ca="1" si="109"/>
        <v>0.47250150038378191</v>
      </c>
      <c r="H490" s="29">
        <f t="shared" si="101"/>
        <v>3000</v>
      </c>
      <c r="I490" s="42">
        <f t="shared" ca="1" si="110"/>
        <v>15309.776682814907</v>
      </c>
      <c r="J490" s="42">
        <f t="shared" ca="1" si="111"/>
        <v>37240.278036105636</v>
      </c>
      <c r="L490" s="29">
        <f t="shared" ca="1" si="102"/>
        <v>7233.8924531706834</v>
      </c>
      <c r="M490" s="29">
        <f t="shared" ca="1" si="103"/>
        <v>17596.087246769112</v>
      </c>
      <c r="O490" s="29">
        <f ca="1">SUM($L$12:L490)</f>
        <v>2177178.4616037318</v>
      </c>
      <c r="P490" s="29">
        <f ca="1">SUM($M$12:M490)</f>
        <v>3953957.4220848652</v>
      </c>
      <c r="R490" s="29">
        <f t="shared" ca="1" si="112"/>
        <v>3692013.2892793571</v>
      </c>
      <c r="S490" s="29">
        <f t="shared" ca="1" si="113"/>
        <v>8980640.557617886</v>
      </c>
    </row>
    <row r="491" spans="2:19" x14ac:dyDescent="0.25">
      <c r="B491" s="12">
        <f t="shared" ca="1" si="104"/>
        <v>1</v>
      </c>
      <c r="C491" s="28">
        <f t="shared" ca="1" si="105"/>
        <v>40</v>
      </c>
      <c r="D491" s="45">
        <f t="shared" ca="1" si="106"/>
        <v>241.55588428096732</v>
      </c>
      <c r="E491" s="46">
        <f t="shared" ca="1" si="107"/>
        <v>2.3492464431164945E-2</v>
      </c>
      <c r="F491" s="21">
        <f t="shared" ca="1" si="108"/>
        <v>60692</v>
      </c>
      <c r="G491" s="47">
        <f t="shared" ca="1" si="109"/>
        <v>0.47289525163410173</v>
      </c>
      <c r="H491" s="29">
        <f t="shared" si="101"/>
        <v>3000</v>
      </c>
      <c r="I491" s="42">
        <f t="shared" ca="1" si="110"/>
        <v>15322.196169133487</v>
      </c>
      <c r="J491" s="42">
        <f t="shared" ca="1" si="111"/>
        <v>37325.542310698147</v>
      </c>
      <c r="L491" s="29">
        <f t="shared" ca="1" si="102"/>
        <v>7245.7938129894501</v>
      </c>
      <c r="M491" s="29">
        <f t="shared" ca="1" si="103"/>
        <v>17651.071723396912</v>
      </c>
      <c r="O491" s="29">
        <f ca="1">SUM($L$12:L491)</f>
        <v>2184424.2554167211</v>
      </c>
      <c r="P491" s="29">
        <f ca="1">SUM($M$12:M491)</f>
        <v>3971608.4938082621</v>
      </c>
      <c r="R491" s="29">
        <f t="shared" ca="1" si="112"/>
        <v>3701166.6447614892</v>
      </c>
      <c r="S491" s="29">
        <f t="shared" ca="1" si="113"/>
        <v>9016204.3791273516</v>
      </c>
    </row>
    <row r="492" spans="2:19" x14ac:dyDescent="0.25">
      <c r="B492" s="12">
        <f t="shared" ca="1" si="104"/>
        <v>2</v>
      </c>
      <c r="C492" s="28">
        <f t="shared" ca="1" si="105"/>
        <v>40</v>
      </c>
      <c r="D492" s="45">
        <f t="shared" ca="1" si="106"/>
        <v>241.95847742143562</v>
      </c>
      <c r="E492" s="46">
        <f t="shared" ca="1" si="107"/>
        <v>2.3472919951604908E-2</v>
      </c>
      <c r="F492" s="21">
        <f t="shared" ca="1" si="108"/>
        <v>60723</v>
      </c>
      <c r="G492" s="47">
        <f t="shared" ca="1" si="109"/>
        <v>0.4732893310104635</v>
      </c>
      <c r="H492" s="29">
        <f t="shared" si="101"/>
        <v>3000</v>
      </c>
      <c r="I492" s="42">
        <f t="shared" ca="1" si="110"/>
        <v>15334.594990749374</v>
      </c>
      <c r="J492" s="42">
        <f t="shared" ca="1" si="111"/>
        <v>37410.891962189911</v>
      </c>
      <c r="L492" s="29">
        <f t="shared" ca="1" si="102"/>
        <v>7257.7002044881756</v>
      </c>
      <c r="M492" s="29">
        <f t="shared" ca="1" si="103"/>
        <v>17706.176029289589</v>
      </c>
      <c r="O492" s="29">
        <f ca="1">SUM($L$12:L492)</f>
        <v>2191681.9556212095</v>
      </c>
      <c r="P492" s="29">
        <f ca="1">SUM($M$12:M492)</f>
        <v>3989314.6698375517</v>
      </c>
      <c r="R492" s="29">
        <f t="shared" ca="1" si="112"/>
        <v>3710335.2558360919</v>
      </c>
      <c r="S492" s="29">
        <f t="shared" ca="1" si="113"/>
        <v>9051882.4581492953</v>
      </c>
    </row>
    <row r="493" spans="2:19" x14ac:dyDescent="0.25">
      <c r="B493" s="12">
        <f t="shared" ca="1" si="104"/>
        <v>2</v>
      </c>
      <c r="C493" s="28">
        <f t="shared" ca="1" si="105"/>
        <v>40</v>
      </c>
      <c r="D493" s="45">
        <f t="shared" ca="1" si="106"/>
        <v>242.36174155047135</v>
      </c>
      <c r="E493" s="46">
        <f t="shared" ca="1" si="107"/>
        <v>2.3453391732011226E-2</v>
      </c>
      <c r="F493" s="21">
        <f t="shared" ca="1" si="108"/>
        <v>60753</v>
      </c>
      <c r="G493" s="47">
        <f t="shared" ca="1" si="109"/>
        <v>0.47368373878630554</v>
      </c>
      <c r="H493" s="29">
        <f t="shared" si="101"/>
        <v>3000</v>
      </c>
      <c r="I493" s="42">
        <f t="shared" ca="1" si="110"/>
        <v>15346.973182046433</v>
      </c>
      <c r="J493" s="42">
        <f t="shared" ca="1" si="111"/>
        <v>37496.326964830281</v>
      </c>
      <c r="L493" s="29">
        <f t="shared" ca="1" si="102"/>
        <v>7269.611635924919</v>
      </c>
      <c r="M493" s="29">
        <f t="shared" ca="1" si="103"/>
        <v>17761.400347454572</v>
      </c>
      <c r="O493" s="29">
        <f ca="1">SUM($L$12:L493)</f>
        <v>2198951.5672571342</v>
      </c>
      <c r="P493" s="29">
        <f ca="1">SUM($M$12:M493)</f>
        <v>4007076.0701850061</v>
      </c>
      <c r="R493" s="29">
        <f t="shared" ca="1" si="112"/>
        <v>3719519.1479291525</v>
      </c>
      <c r="S493" s="29">
        <f t="shared" ca="1" si="113"/>
        <v>9087675.1049421672</v>
      </c>
    </row>
    <row r="494" spans="2:19" x14ac:dyDescent="0.25">
      <c r="B494" s="12">
        <f t="shared" ca="1" si="104"/>
        <v>2</v>
      </c>
      <c r="C494" s="28">
        <f t="shared" ca="1" si="105"/>
        <v>40</v>
      </c>
      <c r="D494" s="45">
        <f t="shared" ca="1" si="106"/>
        <v>242.76567778638881</v>
      </c>
      <c r="E494" s="46">
        <f t="shared" ca="1" si="107"/>
        <v>2.3433879758856472E-2</v>
      </c>
      <c r="F494" s="21">
        <f t="shared" ca="1" si="108"/>
        <v>60784</v>
      </c>
      <c r="G494" s="47">
        <f t="shared" ca="1" si="109"/>
        <v>0.47407847523529412</v>
      </c>
      <c r="H494" s="29">
        <f t="shared" si="101"/>
        <v>3000</v>
      </c>
      <c r="I494" s="42">
        <f t="shared" ca="1" si="110"/>
        <v>15359.330777351317</v>
      </c>
      <c r="J494" s="42">
        <f t="shared" ca="1" si="111"/>
        <v>37581.847292649123</v>
      </c>
      <c r="L494" s="29">
        <f t="shared" ca="1" si="102"/>
        <v>7281.5281155612374</v>
      </c>
      <c r="M494" s="29">
        <f t="shared" ca="1" si="103"/>
        <v>17816.744861024763</v>
      </c>
      <c r="O494" s="29">
        <f ca="1">SUM($L$12:L494)</f>
        <v>2206233.0953726955</v>
      </c>
      <c r="P494" s="29">
        <f ca="1">SUM($M$12:M494)</f>
        <v>4024892.815046031</v>
      </c>
      <c r="R494" s="29">
        <f t="shared" ca="1" si="112"/>
        <v>3728718.3465090347</v>
      </c>
      <c r="S494" s="29">
        <f t="shared" ca="1" si="113"/>
        <v>9123582.6304645259</v>
      </c>
    </row>
    <row r="495" spans="2:19" x14ac:dyDescent="0.25">
      <c r="B495" s="12">
        <f t="shared" ca="1" si="104"/>
        <v>3</v>
      </c>
      <c r="C495" s="28">
        <f t="shared" ca="1" si="105"/>
        <v>40</v>
      </c>
      <c r="D495" s="45">
        <f t="shared" ca="1" si="106"/>
        <v>243.17028724936614</v>
      </c>
      <c r="E495" s="46">
        <f t="shared" ca="1" si="107"/>
        <v>2.341438401862448E-2</v>
      </c>
      <c r="F495" s="21">
        <f t="shared" ca="1" si="108"/>
        <v>60814</v>
      </c>
      <c r="G495" s="47">
        <f t="shared" ca="1" si="109"/>
        <v>0.47447354063132352</v>
      </c>
      <c r="H495" s="29">
        <f t="shared" si="101"/>
        <v>3000</v>
      </c>
      <c r="I495" s="42">
        <f t="shared" ca="1" si="110"/>
        <v>15371.667810933564</v>
      </c>
      <c r="J495" s="42">
        <f t="shared" ca="1" si="111"/>
        <v>37667.452919456962</v>
      </c>
      <c r="L495" s="29">
        <f t="shared" ca="1" si="102"/>
        <v>7293.4496516621948</v>
      </c>
      <c r="M495" s="29">
        <f t="shared" ca="1" si="103"/>
        <v>17872.20975325843</v>
      </c>
      <c r="O495" s="29">
        <f ca="1">SUM($L$12:L495)</f>
        <v>2213526.5450243577</v>
      </c>
      <c r="P495" s="29">
        <f ca="1">SUM($M$12:M495)</f>
        <v>4042765.0247992896</v>
      </c>
      <c r="R495" s="29">
        <f t="shared" ca="1" si="112"/>
        <v>3737932.87708655</v>
      </c>
      <c r="S495" s="29">
        <f t="shared" ca="1" si="113"/>
        <v>9159605.3463763241</v>
      </c>
    </row>
    <row r="496" spans="2:19" x14ac:dyDescent="0.25">
      <c r="B496" s="12">
        <f t="shared" ca="1" si="104"/>
        <v>3</v>
      </c>
      <c r="C496" s="28">
        <f t="shared" ca="1" si="105"/>
        <v>40</v>
      </c>
      <c r="D496" s="45">
        <f t="shared" ca="1" si="106"/>
        <v>243.57557106144841</v>
      </c>
      <c r="E496" s="46">
        <f t="shared" ca="1" si="107"/>
        <v>2.3394904497810318E-2</v>
      </c>
      <c r="F496" s="21">
        <f t="shared" ca="1" si="108"/>
        <v>60845</v>
      </c>
      <c r="G496" s="47">
        <f t="shared" ca="1" si="109"/>
        <v>0.47486893524851631</v>
      </c>
      <c r="H496" s="29">
        <f t="shared" si="101"/>
        <v>3000</v>
      </c>
      <c r="I496" s="42">
        <f t="shared" ca="1" si="110"/>
        <v>15383.98431700569</v>
      </c>
      <c r="J496" s="42">
        <f t="shared" ca="1" si="111"/>
        <v>37753.143818845194</v>
      </c>
      <c r="L496" s="29">
        <f t="shared" ca="1" si="102"/>
        <v>7305.3762524963659</v>
      </c>
      <c r="M496" s="29">
        <f t="shared" ca="1" si="103"/>
        <v>17927.795207539122</v>
      </c>
      <c r="O496" s="29">
        <f ca="1">SUM($L$12:L496)</f>
        <v>2220831.9212768539</v>
      </c>
      <c r="P496" s="29">
        <f ca="1">SUM($M$12:M496)</f>
        <v>4060692.8200068288</v>
      </c>
      <c r="R496" s="29">
        <f t="shared" ca="1" si="112"/>
        <v>3747162.7652150276</v>
      </c>
      <c r="S496" s="29">
        <f t="shared" ca="1" si="113"/>
        <v>9195743.5650402103</v>
      </c>
    </row>
    <row r="497" spans="2:19" x14ac:dyDescent="0.25">
      <c r="B497" s="12">
        <f t="shared" ca="1" si="104"/>
        <v>3</v>
      </c>
      <c r="C497" s="28">
        <f t="shared" ca="1" si="105"/>
        <v>40</v>
      </c>
      <c r="D497" s="45">
        <f t="shared" ca="1" si="106"/>
        <v>243.98153034655084</v>
      </c>
      <c r="E497" s="46">
        <f t="shared" ca="1" si="107"/>
        <v>2.3375441182920287E-2</v>
      </c>
      <c r="F497" s="21">
        <f t="shared" ca="1" si="108"/>
        <v>60876</v>
      </c>
      <c r="G497" s="47">
        <f t="shared" ca="1" si="109"/>
        <v>0.47526465936122342</v>
      </c>
      <c r="H497" s="29">
        <f t="shared" si="101"/>
        <v>3000</v>
      </c>
      <c r="I497" s="42">
        <f t="shared" ca="1" si="110"/>
        <v>15396.280329723288</v>
      </c>
      <c r="J497" s="42">
        <f t="shared" ca="1" si="111"/>
        <v>37838.919964186251</v>
      </c>
      <c r="L497" s="29">
        <f t="shared" ca="1" si="102"/>
        <v>7317.3079263358431</v>
      </c>
      <c r="M497" s="29">
        <f t="shared" ca="1" si="103"/>
        <v>17983.501407375574</v>
      </c>
      <c r="O497" s="29">
        <f ca="1">SUM($L$12:L497)</f>
        <v>2228149.2292031897</v>
      </c>
      <c r="P497" s="29">
        <f ca="1">SUM($M$12:M497)</f>
        <v>4078676.3214142043</v>
      </c>
      <c r="R497" s="29">
        <f t="shared" ca="1" si="112"/>
        <v>3756408.0364903859</v>
      </c>
      <c r="S497" s="29">
        <f t="shared" ca="1" si="113"/>
        <v>9231997.599522816</v>
      </c>
    </row>
    <row r="498" spans="2:19" x14ac:dyDescent="0.25">
      <c r="B498" s="12">
        <f t="shared" ca="1" si="104"/>
        <v>4</v>
      </c>
      <c r="C498" s="28">
        <f t="shared" ca="1" si="105"/>
        <v>40</v>
      </c>
      <c r="D498" s="45">
        <f t="shared" ca="1" si="106"/>
        <v>244.38816623046176</v>
      </c>
      <c r="E498" s="46">
        <f t="shared" ca="1" si="107"/>
        <v>2.3355994060471934E-2</v>
      </c>
      <c r="F498" s="21">
        <f t="shared" ca="1" si="108"/>
        <v>60906</v>
      </c>
      <c r="G498" s="47">
        <f t="shared" ca="1" si="109"/>
        <v>0.47566071324402442</v>
      </c>
      <c r="H498" s="29">
        <f t="shared" si="101"/>
        <v>3000</v>
      </c>
      <c r="I498" s="42">
        <f t="shared" ca="1" si="110"/>
        <v>15408.555883185116</v>
      </c>
      <c r="J498" s="42">
        <f t="shared" ca="1" si="111"/>
        <v>37924.781328633777</v>
      </c>
      <c r="L498" s="29">
        <f t="shared" ca="1" si="102"/>
        <v>7329.2446814562409</v>
      </c>
      <c r="M498" s="29">
        <f t="shared" ca="1" si="103"/>
        <v>18039.328536401601</v>
      </c>
      <c r="O498" s="29">
        <f ca="1">SUM($L$12:L498)</f>
        <v>2235478.4738846458</v>
      </c>
      <c r="P498" s="29">
        <f ca="1">SUM($M$12:M498)</f>
        <v>4096715.6499506058</v>
      </c>
      <c r="R498" s="29">
        <f t="shared" ca="1" si="112"/>
        <v>3765668.7165512037</v>
      </c>
      <c r="S498" s="29">
        <f t="shared" ca="1" si="113"/>
        <v>9268367.7635960635</v>
      </c>
    </row>
    <row r="499" spans="2:19" x14ac:dyDescent="0.25">
      <c r="B499" s="12">
        <f t="shared" ca="1" si="104"/>
        <v>4</v>
      </c>
      <c r="C499" s="28">
        <f t="shared" ca="1" si="105"/>
        <v>40</v>
      </c>
      <c r="D499" s="45">
        <f t="shared" ca="1" si="106"/>
        <v>244.79547984084587</v>
      </c>
      <c r="E499" s="46">
        <f t="shared" ca="1" si="107"/>
        <v>2.3336563116994006E-2</v>
      </c>
      <c r="F499" s="21">
        <f t="shared" ca="1" si="108"/>
        <v>60937</v>
      </c>
      <c r="G499" s="47">
        <f t="shared" ca="1" si="109"/>
        <v>0.47605709717172778</v>
      </c>
      <c r="H499" s="29">
        <f t="shared" si="101"/>
        <v>3000</v>
      </c>
      <c r="I499" s="42">
        <f t="shared" ca="1" si="110"/>
        <v>15420.811011433196</v>
      </c>
      <c r="J499" s="42">
        <f t="shared" ca="1" si="111"/>
        <v>38010.727885122811</v>
      </c>
      <c r="L499" s="29">
        <f t="shared" ca="1" si="102"/>
        <v>7341.1865261367029</v>
      </c>
      <c r="M499" s="29">
        <f t="shared" ca="1" si="103"/>
        <v>18095.276778376014</v>
      </c>
      <c r="O499" s="29">
        <f ca="1">SUM($L$12:L499)</f>
        <v>2242819.6604107823</v>
      </c>
      <c r="P499" s="29">
        <f ca="1">SUM($M$12:M499)</f>
        <v>4114810.926728982</v>
      </c>
      <c r="R499" s="29">
        <f t="shared" ca="1" si="112"/>
        <v>3774944.8310787887</v>
      </c>
      <c r="S499" s="29">
        <f t="shared" ca="1" si="113"/>
        <v>9304854.3717384599</v>
      </c>
    </row>
    <row r="500" spans="2:19" x14ac:dyDescent="0.25">
      <c r="B500" s="12">
        <f t="shared" ca="1" si="104"/>
        <v>4</v>
      </c>
      <c r="C500" s="28">
        <f t="shared" ca="1" si="105"/>
        <v>40</v>
      </c>
      <c r="D500" s="45">
        <f t="shared" ca="1" si="106"/>
        <v>245.2034723072473</v>
      </c>
      <c r="E500" s="46">
        <f t="shared" ca="1" si="107"/>
        <v>2.3317148339026456E-2</v>
      </c>
      <c r="F500" s="21">
        <f t="shared" ca="1" si="108"/>
        <v>60967</v>
      </c>
      <c r="G500" s="47">
        <f t="shared" ca="1" si="109"/>
        <v>0.47645381141937088</v>
      </c>
      <c r="H500" s="29">
        <f t="shared" si="101"/>
        <v>3000</v>
      </c>
      <c r="I500" s="42">
        <f t="shared" ca="1" si="110"/>
        <v>15433.045748452911</v>
      </c>
      <c r="J500" s="42">
        <f t="shared" ca="1" si="111"/>
        <v>38096.759606369982</v>
      </c>
      <c r="L500" s="29">
        <f t="shared" ca="1" si="102"/>
        <v>7353.1334686599066</v>
      </c>
      <c r="M500" s="29">
        <f t="shared" ca="1" si="103"/>
        <v>18151.34631718251</v>
      </c>
      <c r="O500" s="29">
        <f ca="1">SUM($L$12:L500)</f>
        <v>2250172.7938794424</v>
      </c>
      <c r="P500" s="29">
        <f ca="1">SUM($M$12:M500)</f>
        <v>4132962.2730461643</v>
      </c>
      <c r="R500" s="29">
        <f t="shared" ca="1" si="112"/>
        <v>3784236.4057972538</v>
      </c>
      <c r="S500" s="29">
        <f t="shared" ca="1" si="113"/>
        <v>9341457.7391363997</v>
      </c>
    </row>
    <row r="501" spans="2:19" x14ac:dyDescent="0.25">
      <c r="B501" s="12">
        <f t="shared" ca="1" si="104"/>
        <v>1</v>
      </c>
      <c r="C501" s="28">
        <f t="shared" ca="1" si="105"/>
        <v>41</v>
      </c>
      <c r="D501" s="45">
        <f t="shared" ca="1" si="106"/>
        <v>245.61214476109271</v>
      </c>
      <c r="E501" s="46">
        <f t="shared" ca="1" si="107"/>
        <v>2.3297749713120441E-2</v>
      </c>
      <c r="F501" s="21">
        <f t="shared" ca="1" si="108"/>
        <v>60998</v>
      </c>
      <c r="G501" s="47">
        <f t="shared" ca="1" si="109"/>
        <v>0.47685085626222035</v>
      </c>
      <c r="H501" s="29">
        <f t="shared" si="101"/>
        <v>3000</v>
      </c>
      <c r="I501" s="42">
        <f t="shared" ca="1" si="110"/>
        <v>15445.260128173091</v>
      </c>
      <c r="J501" s="42">
        <f t="shared" ca="1" si="111"/>
        <v>38182.876464873691</v>
      </c>
      <c r="L501" s="29">
        <f t="shared" ca="1" si="102"/>
        <v>7365.0855173120699</v>
      </c>
      <c r="M501" s="29">
        <f t="shared" ca="1" si="103"/>
        <v>18207.537336829599</v>
      </c>
      <c r="O501" s="29">
        <f ca="1">SUM($L$12:L501)</f>
        <v>2257537.8793967543</v>
      </c>
      <c r="P501" s="29">
        <f ca="1">SUM($M$12:M501)</f>
        <v>4151169.8103829939</v>
      </c>
      <c r="R501" s="29">
        <f t="shared" ca="1" si="112"/>
        <v>3793543.4664735827</v>
      </c>
      <c r="S501" s="29">
        <f t="shared" ca="1" si="113"/>
        <v>9378178.1816854775</v>
      </c>
    </row>
    <row r="502" spans="2:19" x14ac:dyDescent="0.25">
      <c r="B502" s="12">
        <f t="shared" ca="1" si="104"/>
        <v>1</v>
      </c>
      <c r="C502" s="28">
        <f t="shared" ca="1" si="105"/>
        <v>41</v>
      </c>
      <c r="D502" s="45">
        <f t="shared" ca="1" si="106"/>
        <v>246.02149833569453</v>
      </c>
      <c r="E502" s="46">
        <f t="shared" ca="1" si="107"/>
        <v>2.3278367225838311E-2</v>
      </c>
      <c r="F502" s="21">
        <f t="shared" ca="1" si="108"/>
        <v>61029</v>
      </c>
      <c r="G502" s="47">
        <f t="shared" ca="1" si="109"/>
        <v>0.47724823197577221</v>
      </c>
      <c r="H502" s="29">
        <f t="shared" si="101"/>
        <v>3000</v>
      </c>
      <c r="I502" s="42">
        <f t="shared" ca="1" si="110"/>
        <v>15457.454184466116</v>
      </c>
      <c r="J502" s="42">
        <f t="shared" ca="1" si="111"/>
        <v>38269.07843291427</v>
      </c>
      <c r="L502" s="29">
        <f t="shared" ca="1" si="102"/>
        <v>7377.042680382956</v>
      </c>
      <c r="M502" s="29">
        <f t="shared" ca="1" si="103"/>
        <v>18263.850021450489</v>
      </c>
      <c r="O502" s="29">
        <f ca="1">SUM($L$12:L502)</f>
        <v>2264914.922077137</v>
      </c>
      <c r="P502" s="29">
        <f ca="1">SUM($M$12:M502)</f>
        <v>4169433.6604044442</v>
      </c>
      <c r="R502" s="29">
        <f t="shared" ca="1" si="112"/>
        <v>3802866.038917705</v>
      </c>
      <c r="S502" s="29">
        <f t="shared" ca="1" si="113"/>
        <v>9415016.0159917809</v>
      </c>
    </row>
    <row r="503" spans="2:19" x14ac:dyDescent="0.25">
      <c r="B503" s="12">
        <f t="shared" ca="1" si="104"/>
        <v>1</v>
      </c>
      <c r="C503" s="28">
        <f t="shared" ca="1" si="105"/>
        <v>41</v>
      </c>
      <c r="D503" s="45">
        <f t="shared" ca="1" si="106"/>
        <v>246.43153416625404</v>
      </c>
      <c r="E503" s="46">
        <f t="shared" ca="1" si="107"/>
        <v>2.3259000863753584E-2</v>
      </c>
      <c r="F503" s="21">
        <f t="shared" ca="1" si="108"/>
        <v>61057</v>
      </c>
      <c r="G503" s="47">
        <f t="shared" ca="1" si="109"/>
        <v>0.47764593883575202</v>
      </c>
      <c r="H503" s="29">
        <f t="shared" si="101"/>
        <v>3000</v>
      </c>
      <c r="I503" s="42">
        <f t="shared" ca="1" si="110"/>
        <v>15469.627951148006</v>
      </c>
      <c r="J503" s="42">
        <f t="shared" ca="1" si="111"/>
        <v>38355.365482554211</v>
      </c>
      <c r="L503" s="29">
        <f t="shared" ca="1" si="102"/>
        <v>7389.0049661658804</v>
      </c>
      <c r="M503" s="29">
        <f t="shared" ca="1" si="103"/>
        <v>18320.284555303002</v>
      </c>
      <c r="O503" s="29">
        <f ca="1">SUM($L$12:L503)</f>
        <v>2272303.9270433029</v>
      </c>
      <c r="P503" s="29">
        <f ca="1">SUM($M$12:M503)</f>
        <v>4187753.9449597471</v>
      </c>
      <c r="R503" s="29">
        <f t="shared" ca="1" si="112"/>
        <v>3812204.1489825682</v>
      </c>
      <c r="S503" s="29">
        <f t="shared" ca="1" si="113"/>
        <v>9451971.5593732186</v>
      </c>
    </row>
    <row r="504" spans="2:19" x14ac:dyDescent="0.25">
      <c r="C504" s="28"/>
      <c r="D504" s="45"/>
      <c r="E504" s="46"/>
      <c r="F504" s="21"/>
      <c r="G504" s="47"/>
      <c r="H504" s="29"/>
      <c r="I504" s="42"/>
      <c r="J504" s="42"/>
      <c r="L504" s="29"/>
      <c r="M504" s="29"/>
      <c r="O504" s="29"/>
      <c r="P504" s="29"/>
      <c r="R504" s="29"/>
      <c r="S504" s="29"/>
    </row>
    <row r="505" spans="2:19" x14ac:dyDescent="0.25">
      <c r="C505" s="28"/>
      <c r="D505" s="45"/>
      <c r="E505" s="46"/>
      <c r="F505" s="21"/>
      <c r="G505" s="47"/>
      <c r="H505" s="29"/>
      <c r="I505" s="42"/>
      <c r="J505" s="42"/>
      <c r="L505" s="29"/>
      <c r="M505" s="29"/>
      <c r="O505" s="29"/>
      <c r="P505" s="29"/>
      <c r="R505" s="29"/>
      <c r="S505" s="29"/>
    </row>
    <row r="506" spans="2:19" x14ac:dyDescent="0.25">
      <c r="C506" s="28"/>
      <c r="D506" s="45"/>
      <c r="E506" s="46"/>
      <c r="F506" s="21"/>
      <c r="G506" s="47"/>
      <c r="H506" s="29"/>
      <c r="I506" s="42"/>
      <c r="J506" s="42"/>
      <c r="L506" s="29"/>
      <c r="M506" s="29"/>
      <c r="O506" s="29"/>
      <c r="P506" s="29"/>
      <c r="R506" s="29"/>
      <c r="S506" s="29"/>
    </row>
    <row r="507" spans="2:19" x14ac:dyDescent="0.25">
      <c r="C507" s="28"/>
      <c r="D507" s="45"/>
      <c r="E507" s="46"/>
      <c r="F507" s="21"/>
      <c r="G507" s="47"/>
      <c r="H507" s="29"/>
      <c r="I507" s="42"/>
      <c r="J507" s="42"/>
      <c r="L507" s="29"/>
      <c r="M507" s="29"/>
      <c r="O507" s="29"/>
      <c r="P507" s="29"/>
      <c r="R507" s="29"/>
      <c r="S507" s="29"/>
    </row>
    <row r="508" spans="2:19" x14ac:dyDescent="0.25">
      <c r="C508" s="28"/>
      <c r="D508" s="45"/>
      <c r="E508" s="46"/>
      <c r="F508" s="21"/>
      <c r="G508" s="47"/>
      <c r="H508" s="29"/>
      <c r="I508" s="42"/>
      <c r="J508" s="42"/>
      <c r="L508" s="29"/>
      <c r="M508" s="29"/>
      <c r="O508" s="29"/>
      <c r="P508" s="29"/>
      <c r="R508" s="29"/>
      <c r="S508" s="29"/>
    </row>
    <row r="509" spans="2:19" x14ac:dyDescent="0.25">
      <c r="C509" s="28"/>
      <c r="D509" s="45"/>
      <c r="E509" s="46"/>
      <c r="F509" s="21"/>
      <c r="G509" s="47"/>
      <c r="H509" s="29"/>
      <c r="I509" s="42"/>
      <c r="J509" s="42"/>
      <c r="L509" s="29"/>
      <c r="M509" s="29"/>
      <c r="O509" s="29"/>
      <c r="P509" s="29"/>
      <c r="R509" s="29"/>
      <c r="S509" s="29"/>
    </row>
    <row r="510" spans="2:19" x14ac:dyDescent="0.25">
      <c r="C510" s="28"/>
      <c r="D510" s="45"/>
      <c r="E510" s="46"/>
      <c r="F510" s="21"/>
      <c r="G510" s="47"/>
      <c r="H510" s="29"/>
      <c r="I510" s="42"/>
      <c r="J510" s="42"/>
      <c r="L510" s="29"/>
      <c r="M510" s="29"/>
      <c r="O510" s="29"/>
      <c r="P510" s="29"/>
      <c r="R510" s="29"/>
      <c r="S510" s="29"/>
    </row>
    <row r="511" spans="2:19" x14ac:dyDescent="0.25">
      <c r="C511" s="28"/>
      <c r="D511" s="45"/>
      <c r="E511" s="46"/>
      <c r="F511" s="21"/>
      <c r="G511" s="47"/>
      <c r="H511" s="29"/>
      <c r="I511" s="42"/>
      <c r="J511" s="42"/>
      <c r="L511" s="29"/>
      <c r="M511" s="29"/>
      <c r="O511" s="29"/>
      <c r="P511" s="29"/>
      <c r="R511" s="29"/>
      <c r="S511" s="29"/>
    </row>
    <row r="512" spans="2:19" x14ac:dyDescent="0.25">
      <c r="C512" s="28"/>
      <c r="D512" s="45"/>
      <c r="E512" s="46"/>
      <c r="F512" s="21"/>
      <c r="G512" s="47"/>
      <c r="H512" s="29"/>
      <c r="I512" s="42"/>
      <c r="J512" s="42"/>
      <c r="L512" s="29"/>
      <c r="M512" s="29"/>
      <c r="O512" s="29"/>
      <c r="P512" s="29"/>
      <c r="R512" s="29"/>
      <c r="S512" s="29"/>
    </row>
    <row r="513" spans="3:19" x14ac:dyDescent="0.25">
      <c r="C513" s="28"/>
      <c r="D513" s="45"/>
      <c r="E513" s="46"/>
      <c r="F513" s="21"/>
      <c r="G513" s="47"/>
      <c r="H513" s="29"/>
      <c r="I513" s="42"/>
      <c r="J513" s="42"/>
      <c r="L513" s="29"/>
      <c r="M513" s="29"/>
      <c r="O513" s="29"/>
      <c r="P513" s="29"/>
      <c r="R513" s="29"/>
      <c r="S513" s="29"/>
    </row>
    <row r="514" spans="3:19" x14ac:dyDescent="0.25">
      <c r="C514" s="28"/>
      <c r="D514" s="45"/>
      <c r="E514" s="46"/>
      <c r="F514" s="21"/>
      <c r="G514" s="47"/>
      <c r="H514" s="29"/>
      <c r="I514" s="42"/>
      <c r="J514" s="42"/>
      <c r="L514" s="29"/>
      <c r="M514" s="29"/>
      <c r="O514" s="29"/>
      <c r="P514" s="29"/>
      <c r="R514" s="29"/>
      <c r="S514" s="29"/>
    </row>
    <row r="515" spans="3:19" x14ac:dyDescent="0.25">
      <c r="C515" s="28"/>
      <c r="D515" s="45"/>
      <c r="E515" s="46"/>
      <c r="F515" s="21"/>
      <c r="G515" s="47"/>
      <c r="H515" s="29"/>
      <c r="I515" s="42"/>
      <c r="J515" s="42"/>
      <c r="L515" s="29"/>
      <c r="M515" s="29"/>
      <c r="O515" s="29"/>
      <c r="P515" s="29"/>
      <c r="R515" s="29"/>
      <c r="S515" s="29"/>
    </row>
    <row r="516" spans="3:19" x14ac:dyDescent="0.25">
      <c r="C516" s="28"/>
      <c r="D516" s="45"/>
      <c r="E516" s="46"/>
      <c r="F516" s="21"/>
      <c r="G516" s="47"/>
      <c r="H516" s="29"/>
      <c r="I516" s="42"/>
      <c r="J516" s="42"/>
      <c r="L516" s="29"/>
      <c r="M516" s="29"/>
      <c r="O516" s="29"/>
      <c r="P516" s="29"/>
      <c r="R516" s="29"/>
      <c r="S516" s="29"/>
    </row>
    <row r="517" spans="3:19" x14ac:dyDescent="0.25">
      <c r="C517" s="28"/>
      <c r="D517" s="45"/>
      <c r="E517" s="46"/>
      <c r="F517" s="21"/>
      <c r="G517" s="47"/>
      <c r="H517" s="29"/>
      <c r="I517" s="42"/>
      <c r="J517" s="42"/>
      <c r="L517" s="29"/>
      <c r="M517" s="29"/>
      <c r="O517" s="29"/>
      <c r="P517" s="29"/>
      <c r="R517" s="29"/>
      <c r="S517" s="29"/>
    </row>
    <row r="518" spans="3:19" x14ac:dyDescent="0.25">
      <c r="C518" s="28"/>
      <c r="D518" s="45"/>
      <c r="E518" s="46"/>
      <c r="F518" s="21"/>
      <c r="G518" s="47"/>
      <c r="H518" s="29"/>
      <c r="I518" s="42"/>
      <c r="J518" s="42"/>
      <c r="L518" s="29"/>
      <c r="M518" s="29"/>
      <c r="O518" s="29"/>
      <c r="P518" s="29"/>
      <c r="R518" s="29"/>
      <c r="S518" s="29"/>
    </row>
    <row r="519" spans="3:19" x14ac:dyDescent="0.25">
      <c r="C519" s="28"/>
      <c r="D519" s="45"/>
      <c r="E519" s="46"/>
      <c r="F519" s="21"/>
      <c r="G519" s="47"/>
      <c r="H519" s="29"/>
      <c r="I519" s="42"/>
      <c r="J519" s="42"/>
      <c r="L519" s="29"/>
      <c r="M519" s="29"/>
      <c r="O519" s="29"/>
      <c r="P519" s="29"/>
      <c r="R519" s="29"/>
      <c r="S519" s="29"/>
    </row>
    <row r="520" spans="3:19" x14ac:dyDescent="0.25">
      <c r="C520" s="28"/>
      <c r="D520" s="45"/>
      <c r="E520" s="46"/>
      <c r="F520" s="21"/>
      <c r="G520" s="47"/>
      <c r="H520" s="29"/>
      <c r="I520" s="42"/>
      <c r="J520" s="42"/>
      <c r="L520" s="29"/>
      <c r="M520" s="29"/>
      <c r="O520" s="29"/>
      <c r="P520" s="29"/>
      <c r="R520" s="29"/>
      <c r="S520" s="29"/>
    </row>
    <row r="521" spans="3:19" x14ac:dyDescent="0.25">
      <c r="C521" s="28"/>
      <c r="D521" s="45"/>
      <c r="E521" s="46"/>
      <c r="F521" s="21"/>
      <c r="G521" s="47"/>
      <c r="H521" s="29"/>
      <c r="I521" s="42"/>
      <c r="J521" s="42"/>
      <c r="L521" s="29"/>
      <c r="M521" s="29"/>
      <c r="O521" s="29"/>
      <c r="P521" s="29"/>
      <c r="R521" s="29"/>
      <c r="S521" s="29"/>
    </row>
    <row r="522" spans="3:19" x14ac:dyDescent="0.25">
      <c r="C522" s="28"/>
      <c r="D522" s="45"/>
      <c r="E522" s="46"/>
      <c r="F522" s="21"/>
      <c r="G522" s="47"/>
      <c r="H522" s="29"/>
      <c r="I522" s="42"/>
      <c r="J522" s="42"/>
      <c r="L522" s="29"/>
      <c r="M522" s="29"/>
      <c r="O522" s="29"/>
      <c r="P522" s="29"/>
      <c r="R522" s="29"/>
      <c r="S522" s="29"/>
    </row>
    <row r="523" spans="3:19" x14ac:dyDescent="0.25">
      <c r="C523" s="28"/>
      <c r="D523" s="45"/>
      <c r="E523" s="46"/>
      <c r="F523" s="21"/>
      <c r="G523" s="47"/>
      <c r="H523" s="29"/>
      <c r="I523" s="42"/>
      <c r="J523" s="42"/>
      <c r="L523" s="29"/>
      <c r="M523" s="29"/>
      <c r="O523" s="29"/>
      <c r="P523" s="29"/>
      <c r="R523" s="29"/>
      <c r="S523" s="29"/>
    </row>
    <row r="524" spans="3:19" x14ac:dyDescent="0.25">
      <c r="C524" s="28"/>
      <c r="D524" s="45"/>
      <c r="E524" s="46"/>
      <c r="F524" s="21"/>
      <c r="G524" s="47"/>
      <c r="H524" s="29"/>
      <c r="I524" s="42"/>
      <c r="J524" s="42"/>
      <c r="L524" s="29"/>
      <c r="M524" s="29"/>
      <c r="O524" s="29"/>
      <c r="P524" s="29"/>
      <c r="R524" s="29"/>
      <c r="S524" s="29"/>
    </row>
    <row r="525" spans="3:19" x14ac:dyDescent="0.25">
      <c r="C525" s="28"/>
      <c r="D525" s="45"/>
      <c r="E525" s="46"/>
      <c r="F525" s="21"/>
      <c r="G525" s="47"/>
      <c r="H525" s="29"/>
      <c r="I525" s="42"/>
      <c r="J525" s="42"/>
      <c r="L525" s="29"/>
      <c r="M525" s="29"/>
      <c r="O525" s="29"/>
      <c r="P525" s="29"/>
      <c r="R525" s="29"/>
      <c r="S525" s="29"/>
    </row>
    <row r="526" spans="3:19" x14ac:dyDescent="0.25">
      <c r="C526" s="28"/>
      <c r="D526" s="45"/>
      <c r="E526" s="46"/>
      <c r="F526" s="21"/>
      <c r="G526" s="47"/>
      <c r="H526" s="29"/>
      <c r="I526" s="42"/>
      <c r="J526" s="42"/>
      <c r="L526" s="29"/>
      <c r="M526" s="29"/>
      <c r="O526" s="29"/>
      <c r="P526" s="29"/>
      <c r="R526" s="29"/>
      <c r="S526" s="29"/>
    </row>
    <row r="527" spans="3:19" x14ac:dyDescent="0.25">
      <c r="C527" s="28"/>
      <c r="D527" s="45"/>
      <c r="E527" s="46"/>
      <c r="F527" s="21"/>
      <c r="G527" s="47"/>
      <c r="H527" s="29"/>
      <c r="I527" s="42"/>
      <c r="J527" s="42"/>
      <c r="L527" s="29"/>
      <c r="M527" s="29"/>
      <c r="O527" s="29"/>
      <c r="P527" s="29"/>
      <c r="R527" s="29"/>
      <c r="S527" s="29"/>
    </row>
    <row r="528" spans="3:19" x14ac:dyDescent="0.25">
      <c r="C528" s="28"/>
      <c r="D528" s="45"/>
      <c r="E528" s="46"/>
      <c r="F528" s="21"/>
      <c r="G528" s="47"/>
      <c r="H528" s="29"/>
      <c r="I528" s="42"/>
      <c r="J528" s="42"/>
      <c r="L528" s="29"/>
      <c r="M528" s="29"/>
      <c r="O528" s="29"/>
      <c r="P528" s="29"/>
      <c r="R528" s="29"/>
      <c r="S528" s="29"/>
    </row>
    <row r="529" spans="3:19" x14ac:dyDescent="0.25">
      <c r="C529" s="28"/>
      <c r="D529" s="45"/>
      <c r="E529" s="46"/>
      <c r="F529" s="21"/>
      <c r="G529" s="47"/>
      <c r="H529" s="29"/>
      <c r="I529" s="42"/>
      <c r="J529" s="42"/>
      <c r="L529" s="29"/>
      <c r="M529" s="29"/>
      <c r="O529" s="29"/>
      <c r="P529" s="29"/>
      <c r="R529" s="29"/>
      <c r="S529" s="29"/>
    </row>
    <row r="530" spans="3:19" x14ac:dyDescent="0.25">
      <c r="C530" s="28"/>
      <c r="D530" s="45"/>
      <c r="E530" s="46"/>
      <c r="F530" s="21"/>
      <c r="G530" s="47"/>
      <c r="H530" s="29"/>
      <c r="I530" s="42"/>
      <c r="J530" s="42"/>
      <c r="L530" s="29"/>
      <c r="M530" s="29"/>
      <c r="O530" s="29"/>
      <c r="P530" s="29"/>
      <c r="R530" s="29"/>
      <c r="S530" s="29"/>
    </row>
    <row r="531" spans="3:19" x14ac:dyDescent="0.25">
      <c r="C531" s="28"/>
      <c r="D531" s="45"/>
      <c r="E531" s="46"/>
      <c r="F531" s="21"/>
      <c r="G531" s="47"/>
      <c r="H531" s="29"/>
      <c r="I531" s="42"/>
      <c r="J531" s="42"/>
      <c r="L531" s="29"/>
      <c r="M531" s="29"/>
      <c r="O531" s="29"/>
      <c r="P531" s="29"/>
      <c r="R531" s="29"/>
      <c r="S531" s="29"/>
    </row>
    <row r="532" spans="3:19" x14ac:dyDescent="0.25">
      <c r="C532" s="28"/>
      <c r="D532" s="45"/>
      <c r="E532" s="46"/>
      <c r="F532" s="21"/>
      <c r="G532" s="47"/>
      <c r="H532" s="29"/>
      <c r="I532" s="42"/>
      <c r="J532" s="42"/>
      <c r="L532" s="29"/>
      <c r="M532" s="29"/>
      <c r="O532" s="29"/>
      <c r="P532" s="29"/>
      <c r="R532" s="29"/>
      <c r="S532" s="29"/>
    </row>
    <row r="533" spans="3:19" x14ac:dyDescent="0.25">
      <c r="C533" s="28"/>
      <c r="D533" s="45"/>
      <c r="E533" s="46"/>
      <c r="F533" s="21"/>
      <c r="G533" s="47"/>
      <c r="H533" s="29"/>
      <c r="I533" s="42"/>
      <c r="J533" s="42"/>
      <c r="L533" s="29"/>
      <c r="M533" s="29"/>
      <c r="O533" s="29"/>
      <c r="P533" s="29"/>
      <c r="R533" s="29"/>
      <c r="S533" s="29"/>
    </row>
    <row r="534" spans="3:19" x14ac:dyDescent="0.25">
      <c r="C534" s="28"/>
      <c r="D534" s="45"/>
      <c r="E534" s="46"/>
      <c r="F534" s="21"/>
      <c r="G534" s="47"/>
      <c r="H534" s="29"/>
      <c r="I534" s="42"/>
      <c r="J534" s="42"/>
      <c r="L534" s="29"/>
      <c r="M534" s="29"/>
      <c r="O534" s="29"/>
      <c r="P534" s="29"/>
      <c r="R534" s="29"/>
      <c r="S534" s="29"/>
    </row>
    <row r="535" spans="3:19" x14ac:dyDescent="0.25">
      <c r="C535" s="28"/>
      <c r="D535" s="45"/>
      <c r="E535" s="46"/>
      <c r="F535" s="21"/>
      <c r="G535" s="47"/>
      <c r="H535" s="29"/>
      <c r="I535" s="42"/>
      <c r="J535" s="42"/>
      <c r="L535" s="29"/>
      <c r="M535" s="29"/>
      <c r="O535" s="29"/>
      <c r="P535" s="29"/>
      <c r="R535" s="29"/>
      <c r="S535" s="29"/>
    </row>
    <row r="536" spans="3:19" x14ac:dyDescent="0.25">
      <c r="C536" s="28"/>
      <c r="D536" s="45"/>
      <c r="E536" s="46"/>
      <c r="F536" s="21"/>
      <c r="G536" s="47"/>
      <c r="H536" s="29"/>
      <c r="I536" s="42"/>
      <c r="J536" s="42"/>
      <c r="L536" s="29"/>
      <c r="M536" s="29"/>
      <c r="O536" s="29"/>
      <c r="P536" s="29"/>
      <c r="R536" s="29"/>
      <c r="S536" s="29"/>
    </row>
    <row r="537" spans="3:19" x14ac:dyDescent="0.25">
      <c r="C537" s="28"/>
      <c r="D537" s="45"/>
      <c r="E537" s="46"/>
      <c r="F537" s="21"/>
      <c r="G537" s="47"/>
      <c r="H537" s="29"/>
      <c r="I537" s="42"/>
      <c r="J537" s="42"/>
      <c r="L537" s="29"/>
      <c r="M537" s="29"/>
      <c r="O537" s="29"/>
      <c r="P537" s="29"/>
      <c r="R537" s="29"/>
      <c r="S537" s="29"/>
    </row>
    <row r="538" spans="3:19" x14ac:dyDescent="0.25">
      <c r="C538" s="28"/>
      <c r="D538" s="45"/>
      <c r="E538" s="46"/>
      <c r="F538" s="21"/>
      <c r="G538" s="47"/>
      <c r="H538" s="29"/>
      <c r="I538" s="42"/>
      <c r="J538" s="42"/>
      <c r="L538" s="29"/>
      <c r="M538" s="29"/>
      <c r="O538" s="29"/>
      <c r="P538" s="29"/>
      <c r="R538" s="29"/>
      <c r="S538" s="29"/>
    </row>
    <row r="539" spans="3:19" x14ac:dyDescent="0.25">
      <c r="C539" s="28"/>
      <c r="D539" s="45"/>
      <c r="E539" s="46"/>
      <c r="F539" s="21"/>
      <c r="G539" s="47"/>
      <c r="H539" s="29"/>
      <c r="I539" s="42"/>
      <c r="J539" s="42"/>
      <c r="L539" s="29"/>
      <c r="M539" s="29"/>
      <c r="O539" s="29"/>
      <c r="P539" s="29"/>
      <c r="R539" s="29"/>
      <c r="S539" s="29"/>
    </row>
    <row r="540" spans="3:19" x14ac:dyDescent="0.25">
      <c r="C540" s="28"/>
      <c r="D540" s="45"/>
      <c r="E540" s="46"/>
      <c r="F540" s="21"/>
      <c r="G540" s="47"/>
      <c r="H540" s="29"/>
      <c r="I540" s="42"/>
      <c r="J540" s="42"/>
      <c r="L540" s="29"/>
      <c r="M540" s="29"/>
      <c r="O540" s="29"/>
      <c r="P540" s="29"/>
      <c r="R540" s="29"/>
      <c r="S540" s="29"/>
    </row>
    <row r="541" spans="3:19" x14ac:dyDescent="0.25">
      <c r="C541" s="28"/>
      <c r="D541" s="45"/>
      <c r="E541" s="46"/>
      <c r="F541" s="21"/>
      <c r="G541" s="47"/>
      <c r="H541" s="29"/>
      <c r="I541" s="42"/>
      <c r="J541" s="42"/>
      <c r="L541" s="29"/>
      <c r="M541" s="29"/>
      <c r="O541" s="29"/>
      <c r="P541" s="29"/>
      <c r="R541" s="29"/>
      <c r="S541" s="29"/>
    </row>
    <row r="542" spans="3:19" x14ac:dyDescent="0.25">
      <c r="C542" s="28"/>
      <c r="D542" s="45"/>
      <c r="E542" s="46"/>
      <c r="F542" s="21"/>
      <c r="G542" s="47"/>
      <c r="H542" s="29"/>
      <c r="I542" s="42"/>
      <c r="J542" s="42"/>
      <c r="L542" s="29"/>
      <c r="M542" s="29"/>
      <c r="O542" s="29"/>
      <c r="P542" s="29"/>
      <c r="R542" s="29"/>
      <c r="S542" s="29"/>
    </row>
    <row r="543" spans="3:19" x14ac:dyDescent="0.25">
      <c r="C543" s="28"/>
      <c r="D543" s="45"/>
      <c r="E543" s="46"/>
      <c r="F543" s="21"/>
      <c r="G543" s="47"/>
      <c r="H543" s="29"/>
      <c r="I543" s="42"/>
      <c r="J543" s="42"/>
      <c r="L543" s="29"/>
      <c r="M543" s="29"/>
      <c r="O543" s="29"/>
      <c r="P543" s="29"/>
      <c r="R543" s="29"/>
      <c r="S543" s="29"/>
    </row>
    <row r="544" spans="3:19" x14ac:dyDescent="0.25">
      <c r="C544" s="28"/>
      <c r="D544" s="45"/>
      <c r="E544" s="46"/>
      <c r="F544" s="21"/>
      <c r="G544" s="47"/>
      <c r="H544" s="29"/>
      <c r="I544" s="42"/>
      <c r="J544" s="42"/>
      <c r="L544" s="29"/>
      <c r="M544" s="29"/>
      <c r="O544" s="29"/>
      <c r="P544" s="29"/>
      <c r="R544" s="29"/>
      <c r="S544" s="29"/>
    </row>
  </sheetData>
  <mergeCells count="8">
    <mergeCell ref="C3:J3"/>
    <mergeCell ref="B10:J10"/>
    <mergeCell ref="L10:M10"/>
    <mergeCell ref="O10:P10"/>
    <mergeCell ref="R10:S10"/>
    <mergeCell ref="F4:G4"/>
    <mergeCell ref="F5:G5"/>
    <mergeCell ref="L3:R3"/>
  </mergeCells>
  <dataValidations disablePrompts="1" count="1">
    <dataValidation type="list" allowBlank="1" showInputMessage="1" showErrorMessage="1" sqref="F5" xr:uid="{FC9D369A-D002-482D-A838-CC522D404B73}">
      <formula1>"Montant forfaitaire,Mensuel"</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6">
    <tabColor theme="8" tint="-0.499984740745262"/>
  </sheetPr>
  <dimension ref="A1:V49"/>
  <sheetViews>
    <sheetView workbookViewId="0">
      <selection activeCell="K32" sqref="K32"/>
    </sheetView>
  </sheetViews>
  <sheetFormatPr baseColWidth="10" defaultColWidth="11.42578125" defaultRowHeight="15" x14ac:dyDescent="0.25"/>
  <cols>
    <col min="1" max="1" width="8.42578125" customWidth="1"/>
    <col min="2" max="2" width="7.28515625" customWidth="1"/>
    <col min="3" max="5" width="15.7109375" customWidth="1"/>
    <col min="6" max="6" width="4.42578125" customWidth="1"/>
    <col min="7" max="9" width="16.7109375" customWidth="1"/>
    <col min="10" max="10" width="4.42578125" customWidth="1"/>
    <col min="11" max="11" width="16.7109375" customWidth="1"/>
    <col min="12" max="12" width="4.42578125" customWidth="1"/>
    <col min="13" max="13" width="16.7109375" customWidth="1"/>
    <col min="14" max="14" width="4.42578125" customWidth="1"/>
    <col min="15" max="15" width="16.7109375" customWidth="1"/>
    <col min="16" max="16" width="26.42578125" bestFit="1" customWidth="1"/>
    <col min="17" max="17" width="4.42578125" customWidth="1"/>
    <col min="18" max="19" width="15.42578125" customWidth="1"/>
    <col min="20" max="20" width="4.42578125" customWidth="1"/>
    <col min="21" max="21" width="15.42578125" customWidth="1"/>
    <col min="22" max="22" width="4.140625" style="110" customWidth="1"/>
  </cols>
  <sheetData>
    <row r="1" spans="1:22" ht="22.5" x14ac:dyDescent="0.3">
      <c r="B1" s="102" t="s">
        <v>246</v>
      </c>
      <c r="C1" s="102"/>
      <c r="D1" s="102"/>
      <c r="E1" s="102"/>
      <c r="F1" s="102"/>
      <c r="G1" s="102"/>
      <c r="H1" s="102"/>
      <c r="I1" s="102"/>
      <c r="J1" s="102"/>
      <c r="K1" s="102"/>
      <c r="L1" s="102"/>
      <c r="M1" s="102"/>
      <c r="N1" s="102"/>
      <c r="O1" s="102"/>
      <c r="P1" s="102"/>
      <c r="Q1" s="102"/>
      <c r="R1" s="102"/>
      <c r="S1" s="102"/>
      <c r="T1" s="102"/>
      <c r="U1" s="102"/>
    </row>
    <row r="3" spans="1:22" s="12" customFormat="1" x14ac:dyDescent="0.25">
      <c r="C3" s="4" t="s">
        <v>10</v>
      </c>
      <c r="F3" s="27"/>
      <c r="G3" s="4" t="s">
        <v>11</v>
      </c>
      <c r="J3" s="27"/>
      <c r="K3" s="4" t="s">
        <v>34</v>
      </c>
      <c r="L3" s="27"/>
      <c r="M3" s="4" t="s">
        <v>43</v>
      </c>
      <c r="N3" s="27"/>
      <c r="O3" s="4" t="s">
        <v>12</v>
      </c>
      <c r="Q3" s="27"/>
      <c r="R3" s="4" t="s">
        <v>270</v>
      </c>
      <c r="S3" s="4" t="s">
        <v>271</v>
      </c>
      <c r="T3" s="27"/>
      <c r="U3" s="4" t="s">
        <v>29</v>
      </c>
      <c r="V3" s="110"/>
    </row>
    <row r="4" spans="1:22" x14ac:dyDescent="0.25">
      <c r="C4" s="1">
        <f>SUM(C6:C49)</f>
        <v>69414</v>
      </c>
      <c r="D4" s="1">
        <f>SUM(D6:D49)</f>
        <v>66418</v>
      </c>
      <c r="E4" s="1"/>
      <c r="F4" s="14"/>
      <c r="G4" s="1">
        <f>SUM(G6:G49)</f>
        <v>109000</v>
      </c>
      <c r="H4" s="1">
        <f>SUM(H6:H49)</f>
        <v>109000</v>
      </c>
      <c r="J4" s="14"/>
      <c r="K4" s="1">
        <f>SUM(K6:K49)</f>
        <v>171500</v>
      </c>
      <c r="L4" s="14"/>
      <c r="M4" s="1">
        <f>SUM(M6:M49)</f>
        <v>11000</v>
      </c>
      <c r="N4" s="14"/>
      <c r="O4" s="1">
        <f>SUM(O6:O49)</f>
        <v>357918</v>
      </c>
      <c r="Q4" s="14"/>
      <c r="T4" s="14"/>
    </row>
    <row r="5" spans="1:22" x14ac:dyDescent="0.25">
      <c r="A5" t="s">
        <v>17</v>
      </c>
      <c r="B5" t="s">
        <v>13</v>
      </c>
      <c r="C5" t="s">
        <v>19</v>
      </c>
      <c r="D5" t="s">
        <v>20</v>
      </c>
      <c r="E5" t="s">
        <v>22</v>
      </c>
      <c r="F5" s="14"/>
      <c r="G5" t="s">
        <v>19</v>
      </c>
      <c r="H5" t="s">
        <v>20</v>
      </c>
      <c r="I5" t="s">
        <v>22</v>
      </c>
      <c r="J5" s="14"/>
      <c r="K5" t="s">
        <v>20</v>
      </c>
      <c r="L5" s="14"/>
      <c r="M5" t="s">
        <v>20</v>
      </c>
      <c r="N5" s="14"/>
      <c r="O5" t="s">
        <v>28</v>
      </c>
      <c r="P5" t="s">
        <v>31</v>
      </c>
      <c r="Q5" s="14"/>
      <c r="T5" s="14"/>
    </row>
    <row r="6" spans="1:22" x14ac:dyDescent="0.25">
      <c r="B6">
        <f>A6-1984</f>
        <v>-1984</v>
      </c>
      <c r="C6" s="1">
        <v>362</v>
      </c>
      <c r="D6" s="1"/>
      <c r="E6" s="1">
        <f>C6</f>
        <v>362</v>
      </c>
      <c r="F6" s="15"/>
      <c r="G6" s="1"/>
      <c r="H6" s="1"/>
      <c r="I6" s="2">
        <f>G6</f>
        <v>0</v>
      </c>
      <c r="J6" s="15"/>
      <c r="K6" s="1"/>
      <c r="L6" s="15"/>
      <c r="M6" s="1"/>
      <c r="N6" s="15"/>
      <c r="O6" s="2">
        <f t="shared" ref="O6:O15" si="0">D6+H6+K6+M6</f>
        <v>0</v>
      </c>
      <c r="P6" s="2">
        <f>SUM($O$6:O6)</f>
        <v>0</v>
      </c>
      <c r="Q6" s="15"/>
      <c r="R6" s="1"/>
      <c r="S6" s="40" t="str">
        <f>IFERROR(O6/R6,"")</f>
        <v/>
      </c>
      <c r="T6" s="15"/>
      <c r="U6" s="1"/>
    </row>
    <row r="7" spans="1:22" x14ac:dyDescent="0.25">
      <c r="A7">
        <v>2002</v>
      </c>
      <c r="B7">
        <f t="shared" ref="B7:B44" si="1">A7-1984</f>
        <v>18</v>
      </c>
      <c r="C7" s="1">
        <v>530</v>
      </c>
      <c r="D7" s="1"/>
      <c r="E7" s="1">
        <f>C7+E6-D7</f>
        <v>892</v>
      </c>
      <c r="F7" s="15"/>
      <c r="G7" s="1"/>
      <c r="H7" s="1"/>
      <c r="I7" s="2">
        <f>G7+I6-H7</f>
        <v>0</v>
      </c>
      <c r="J7" s="15"/>
      <c r="K7" s="1"/>
      <c r="L7" s="15"/>
      <c r="M7" s="1"/>
      <c r="N7" s="15"/>
      <c r="O7" s="2">
        <f t="shared" si="0"/>
        <v>0</v>
      </c>
      <c r="P7" s="2">
        <f>SUM($O$6:O7)</f>
        <v>0</v>
      </c>
      <c r="Q7" s="15"/>
      <c r="R7" s="1"/>
      <c r="S7" s="40" t="str">
        <f t="shared" ref="S7:S49" si="2">IFERROR(O7/R7,"")</f>
        <v/>
      </c>
      <c r="T7" s="15"/>
      <c r="U7" s="1"/>
    </row>
    <row r="8" spans="1:22" x14ac:dyDescent="0.25">
      <c r="A8">
        <v>2003</v>
      </c>
      <c r="B8">
        <f t="shared" si="1"/>
        <v>19</v>
      </c>
      <c r="C8" s="1">
        <v>932</v>
      </c>
      <c r="D8" s="1"/>
      <c r="E8" s="1">
        <f t="shared" ref="E8:E49" si="3">C8+E7-D8</f>
        <v>1824</v>
      </c>
      <c r="F8" s="15"/>
      <c r="G8" s="1"/>
      <c r="H8" s="1"/>
      <c r="I8" s="2">
        <f t="shared" ref="I8:I24" si="4">G8+I7-H8</f>
        <v>0</v>
      </c>
      <c r="J8" s="15"/>
      <c r="K8" s="1"/>
      <c r="L8" s="15"/>
      <c r="M8" s="1"/>
      <c r="N8" s="15"/>
      <c r="O8" s="2">
        <f t="shared" si="0"/>
        <v>0</v>
      </c>
      <c r="P8" s="2">
        <f>SUM($O$6:O8)</f>
        <v>0</v>
      </c>
      <c r="Q8" s="15"/>
      <c r="R8" s="1"/>
      <c r="S8" s="40" t="str">
        <f t="shared" si="2"/>
        <v/>
      </c>
      <c r="T8" s="15"/>
      <c r="U8" s="1"/>
    </row>
    <row r="9" spans="1:22" x14ac:dyDescent="0.25">
      <c r="A9">
        <v>2004</v>
      </c>
      <c r="B9">
        <f t="shared" si="1"/>
        <v>20</v>
      </c>
      <c r="C9" s="1">
        <v>977</v>
      </c>
      <c r="D9" s="1"/>
      <c r="E9" s="1">
        <f t="shared" si="3"/>
        <v>2801</v>
      </c>
      <c r="F9" s="15"/>
      <c r="G9" s="1"/>
      <c r="H9" s="1"/>
      <c r="I9" s="2">
        <f t="shared" si="4"/>
        <v>0</v>
      </c>
      <c r="J9" s="15"/>
      <c r="K9" s="1"/>
      <c r="L9" s="15"/>
      <c r="M9" s="1"/>
      <c r="N9" s="15"/>
      <c r="O9" s="2">
        <f t="shared" si="0"/>
        <v>0</v>
      </c>
      <c r="P9" s="2">
        <f>SUM($O$6:O9)</f>
        <v>0</v>
      </c>
      <c r="Q9" s="15"/>
      <c r="R9" s="1"/>
      <c r="S9" s="40" t="str">
        <f t="shared" si="2"/>
        <v/>
      </c>
      <c r="T9" s="15"/>
      <c r="U9" s="1"/>
    </row>
    <row r="10" spans="1:22" x14ac:dyDescent="0.25">
      <c r="A10">
        <v>2005</v>
      </c>
      <c r="B10">
        <f t="shared" si="1"/>
        <v>21</v>
      </c>
      <c r="C10" s="1">
        <v>1156</v>
      </c>
      <c r="D10" s="1"/>
      <c r="E10" s="1">
        <f t="shared" si="3"/>
        <v>3957</v>
      </c>
      <c r="F10" s="15"/>
      <c r="G10" s="1"/>
      <c r="H10" s="1"/>
      <c r="I10" s="2">
        <f t="shared" si="4"/>
        <v>0</v>
      </c>
      <c r="J10" s="15"/>
      <c r="K10" s="1"/>
      <c r="L10" s="15"/>
      <c r="M10" s="1"/>
      <c r="N10" s="15"/>
      <c r="O10" s="2">
        <f t="shared" si="0"/>
        <v>0</v>
      </c>
      <c r="P10" s="2">
        <f>SUM($O$6:O10)</f>
        <v>0</v>
      </c>
      <c r="Q10" s="15"/>
      <c r="R10" s="1"/>
      <c r="S10" s="40" t="str">
        <f t="shared" si="2"/>
        <v/>
      </c>
      <c r="T10" s="15"/>
      <c r="U10" s="1"/>
    </row>
    <row r="11" spans="1:22" x14ac:dyDescent="0.25">
      <c r="A11">
        <v>2006</v>
      </c>
      <c r="B11">
        <f t="shared" si="1"/>
        <v>22</v>
      </c>
      <c r="C11" s="1">
        <v>869</v>
      </c>
      <c r="D11" s="1"/>
      <c r="E11" s="1">
        <f t="shared" si="3"/>
        <v>4826</v>
      </c>
      <c r="F11" s="15"/>
      <c r="G11" s="1"/>
      <c r="H11" s="1"/>
      <c r="I11" s="2">
        <f t="shared" si="4"/>
        <v>0</v>
      </c>
      <c r="J11" s="15"/>
      <c r="K11" s="1"/>
      <c r="L11" s="15"/>
      <c r="M11" s="1"/>
      <c r="N11" s="15"/>
      <c r="O11" s="2">
        <f t="shared" si="0"/>
        <v>0</v>
      </c>
      <c r="P11" s="2">
        <f>SUM($O$6:O11)</f>
        <v>0</v>
      </c>
      <c r="Q11" s="15"/>
      <c r="R11" s="1"/>
      <c r="S11" s="40" t="str">
        <f t="shared" si="2"/>
        <v/>
      </c>
      <c r="T11" s="15"/>
      <c r="U11" s="1"/>
    </row>
    <row r="12" spans="1:22" x14ac:dyDescent="0.25">
      <c r="A12">
        <v>2007</v>
      </c>
      <c r="B12">
        <f t="shared" si="1"/>
        <v>23</v>
      </c>
      <c r="C12" s="1">
        <v>1409</v>
      </c>
      <c r="D12" s="1"/>
      <c r="E12" s="1">
        <f t="shared" si="3"/>
        <v>6235</v>
      </c>
      <c r="F12" s="15"/>
      <c r="G12" s="1"/>
      <c r="H12" s="1"/>
      <c r="I12" s="2">
        <f t="shared" si="4"/>
        <v>0</v>
      </c>
      <c r="J12" s="15"/>
      <c r="K12" s="1"/>
      <c r="L12" s="15"/>
      <c r="M12" s="1"/>
      <c r="N12" s="15"/>
      <c r="O12" s="2">
        <f t="shared" si="0"/>
        <v>0</v>
      </c>
      <c r="P12" s="2">
        <f>SUM($O$6:O12)</f>
        <v>0</v>
      </c>
      <c r="Q12" s="15"/>
      <c r="R12" s="1"/>
      <c r="S12" s="40" t="str">
        <f t="shared" si="2"/>
        <v/>
      </c>
      <c r="T12" s="15"/>
      <c r="U12" s="1"/>
    </row>
    <row r="13" spans="1:22" x14ac:dyDescent="0.25">
      <c r="A13">
        <v>2008</v>
      </c>
      <c r="B13">
        <f t="shared" si="1"/>
        <v>24</v>
      </c>
      <c r="C13" s="1">
        <v>1304</v>
      </c>
      <c r="D13" s="1"/>
      <c r="E13" s="1">
        <f t="shared" si="3"/>
        <v>7539</v>
      </c>
      <c r="F13" s="15"/>
      <c r="G13" s="1"/>
      <c r="H13" s="1"/>
      <c r="I13" s="2">
        <f t="shared" si="4"/>
        <v>0</v>
      </c>
      <c r="J13" s="15"/>
      <c r="K13" s="1"/>
      <c r="L13" s="15"/>
      <c r="M13" s="1"/>
      <c r="N13" s="15"/>
      <c r="O13" s="2">
        <f t="shared" si="0"/>
        <v>0</v>
      </c>
      <c r="P13" s="2">
        <f>SUM($O$6:O13)</f>
        <v>0</v>
      </c>
      <c r="Q13" s="15"/>
      <c r="R13" s="1"/>
      <c r="S13" s="40" t="str">
        <f t="shared" si="2"/>
        <v/>
      </c>
      <c r="T13" s="15"/>
      <c r="U13" s="1"/>
    </row>
    <row r="14" spans="1:22" x14ac:dyDescent="0.25">
      <c r="A14">
        <v>2009</v>
      </c>
      <c r="B14">
        <f t="shared" si="1"/>
        <v>25</v>
      </c>
      <c r="C14" s="1">
        <v>1144</v>
      </c>
      <c r="D14" s="1"/>
      <c r="E14" s="1">
        <f t="shared" si="3"/>
        <v>8683</v>
      </c>
      <c r="F14" s="15"/>
      <c r="G14" s="1">
        <v>5000</v>
      </c>
      <c r="H14" s="1">
        <v>0</v>
      </c>
      <c r="I14" s="2">
        <f t="shared" si="4"/>
        <v>5000</v>
      </c>
      <c r="J14" s="15"/>
      <c r="K14" s="1"/>
      <c r="L14" s="15"/>
      <c r="M14" s="1"/>
      <c r="N14" s="15"/>
      <c r="O14" s="2">
        <f t="shared" si="0"/>
        <v>0</v>
      </c>
      <c r="P14" s="2">
        <f>SUM($O$6:O14)</f>
        <v>0</v>
      </c>
      <c r="Q14" s="15"/>
      <c r="R14" s="1"/>
      <c r="S14" s="40" t="str">
        <f t="shared" si="2"/>
        <v/>
      </c>
      <c r="T14" s="15"/>
      <c r="U14" s="1"/>
    </row>
    <row r="15" spans="1:22" x14ac:dyDescent="0.25">
      <c r="A15">
        <v>2010</v>
      </c>
      <c r="B15">
        <f t="shared" si="1"/>
        <v>26</v>
      </c>
      <c r="C15" s="1">
        <v>1145</v>
      </c>
      <c r="D15" s="1"/>
      <c r="E15" s="1">
        <f t="shared" si="3"/>
        <v>9828</v>
      </c>
      <c r="F15" s="15"/>
      <c r="G15" s="1">
        <v>5000</v>
      </c>
      <c r="H15" s="1">
        <f>4400-3600</f>
        <v>800</v>
      </c>
      <c r="I15" s="2">
        <f t="shared" si="4"/>
        <v>9200</v>
      </c>
      <c r="J15" s="15"/>
      <c r="K15" s="1"/>
      <c r="L15" s="15"/>
      <c r="M15" s="1"/>
      <c r="N15" s="15"/>
      <c r="O15" s="2">
        <f t="shared" si="0"/>
        <v>800</v>
      </c>
      <c r="P15" s="2">
        <f>SUM($O$6:O15)</f>
        <v>800</v>
      </c>
      <c r="Q15" s="15"/>
      <c r="R15" s="1"/>
      <c r="S15" s="40" t="str">
        <f t="shared" si="2"/>
        <v/>
      </c>
      <c r="T15" s="15"/>
      <c r="U15" s="1"/>
    </row>
    <row r="16" spans="1:22" x14ac:dyDescent="0.25">
      <c r="A16">
        <v>2011</v>
      </c>
      <c r="B16">
        <f t="shared" si="1"/>
        <v>27</v>
      </c>
      <c r="C16" s="1">
        <v>1657</v>
      </c>
      <c r="D16" s="1">
        <v>1500</v>
      </c>
      <c r="E16" s="1">
        <f t="shared" si="3"/>
        <v>9985</v>
      </c>
      <c r="F16" s="15"/>
      <c r="G16" s="1">
        <v>5000</v>
      </c>
      <c r="H16" s="1">
        <f>4100-4825</f>
        <v>-725</v>
      </c>
      <c r="I16" s="2">
        <f t="shared" si="4"/>
        <v>14925</v>
      </c>
      <c r="J16" s="15"/>
      <c r="K16" s="1"/>
      <c r="L16" s="15"/>
      <c r="M16" s="1"/>
      <c r="N16" s="15"/>
      <c r="O16" s="2">
        <f>D16+H16+K16+M16</f>
        <v>775</v>
      </c>
      <c r="P16" s="2">
        <f>SUM($O$6:O16)</f>
        <v>1575</v>
      </c>
      <c r="Q16" s="15"/>
      <c r="R16" s="1"/>
      <c r="S16" s="40" t="str">
        <f t="shared" si="2"/>
        <v/>
      </c>
      <c r="T16" s="15"/>
      <c r="U16" s="1"/>
    </row>
    <row r="17" spans="1:22" x14ac:dyDescent="0.25">
      <c r="A17">
        <v>2012</v>
      </c>
      <c r="B17">
        <f t="shared" si="1"/>
        <v>28</v>
      </c>
      <c r="C17" s="1">
        <v>2292</v>
      </c>
      <c r="D17" s="1">
        <v>3113</v>
      </c>
      <c r="E17" s="1">
        <f t="shared" si="3"/>
        <v>9164</v>
      </c>
      <c r="F17" s="15"/>
      <c r="G17" s="1">
        <v>5000</v>
      </c>
      <c r="H17" s="1">
        <v>0</v>
      </c>
      <c r="I17" s="2">
        <f t="shared" si="4"/>
        <v>19925</v>
      </c>
      <c r="J17" s="15"/>
      <c r="K17" s="1"/>
      <c r="L17" s="15"/>
      <c r="M17" s="1"/>
      <c r="N17" s="15"/>
      <c r="O17" s="2">
        <f t="shared" ref="O17:O49" si="5">D17+H17+K17+M17</f>
        <v>3113</v>
      </c>
      <c r="P17" s="2">
        <f>SUM($O$6:O17)</f>
        <v>4688</v>
      </c>
      <c r="Q17" s="15"/>
      <c r="R17" s="1"/>
      <c r="S17" s="40" t="str">
        <f t="shared" si="2"/>
        <v/>
      </c>
      <c r="T17" s="15"/>
      <c r="U17" s="1"/>
    </row>
    <row r="18" spans="1:22" x14ac:dyDescent="0.25">
      <c r="A18">
        <v>2013</v>
      </c>
      <c r="B18">
        <f t="shared" si="1"/>
        <v>29</v>
      </c>
      <c r="C18" s="1">
        <v>2137</v>
      </c>
      <c r="D18" s="1">
        <v>9750</v>
      </c>
      <c r="E18" s="1">
        <f t="shared" si="3"/>
        <v>1551</v>
      </c>
      <c r="F18" s="15"/>
      <c r="G18" s="1">
        <v>5500</v>
      </c>
      <c r="H18" s="1">
        <v>-117.85</v>
      </c>
      <c r="I18" s="2">
        <f t="shared" si="4"/>
        <v>25542.85</v>
      </c>
      <c r="J18" s="15"/>
      <c r="K18" s="1"/>
      <c r="L18" s="15"/>
      <c r="M18" s="1"/>
      <c r="N18" s="15"/>
      <c r="O18" s="2">
        <f t="shared" si="5"/>
        <v>9632.15</v>
      </c>
      <c r="P18" s="2">
        <f>SUM($O$6:O18)</f>
        <v>14320.15</v>
      </c>
      <c r="Q18" s="15"/>
      <c r="R18" s="1"/>
      <c r="S18" s="40" t="str">
        <f t="shared" si="2"/>
        <v/>
      </c>
      <c r="T18" s="15"/>
      <c r="U18" s="1"/>
    </row>
    <row r="19" spans="1:22" x14ac:dyDescent="0.25">
      <c r="A19">
        <v>2014</v>
      </c>
      <c r="B19">
        <f t="shared" si="1"/>
        <v>30</v>
      </c>
      <c r="C19" s="1">
        <v>2699</v>
      </c>
      <c r="D19" s="1">
        <v>4250</v>
      </c>
      <c r="E19" s="1">
        <f t="shared" si="3"/>
        <v>0</v>
      </c>
      <c r="F19" s="15"/>
      <c r="G19" s="1">
        <v>5500</v>
      </c>
      <c r="H19" s="1">
        <v>0</v>
      </c>
      <c r="I19" s="2">
        <f t="shared" si="4"/>
        <v>31042.85</v>
      </c>
      <c r="J19" s="15"/>
      <c r="K19" s="1"/>
      <c r="L19" s="15"/>
      <c r="M19" s="1"/>
      <c r="N19" s="15"/>
      <c r="O19" s="2">
        <f t="shared" si="5"/>
        <v>4250</v>
      </c>
      <c r="P19" s="2">
        <f>SUM($O$6:O19)</f>
        <v>18570.150000000001</v>
      </c>
      <c r="Q19" s="15"/>
      <c r="R19" s="1"/>
      <c r="S19" s="40" t="str">
        <f t="shared" si="2"/>
        <v/>
      </c>
      <c r="T19" s="15"/>
      <c r="U19" s="1"/>
    </row>
    <row r="20" spans="1:22" x14ac:dyDescent="0.25">
      <c r="A20">
        <v>2015</v>
      </c>
      <c r="B20">
        <f t="shared" si="1"/>
        <v>31</v>
      </c>
      <c r="C20" s="1">
        <v>3214</v>
      </c>
      <c r="D20" s="1">
        <v>3214</v>
      </c>
      <c r="E20" s="1">
        <f t="shared" si="3"/>
        <v>0</v>
      </c>
      <c r="F20" s="15"/>
      <c r="G20" s="1">
        <v>10000</v>
      </c>
      <c r="H20" s="1">
        <v>20219.32</v>
      </c>
      <c r="I20" s="2">
        <f t="shared" si="4"/>
        <v>20823.53</v>
      </c>
      <c r="J20" s="15"/>
      <c r="K20" s="1"/>
      <c r="L20" s="15"/>
      <c r="M20" s="1"/>
      <c r="N20" s="15"/>
      <c r="O20" s="2">
        <f t="shared" si="5"/>
        <v>23433.32</v>
      </c>
      <c r="P20" s="2">
        <f>SUM($O$6:O20)</f>
        <v>42003.47</v>
      </c>
      <c r="Q20" s="15"/>
      <c r="R20" s="1"/>
      <c r="S20" s="40" t="str">
        <f t="shared" si="2"/>
        <v/>
      </c>
      <c r="T20" s="15"/>
      <c r="U20" s="1"/>
    </row>
    <row r="21" spans="1:22" x14ac:dyDescent="0.25">
      <c r="A21">
        <v>2016</v>
      </c>
      <c r="B21">
        <f t="shared" si="1"/>
        <v>32</v>
      </c>
      <c r="C21" s="1">
        <v>3146</v>
      </c>
      <c r="D21" s="1">
        <v>0</v>
      </c>
      <c r="E21" s="1">
        <f t="shared" si="3"/>
        <v>3146</v>
      </c>
      <c r="F21" s="15"/>
      <c r="G21" s="1">
        <v>5500</v>
      </c>
      <c r="H21" s="1">
        <f>11655.88-10000</f>
        <v>1655.8799999999992</v>
      </c>
      <c r="I21" s="2">
        <f t="shared" si="4"/>
        <v>24667.65</v>
      </c>
      <c r="J21" s="15"/>
      <c r="K21" s="1"/>
      <c r="L21" s="15"/>
      <c r="M21" s="1"/>
      <c r="N21" s="15"/>
      <c r="O21" s="2">
        <f t="shared" si="5"/>
        <v>1655.8799999999992</v>
      </c>
      <c r="P21" s="2">
        <f>SUM($O$6:O21)</f>
        <v>43659.35</v>
      </c>
      <c r="Q21" s="15"/>
      <c r="R21" s="1"/>
      <c r="S21" s="40" t="str">
        <f t="shared" si="2"/>
        <v/>
      </c>
      <c r="T21" s="15"/>
      <c r="U21" s="1">
        <v>57705.61</v>
      </c>
    </row>
    <row r="22" spans="1:22" x14ac:dyDescent="0.25">
      <c r="A22">
        <v>2017</v>
      </c>
      <c r="B22">
        <f t="shared" si="1"/>
        <v>33</v>
      </c>
      <c r="C22" s="1">
        <v>3835</v>
      </c>
      <c r="D22" s="1">
        <v>6981</v>
      </c>
      <c r="E22" s="1">
        <f t="shared" si="3"/>
        <v>0</v>
      </c>
      <c r="F22" s="15"/>
      <c r="G22" s="1">
        <v>5500</v>
      </c>
      <c r="H22" s="1">
        <f>6000-3000</f>
        <v>3000</v>
      </c>
      <c r="I22" s="2">
        <f t="shared" si="4"/>
        <v>27167.65</v>
      </c>
      <c r="J22" s="15"/>
      <c r="K22" s="1"/>
      <c r="L22" s="15"/>
      <c r="M22" s="1"/>
      <c r="N22" s="15"/>
      <c r="O22" s="2">
        <f t="shared" si="5"/>
        <v>9981</v>
      </c>
      <c r="P22" s="2">
        <f>SUM($O$6:O22)</f>
        <v>53640.35</v>
      </c>
      <c r="Q22" s="15"/>
      <c r="R22" s="1"/>
      <c r="S22" s="40" t="str">
        <f t="shared" si="2"/>
        <v/>
      </c>
      <c r="T22" s="15"/>
      <c r="U22" s="1">
        <v>68903.11</v>
      </c>
    </row>
    <row r="23" spans="1:22" x14ac:dyDescent="0.25">
      <c r="A23">
        <v>2018</v>
      </c>
      <c r="B23">
        <f t="shared" si="1"/>
        <v>34</v>
      </c>
      <c r="C23" s="1">
        <v>4086</v>
      </c>
      <c r="D23" s="1">
        <v>0</v>
      </c>
      <c r="E23" s="1">
        <f t="shared" si="3"/>
        <v>4086</v>
      </c>
      <c r="F23" s="15"/>
      <c r="G23" s="1">
        <v>5500</v>
      </c>
      <c r="H23" s="1">
        <v>12855</v>
      </c>
      <c r="I23" s="2">
        <f t="shared" si="4"/>
        <v>19812.650000000001</v>
      </c>
      <c r="J23" s="15"/>
      <c r="K23" s="1"/>
      <c r="L23" s="15"/>
      <c r="M23" s="1"/>
      <c r="N23" s="15"/>
      <c r="O23" s="2">
        <f t="shared" si="5"/>
        <v>12855</v>
      </c>
      <c r="P23" s="2">
        <f>SUM($O$6:O23)</f>
        <v>66495.350000000006</v>
      </c>
      <c r="Q23" s="15"/>
      <c r="R23" s="1"/>
      <c r="S23" s="40" t="str">
        <f t="shared" si="2"/>
        <v/>
      </c>
      <c r="T23" s="15"/>
      <c r="U23" s="1">
        <v>79182.03</v>
      </c>
    </row>
    <row r="24" spans="1:22" x14ac:dyDescent="0.25">
      <c r="A24">
        <v>2019</v>
      </c>
      <c r="B24">
        <f t="shared" si="1"/>
        <v>35</v>
      </c>
      <c r="C24" s="1">
        <v>3802</v>
      </c>
      <c r="D24" s="1">
        <v>7888</v>
      </c>
      <c r="E24" s="1">
        <f t="shared" si="3"/>
        <v>0</v>
      </c>
      <c r="F24" s="15"/>
      <c r="G24" s="1">
        <v>6000</v>
      </c>
      <c r="H24" s="1">
        <f>7500+2000+4000+3000</f>
        <v>16500</v>
      </c>
      <c r="I24" s="2">
        <f t="shared" si="4"/>
        <v>9312.6500000000015</v>
      </c>
      <c r="J24" s="15"/>
      <c r="K24" s="1"/>
      <c r="L24" s="15"/>
      <c r="M24" s="1"/>
      <c r="N24" s="15"/>
      <c r="O24" s="2">
        <f t="shared" si="5"/>
        <v>24388</v>
      </c>
      <c r="P24" s="2">
        <f>SUM($O$6:O24)</f>
        <v>90883.35</v>
      </c>
      <c r="Q24" s="15"/>
      <c r="R24" s="1"/>
      <c r="S24" s="40" t="str">
        <f t="shared" si="2"/>
        <v/>
      </c>
      <c r="T24" s="15"/>
      <c r="U24" s="1">
        <v>121783.72</v>
      </c>
      <c r="V24" s="110">
        <v>1</v>
      </c>
    </row>
    <row r="25" spans="1:22" x14ac:dyDescent="0.25">
      <c r="A25">
        <v>2020</v>
      </c>
      <c r="B25">
        <f t="shared" si="1"/>
        <v>36</v>
      </c>
      <c r="C25" s="1">
        <v>4093</v>
      </c>
      <c r="D25" s="1">
        <v>4093</v>
      </c>
      <c r="E25" s="1">
        <f t="shared" si="3"/>
        <v>0</v>
      </c>
      <c r="F25" s="15"/>
      <c r="G25" s="1">
        <v>6000</v>
      </c>
      <c r="H25" s="1">
        <f>3000+6000+5000+1312.65</f>
        <v>15312.65</v>
      </c>
      <c r="I25" s="2">
        <f>G25+I24-H25</f>
        <v>0</v>
      </c>
      <c r="J25" s="15"/>
      <c r="K25" s="1">
        <f>5000+3000+6000</f>
        <v>14000</v>
      </c>
      <c r="L25" s="15"/>
      <c r="M25" s="1"/>
      <c r="N25" s="15"/>
      <c r="O25" s="2">
        <f t="shared" si="5"/>
        <v>33405.65</v>
      </c>
      <c r="P25" s="2">
        <f>SUM($O$6:O25)</f>
        <v>124289</v>
      </c>
      <c r="Q25" s="15"/>
      <c r="R25" s="1"/>
      <c r="S25" s="40" t="str">
        <f t="shared" si="2"/>
        <v/>
      </c>
      <c r="T25" s="15"/>
      <c r="U25" s="1">
        <v>154605.12</v>
      </c>
    </row>
    <row r="26" spans="1:22" x14ac:dyDescent="0.25">
      <c r="A26">
        <v>2021</v>
      </c>
      <c r="B26">
        <f t="shared" si="1"/>
        <v>37</v>
      </c>
      <c r="C26" s="1">
        <v>4715</v>
      </c>
      <c r="D26" s="1">
        <v>4714</v>
      </c>
      <c r="E26" s="1">
        <f t="shared" si="3"/>
        <v>1</v>
      </c>
      <c r="F26" s="14"/>
      <c r="G26" s="1">
        <v>6000</v>
      </c>
      <c r="H26" s="1">
        <v>6000</v>
      </c>
      <c r="I26" s="2">
        <f>G26+I25-H26</f>
        <v>0</v>
      </c>
      <c r="J26" s="14"/>
      <c r="K26" s="1">
        <v>33000</v>
      </c>
      <c r="L26" s="14"/>
      <c r="M26" s="1"/>
      <c r="N26" s="14"/>
      <c r="O26" s="2">
        <f t="shared" si="5"/>
        <v>43714</v>
      </c>
      <c r="P26" s="2">
        <f>SUM($O$6:O26)</f>
        <v>168003</v>
      </c>
      <c r="Q26" s="14"/>
      <c r="R26" s="1">
        <v>30000</v>
      </c>
      <c r="S26" s="40">
        <f t="shared" si="2"/>
        <v>1.4571333333333334</v>
      </c>
      <c r="T26" s="14"/>
      <c r="U26" s="1">
        <v>244256.2</v>
      </c>
      <c r="V26" s="110">
        <v>2</v>
      </c>
    </row>
    <row r="27" spans="1:22" x14ac:dyDescent="0.25">
      <c r="A27">
        <v>2022</v>
      </c>
      <c r="B27">
        <f t="shared" si="1"/>
        <v>38</v>
      </c>
      <c r="C27" s="1">
        <v>4598</v>
      </c>
      <c r="D27" s="1">
        <v>4090</v>
      </c>
      <c r="E27" s="1">
        <f t="shared" si="3"/>
        <v>509</v>
      </c>
      <c r="F27" s="14"/>
      <c r="G27" s="1">
        <v>6000</v>
      </c>
      <c r="H27" s="1">
        <v>6000</v>
      </c>
      <c r="I27" s="1">
        <f t="shared" ref="I27:I49" si="6">G27+I26-H27</f>
        <v>0</v>
      </c>
      <c r="J27" s="14"/>
      <c r="K27" s="1">
        <f>5000+8000+4000+2000+4000+3500+3000+5000</f>
        <v>34500</v>
      </c>
      <c r="L27" s="14"/>
      <c r="M27" s="1">
        <v>3000</v>
      </c>
      <c r="N27" s="14"/>
      <c r="O27" s="2">
        <f t="shared" si="5"/>
        <v>47590</v>
      </c>
      <c r="P27" s="2">
        <f>SUM($O$6:O27)</f>
        <v>215593</v>
      </c>
      <c r="Q27" s="14"/>
      <c r="R27" s="1">
        <v>30000</v>
      </c>
      <c r="S27" s="40">
        <f t="shared" si="2"/>
        <v>1.5863333333333334</v>
      </c>
      <c r="T27" s="14"/>
      <c r="U27" s="1">
        <f>277975.38+3000</f>
        <v>280975.38</v>
      </c>
    </row>
    <row r="28" spans="1:22" x14ac:dyDescent="0.25">
      <c r="A28">
        <v>2023</v>
      </c>
      <c r="B28">
        <f t="shared" si="1"/>
        <v>39</v>
      </c>
      <c r="C28" s="1">
        <v>5807</v>
      </c>
      <c r="D28" s="1">
        <v>509</v>
      </c>
      <c r="E28" s="1">
        <f t="shared" si="3"/>
        <v>5807</v>
      </c>
      <c r="F28" s="14"/>
      <c r="G28" s="1">
        <v>6500</v>
      </c>
      <c r="H28" s="1">
        <v>6500</v>
      </c>
      <c r="I28" s="1">
        <f t="shared" si="6"/>
        <v>0</v>
      </c>
      <c r="J28" s="14"/>
      <c r="K28" s="1">
        <f>5000+10000+5000+4000+3000</f>
        <v>27000</v>
      </c>
      <c r="L28" s="14"/>
      <c r="M28" s="1">
        <v>0</v>
      </c>
      <c r="N28" s="14"/>
      <c r="O28" s="2">
        <f t="shared" si="5"/>
        <v>34009</v>
      </c>
      <c r="P28" s="2">
        <f>SUM($O$6:O28)</f>
        <v>249602</v>
      </c>
      <c r="Q28" s="14"/>
      <c r="R28" s="1">
        <v>30000</v>
      </c>
      <c r="S28" s="40">
        <f t="shared" si="2"/>
        <v>1.1336333333333333</v>
      </c>
      <c r="T28" s="14"/>
      <c r="U28" s="1">
        <f>336736.2+3000</f>
        <v>339736.2</v>
      </c>
      <c r="V28" s="110">
        <v>3</v>
      </c>
    </row>
    <row r="29" spans="1:22" x14ac:dyDescent="0.25">
      <c r="A29">
        <v>2024</v>
      </c>
      <c r="B29">
        <f t="shared" si="1"/>
        <v>40</v>
      </c>
      <c r="C29" s="1">
        <v>6647</v>
      </c>
      <c r="D29" s="1">
        <v>6316</v>
      </c>
      <c r="E29" s="1">
        <f t="shared" si="3"/>
        <v>6138</v>
      </c>
      <c r="F29" s="14"/>
      <c r="G29" s="1">
        <v>7000</v>
      </c>
      <c r="H29" s="1">
        <v>7000</v>
      </c>
      <c r="I29" s="1">
        <f t="shared" si="6"/>
        <v>0</v>
      </c>
      <c r="J29" s="14"/>
      <c r="K29" s="1">
        <f>5000+10000+5000+8000</f>
        <v>28000</v>
      </c>
      <c r="L29" s="14"/>
      <c r="M29" s="1">
        <v>3000</v>
      </c>
      <c r="N29" s="14"/>
      <c r="O29" s="2">
        <f t="shared" si="5"/>
        <v>44316</v>
      </c>
      <c r="P29" s="2">
        <f>SUM($O$6:O29)</f>
        <v>293918</v>
      </c>
      <c r="Q29" s="14"/>
      <c r="R29" s="1">
        <v>33000</v>
      </c>
      <c r="S29" s="40">
        <f t="shared" si="2"/>
        <v>1.3429090909090908</v>
      </c>
      <c r="T29" s="14"/>
      <c r="U29" s="1">
        <f>456000.42+6000</f>
        <v>462000.42</v>
      </c>
      <c r="V29" s="110">
        <v>4</v>
      </c>
    </row>
    <row r="30" spans="1:22" x14ac:dyDescent="0.25">
      <c r="A30">
        <v>2025</v>
      </c>
      <c r="B30">
        <f t="shared" si="1"/>
        <v>41</v>
      </c>
      <c r="C30" s="1">
        <v>6858</v>
      </c>
      <c r="D30" s="1">
        <v>6000</v>
      </c>
      <c r="E30" s="1">
        <f t="shared" si="3"/>
        <v>6996</v>
      </c>
      <c r="F30" s="14"/>
      <c r="G30" s="1">
        <v>7000</v>
      </c>
      <c r="H30" s="1">
        <v>7000</v>
      </c>
      <c r="I30" s="1">
        <f t="shared" si="6"/>
        <v>0</v>
      </c>
      <c r="J30" s="14"/>
      <c r="K30" s="1">
        <f>10000+5000+10000</f>
        <v>25000</v>
      </c>
      <c r="L30" s="14"/>
      <c r="M30" s="1">
        <v>5000</v>
      </c>
      <c r="N30" s="14"/>
      <c r="O30" s="2">
        <f t="shared" si="5"/>
        <v>43000</v>
      </c>
      <c r="P30" s="2">
        <f>SUM($O$6:O30)</f>
        <v>336918</v>
      </c>
      <c r="Q30" s="14"/>
      <c r="R30" s="1">
        <v>35000</v>
      </c>
      <c r="S30" s="40">
        <f t="shared" si="2"/>
        <v>1.2285714285714286</v>
      </c>
      <c r="T30" s="14"/>
      <c r="U30" s="1">
        <f>603597.03+11397.35</f>
        <v>614994.38</v>
      </c>
      <c r="V30" s="111" t="s">
        <v>298</v>
      </c>
    </row>
    <row r="31" spans="1:22" x14ac:dyDescent="0.25">
      <c r="A31">
        <v>2026</v>
      </c>
      <c r="B31">
        <f t="shared" si="1"/>
        <v>42</v>
      </c>
      <c r="C31" s="1"/>
      <c r="D31" s="1">
        <v>4000</v>
      </c>
      <c r="E31" s="1">
        <f t="shared" si="3"/>
        <v>2996</v>
      </c>
      <c r="F31" s="14"/>
      <c r="G31" s="1">
        <v>7000</v>
      </c>
      <c r="H31" s="1">
        <v>7000</v>
      </c>
      <c r="I31" s="1">
        <f t="shared" si="6"/>
        <v>0</v>
      </c>
      <c r="J31" s="14"/>
      <c r="K31" s="1">
        <v>10000</v>
      </c>
      <c r="L31" s="14"/>
      <c r="M31" s="1"/>
      <c r="N31" s="14"/>
      <c r="O31" s="2">
        <f t="shared" si="5"/>
        <v>21000</v>
      </c>
      <c r="P31" s="2">
        <f>SUM($O$6:O31)</f>
        <v>357918</v>
      </c>
      <c r="Q31" s="14"/>
      <c r="R31" s="1">
        <v>35000</v>
      </c>
      <c r="S31" s="40">
        <f t="shared" si="2"/>
        <v>0.6</v>
      </c>
      <c r="T31" s="14"/>
      <c r="U31" s="1"/>
    </row>
    <row r="32" spans="1:22" x14ac:dyDescent="0.25">
      <c r="A32">
        <v>2027</v>
      </c>
      <c r="B32">
        <f t="shared" si="1"/>
        <v>43</v>
      </c>
      <c r="C32" s="1"/>
      <c r="D32" s="1"/>
      <c r="E32" s="1">
        <f t="shared" si="3"/>
        <v>2996</v>
      </c>
      <c r="F32" s="14"/>
      <c r="G32" s="1"/>
      <c r="H32" s="1"/>
      <c r="I32" s="1">
        <f t="shared" si="6"/>
        <v>0</v>
      </c>
      <c r="J32" s="14"/>
      <c r="K32" s="1"/>
      <c r="L32" s="14"/>
      <c r="M32" s="1"/>
      <c r="N32" s="14"/>
      <c r="O32" s="2">
        <f t="shared" si="5"/>
        <v>0</v>
      </c>
      <c r="P32" s="2">
        <f>SUM($O$6:O32)</f>
        <v>357918</v>
      </c>
      <c r="Q32" s="14"/>
      <c r="R32" s="1"/>
      <c r="S32" s="40" t="str">
        <f t="shared" si="2"/>
        <v/>
      </c>
      <c r="T32" s="14"/>
      <c r="U32" s="1"/>
    </row>
    <row r="33" spans="1:21" x14ac:dyDescent="0.25">
      <c r="A33">
        <v>2028</v>
      </c>
      <c r="B33">
        <f t="shared" si="1"/>
        <v>44</v>
      </c>
      <c r="C33" s="1"/>
      <c r="D33" s="1"/>
      <c r="E33" s="1">
        <f t="shared" si="3"/>
        <v>2996</v>
      </c>
      <c r="F33" s="14"/>
      <c r="G33" s="1"/>
      <c r="H33" s="1"/>
      <c r="I33" s="1">
        <f t="shared" si="6"/>
        <v>0</v>
      </c>
      <c r="J33" s="14"/>
      <c r="K33" s="1"/>
      <c r="L33" s="14"/>
      <c r="M33" s="1"/>
      <c r="N33" s="14"/>
      <c r="O33" s="2">
        <f t="shared" si="5"/>
        <v>0</v>
      </c>
      <c r="P33" s="2">
        <f>SUM($O$6:O33)</f>
        <v>357918</v>
      </c>
      <c r="Q33" s="14"/>
      <c r="R33" s="1"/>
      <c r="S33" s="40" t="str">
        <f t="shared" si="2"/>
        <v/>
      </c>
      <c r="T33" s="14"/>
      <c r="U33" s="1"/>
    </row>
    <row r="34" spans="1:21" x14ac:dyDescent="0.25">
      <c r="A34">
        <v>2029</v>
      </c>
      <c r="B34">
        <f t="shared" si="1"/>
        <v>45</v>
      </c>
      <c r="C34" s="1"/>
      <c r="D34" s="1"/>
      <c r="E34" s="1">
        <f t="shared" si="3"/>
        <v>2996</v>
      </c>
      <c r="F34" s="14"/>
      <c r="G34" s="1"/>
      <c r="H34" s="1"/>
      <c r="I34" s="1">
        <f t="shared" si="6"/>
        <v>0</v>
      </c>
      <c r="J34" s="14"/>
      <c r="K34" s="1"/>
      <c r="L34" s="14"/>
      <c r="M34" s="1"/>
      <c r="N34" s="14"/>
      <c r="O34" s="2">
        <f t="shared" si="5"/>
        <v>0</v>
      </c>
      <c r="P34" s="2">
        <f>SUM($O$6:O34)</f>
        <v>357918</v>
      </c>
      <c r="Q34" s="14"/>
      <c r="R34" s="1"/>
      <c r="S34" s="40" t="str">
        <f t="shared" si="2"/>
        <v/>
      </c>
      <c r="T34" s="14"/>
      <c r="U34" s="1"/>
    </row>
    <row r="35" spans="1:21" x14ac:dyDescent="0.25">
      <c r="A35">
        <v>2030</v>
      </c>
      <c r="B35">
        <f t="shared" si="1"/>
        <v>46</v>
      </c>
      <c r="C35" s="1"/>
      <c r="D35" s="1"/>
      <c r="E35" s="1">
        <f t="shared" si="3"/>
        <v>2996</v>
      </c>
      <c r="F35" s="14"/>
      <c r="G35" s="1"/>
      <c r="H35" s="1"/>
      <c r="I35" s="1">
        <f t="shared" si="6"/>
        <v>0</v>
      </c>
      <c r="J35" s="14"/>
      <c r="K35" s="1"/>
      <c r="L35" s="14"/>
      <c r="M35" s="1"/>
      <c r="N35" s="14"/>
      <c r="O35" s="2">
        <f t="shared" si="5"/>
        <v>0</v>
      </c>
      <c r="P35" s="2">
        <f>SUM($O$6:O35)</f>
        <v>357918</v>
      </c>
      <c r="Q35" s="14"/>
      <c r="R35" s="1"/>
      <c r="S35" s="40" t="str">
        <f t="shared" si="2"/>
        <v/>
      </c>
      <c r="T35" s="14"/>
      <c r="U35" s="1"/>
    </row>
    <row r="36" spans="1:21" x14ac:dyDescent="0.25">
      <c r="A36">
        <v>2031</v>
      </c>
      <c r="B36">
        <f t="shared" si="1"/>
        <v>47</v>
      </c>
      <c r="C36" s="1"/>
      <c r="D36" s="1"/>
      <c r="E36" s="1">
        <f t="shared" si="3"/>
        <v>2996</v>
      </c>
      <c r="F36" s="14"/>
      <c r="G36" s="1"/>
      <c r="H36" s="1"/>
      <c r="I36" s="1">
        <f t="shared" si="6"/>
        <v>0</v>
      </c>
      <c r="J36" s="14"/>
      <c r="K36" s="1"/>
      <c r="L36" s="14"/>
      <c r="M36" s="1"/>
      <c r="N36" s="14"/>
      <c r="O36" s="2">
        <f t="shared" si="5"/>
        <v>0</v>
      </c>
      <c r="P36" s="2">
        <f>SUM($O$6:O36)</f>
        <v>357918</v>
      </c>
      <c r="Q36" s="14"/>
      <c r="R36" s="1"/>
      <c r="S36" s="40" t="str">
        <f t="shared" si="2"/>
        <v/>
      </c>
      <c r="T36" s="14"/>
      <c r="U36" s="1"/>
    </row>
    <row r="37" spans="1:21" x14ac:dyDescent="0.25">
      <c r="A37">
        <v>2032</v>
      </c>
      <c r="B37">
        <f t="shared" si="1"/>
        <v>48</v>
      </c>
      <c r="D37" s="1"/>
      <c r="E37" s="1">
        <f t="shared" si="3"/>
        <v>2996</v>
      </c>
      <c r="F37" s="14"/>
      <c r="I37" s="1">
        <f t="shared" si="6"/>
        <v>0</v>
      </c>
      <c r="J37" s="14"/>
      <c r="L37" s="14"/>
      <c r="N37" s="14"/>
      <c r="O37" s="2">
        <f t="shared" si="5"/>
        <v>0</v>
      </c>
      <c r="P37" s="2">
        <f>SUM($O$6:O37)</f>
        <v>357918</v>
      </c>
      <c r="Q37" s="14"/>
      <c r="R37" s="1"/>
      <c r="S37" s="40" t="str">
        <f t="shared" si="2"/>
        <v/>
      </c>
      <c r="T37" s="14"/>
      <c r="U37" s="1"/>
    </row>
    <row r="38" spans="1:21" x14ac:dyDescent="0.25">
      <c r="A38">
        <v>2033</v>
      </c>
      <c r="B38">
        <f t="shared" si="1"/>
        <v>49</v>
      </c>
      <c r="D38" s="1"/>
      <c r="E38" s="1">
        <f t="shared" si="3"/>
        <v>2996</v>
      </c>
      <c r="F38" s="14"/>
      <c r="I38" s="1">
        <f t="shared" si="6"/>
        <v>0</v>
      </c>
      <c r="J38" s="14"/>
      <c r="L38" s="14"/>
      <c r="N38" s="14"/>
      <c r="O38" s="2">
        <f t="shared" si="5"/>
        <v>0</v>
      </c>
      <c r="P38" s="2">
        <f>SUM($O$6:O38)</f>
        <v>357918</v>
      </c>
      <c r="Q38" s="14"/>
      <c r="R38" s="1"/>
      <c r="S38" s="40" t="str">
        <f t="shared" si="2"/>
        <v/>
      </c>
      <c r="T38" s="14"/>
      <c r="U38" s="1"/>
    </row>
    <row r="39" spans="1:21" x14ac:dyDescent="0.25">
      <c r="A39">
        <v>2034</v>
      </c>
      <c r="B39">
        <f t="shared" si="1"/>
        <v>50</v>
      </c>
      <c r="D39" s="1"/>
      <c r="E39" s="1">
        <f t="shared" si="3"/>
        <v>2996</v>
      </c>
      <c r="F39" s="14"/>
      <c r="I39" s="1">
        <f t="shared" si="6"/>
        <v>0</v>
      </c>
      <c r="J39" s="14"/>
      <c r="L39" s="14"/>
      <c r="N39" s="14"/>
      <c r="O39" s="2">
        <f t="shared" si="5"/>
        <v>0</v>
      </c>
      <c r="P39" s="2">
        <f>SUM($O$6:O39)</f>
        <v>357918</v>
      </c>
      <c r="Q39" s="14"/>
      <c r="R39" s="1"/>
      <c r="S39" s="40" t="str">
        <f t="shared" si="2"/>
        <v/>
      </c>
      <c r="T39" s="14"/>
      <c r="U39" s="1"/>
    </row>
    <row r="40" spans="1:21" x14ac:dyDescent="0.25">
      <c r="A40">
        <v>2035</v>
      </c>
      <c r="B40">
        <f t="shared" si="1"/>
        <v>51</v>
      </c>
      <c r="D40" s="1"/>
      <c r="E40" s="1">
        <f t="shared" si="3"/>
        <v>2996</v>
      </c>
      <c r="F40" s="14"/>
      <c r="I40" s="1">
        <f t="shared" si="6"/>
        <v>0</v>
      </c>
      <c r="J40" s="14"/>
      <c r="L40" s="14"/>
      <c r="N40" s="14"/>
      <c r="O40" s="2">
        <f t="shared" si="5"/>
        <v>0</v>
      </c>
      <c r="P40" s="2">
        <f>SUM($O$6:O40)</f>
        <v>357918</v>
      </c>
      <c r="Q40" s="14"/>
      <c r="R40" s="1"/>
      <c r="S40" s="40" t="str">
        <f t="shared" si="2"/>
        <v/>
      </c>
      <c r="T40" s="14"/>
      <c r="U40" s="1"/>
    </row>
    <row r="41" spans="1:21" x14ac:dyDescent="0.25">
      <c r="A41">
        <v>2036</v>
      </c>
      <c r="B41">
        <f t="shared" si="1"/>
        <v>52</v>
      </c>
      <c r="D41" s="1"/>
      <c r="E41" s="1">
        <f t="shared" si="3"/>
        <v>2996</v>
      </c>
      <c r="F41" s="14"/>
      <c r="I41" s="1">
        <f t="shared" si="6"/>
        <v>0</v>
      </c>
      <c r="J41" s="14"/>
      <c r="L41" s="14"/>
      <c r="N41" s="14"/>
      <c r="O41" s="2">
        <f t="shared" si="5"/>
        <v>0</v>
      </c>
      <c r="P41" s="2">
        <f>SUM($O$6:O41)</f>
        <v>357918</v>
      </c>
      <c r="Q41" s="14"/>
      <c r="R41" s="1"/>
      <c r="S41" s="40" t="str">
        <f t="shared" si="2"/>
        <v/>
      </c>
      <c r="T41" s="14"/>
      <c r="U41" s="1"/>
    </row>
    <row r="42" spans="1:21" x14ac:dyDescent="0.25">
      <c r="A42">
        <v>2037</v>
      </c>
      <c r="B42">
        <f t="shared" si="1"/>
        <v>53</v>
      </c>
      <c r="D42" s="1"/>
      <c r="E42" s="1">
        <f t="shared" si="3"/>
        <v>2996</v>
      </c>
      <c r="F42" s="14"/>
      <c r="I42" s="1">
        <f t="shared" si="6"/>
        <v>0</v>
      </c>
      <c r="J42" s="14"/>
      <c r="L42" s="14"/>
      <c r="N42" s="14"/>
      <c r="O42" s="2">
        <f t="shared" si="5"/>
        <v>0</v>
      </c>
      <c r="P42" s="2">
        <f>SUM($O$6:O42)</f>
        <v>357918</v>
      </c>
      <c r="Q42" s="14"/>
      <c r="R42" s="1"/>
      <c r="S42" s="40" t="str">
        <f t="shared" si="2"/>
        <v/>
      </c>
      <c r="T42" s="14"/>
      <c r="U42" s="1"/>
    </row>
    <row r="43" spans="1:21" x14ac:dyDescent="0.25">
      <c r="A43">
        <v>2038</v>
      </c>
      <c r="B43">
        <f t="shared" si="1"/>
        <v>54</v>
      </c>
      <c r="D43" s="1"/>
      <c r="E43" s="1">
        <f t="shared" si="3"/>
        <v>2996</v>
      </c>
      <c r="F43" s="14"/>
      <c r="I43" s="1">
        <f t="shared" si="6"/>
        <v>0</v>
      </c>
      <c r="J43" s="14"/>
      <c r="L43" s="14"/>
      <c r="N43" s="14"/>
      <c r="O43" s="2">
        <f t="shared" si="5"/>
        <v>0</v>
      </c>
      <c r="P43" s="2">
        <f>SUM($O$6:O43)</f>
        <v>357918</v>
      </c>
      <c r="Q43" s="14"/>
      <c r="R43" s="1"/>
      <c r="S43" s="40" t="str">
        <f t="shared" si="2"/>
        <v/>
      </c>
      <c r="T43" s="14"/>
      <c r="U43" s="1"/>
    </row>
    <row r="44" spans="1:21" x14ac:dyDescent="0.25">
      <c r="A44">
        <v>2039</v>
      </c>
      <c r="B44">
        <f t="shared" si="1"/>
        <v>55</v>
      </c>
      <c r="D44" s="1"/>
      <c r="E44" s="1">
        <f t="shared" si="3"/>
        <v>2996</v>
      </c>
      <c r="F44" s="14"/>
      <c r="I44" s="1">
        <f t="shared" si="6"/>
        <v>0</v>
      </c>
      <c r="J44" s="14"/>
      <c r="L44" s="14"/>
      <c r="N44" s="14"/>
      <c r="O44" s="2">
        <f t="shared" si="5"/>
        <v>0</v>
      </c>
      <c r="P44" s="2">
        <f>SUM($O$6:O44)</f>
        <v>357918</v>
      </c>
      <c r="Q44" s="14"/>
      <c r="R44" s="1"/>
      <c r="S44" s="40" t="str">
        <f t="shared" si="2"/>
        <v/>
      </c>
      <c r="T44" s="14"/>
      <c r="U44" s="1"/>
    </row>
    <row r="45" spans="1:21" x14ac:dyDescent="0.25">
      <c r="A45">
        <v>2040</v>
      </c>
      <c r="B45">
        <f t="shared" ref="B45:B49" si="7">A45-1984</f>
        <v>56</v>
      </c>
      <c r="D45" s="1"/>
      <c r="E45" s="1">
        <f t="shared" si="3"/>
        <v>2996</v>
      </c>
      <c r="F45" s="14"/>
      <c r="I45" s="1">
        <f t="shared" si="6"/>
        <v>0</v>
      </c>
      <c r="J45" s="14"/>
      <c r="L45" s="14"/>
      <c r="N45" s="14"/>
      <c r="O45" s="2">
        <f t="shared" si="5"/>
        <v>0</v>
      </c>
      <c r="P45" s="2">
        <f>SUM($O$6:O45)</f>
        <v>357918</v>
      </c>
      <c r="Q45" s="14"/>
      <c r="R45" s="1"/>
      <c r="S45" s="40" t="str">
        <f t="shared" si="2"/>
        <v/>
      </c>
      <c r="T45" s="14"/>
      <c r="U45" s="1"/>
    </row>
    <row r="46" spans="1:21" x14ac:dyDescent="0.25">
      <c r="A46">
        <v>2041</v>
      </c>
      <c r="B46">
        <f t="shared" si="7"/>
        <v>57</v>
      </c>
      <c r="D46" s="1"/>
      <c r="E46" s="1">
        <f t="shared" si="3"/>
        <v>2996</v>
      </c>
      <c r="F46" s="14"/>
      <c r="I46" s="1">
        <f t="shared" si="6"/>
        <v>0</v>
      </c>
      <c r="J46" s="14"/>
      <c r="L46" s="14"/>
      <c r="N46" s="14"/>
      <c r="O46" s="2">
        <f t="shared" si="5"/>
        <v>0</v>
      </c>
      <c r="P46" s="2">
        <f>SUM($O$6:O46)</f>
        <v>357918</v>
      </c>
      <c r="Q46" s="14"/>
      <c r="R46" s="1"/>
      <c r="S46" s="40" t="str">
        <f t="shared" si="2"/>
        <v/>
      </c>
      <c r="T46" s="14"/>
      <c r="U46" s="1"/>
    </row>
    <row r="47" spans="1:21" x14ac:dyDescent="0.25">
      <c r="A47">
        <v>2042</v>
      </c>
      <c r="B47">
        <f t="shared" si="7"/>
        <v>58</v>
      </c>
      <c r="D47" s="1"/>
      <c r="E47" s="1">
        <f t="shared" si="3"/>
        <v>2996</v>
      </c>
      <c r="F47" s="14"/>
      <c r="I47" s="1">
        <f t="shared" si="6"/>
        <v>0</v>
      </c>
      <c r="J47" s="14"/>
      <c r="L47" s="14"/>
      <c r="N47" s="14"/>
      <c r="O47" s="2">
        <f t="shared" si="5"/>
        <v>0</v>
      </c>
      <c r="P47" s="2">
        <f>SUM($O$6:O47)</f>
        <v>357918</v>
      </c>
      <c r="Q47" s="14"/>
      <c r="R47" s="1"/>
      <c r="S47" s="40" t="str">
        <f t="shared" si="2"/>
        <v/>
      </c>
      <c r="T47" s="14"/>
      <c r="U47" s="1"/>
    </row>
    <row r="48" spans="1:21" x14ac:dyDescent="0.25">
      <c r="A48">
        <v>2043</v>
      </c>
      <c r="B48">
        <f t="shared" si="7"/>
        <v>59</v>
      </c>
      <c r="D48" s="1"/>
      <c r="E48" s="1">
        <f t="shared" si="3"/>
        <v>2996</v>
      </c>
      <c r="F48" s="14"/>
      <c r="I48" s="1">
        <f t="shared" si="6"/>
        <v>0</v>
      </c>
      <c r="J48" s="14"/>
      <c r="L48" s="14"/>
      <c r="N48" s="14"/>
      <c r="O48" s="2">
        <f t="shared" si="5"/>
        <v>0</v>
      </c>
      <c r="P48" s="2">
        <f>SUM($O$6:O48)</f>
        <v>357918</v>
      </c>
      <c r="Q48" s="14"/>
      <c r="R48" s="1"/>
      <c r="S48" s="40" t="str">
        <f t="shared" si="2"/>
        <v/>
      </c>
      <c r="T48" s="14"/>
      <c r="U48" s="1"/>
    </row>
    <row r="49" spans="1:21" x14ac:dyDescent="0.25">
      <c r="A49">
        <v>2044</v>
      </c>
      <c r="B49">
        <f t="shared" si="7"/>
        <v>60</v>
      </c>
      <c r="D49" s="1"/>
      <c r="E49" s="1">
        <f t="shared" si="3"/>
        <v>2996</v>
      </c>
      <c r="F49" s="14"/>
      <c r="I49" s="1">
        <f t="shared" si="6"/>
        <v>0</v>
      </c>
      <c r="J49" s="14"/>
      <c r="L49" s="14"/>
      <c r="N49" s="14"/>
      <c r="O49" s="2">
        <f t="shared" si="5"/>
        <v>0</v>
      </c>
      <c r="P49" s="2">
        <f>SUM($O$6:O49)</f>
        <v>357918</v>
      </c>
      <c r="Q49" s="14"/>
      <c r="R49" s="1"/>
      <c r="S49" s="40" t="str">
        <f t="shared" si="2"/>
        <v/>
      </c>
      <c r="T49" s="14"/>
      <c r="U49" s="1"/>
    </row>
  </sheetData>
  <conditionalFormatting sqref="A6:S15 A16:C29 E16:S49 A30:D49">
    <cfRule type="expression" dxfId="3" priority="2">
      <formula>$A6=(YEAR(TODAY()))</formula>
    </cfRule>
  </conditionalFormatting>
  <conditionalFormatting sqref="T6:U49">
    <cfRule type="expression" dxfId="2" priority="1">
      <formula>$A6=(YEAR(TODAY()))</formula>
    </cfRule>
  </conditionalFormatting>
  <pageMargins left="0.7" right="0.7" top="0.75" bottom="0.75" header="0.3" footer="0.3"/>
  <pageSetup paperSize="11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7">
    <tabColor theme="8" tint="-0.499984740745262"/>
  </sheetPr>
  <dimension ref="A1:J47"/>
  <sheetViews>
    <sheetView workbookViewId="0">
      <selection activeCell="J23" sqref="J23"/>
    </sheetView>
  </sheetViews>
  <sheetFormatPr baseColWidth="10" defaultColWidth="11.42578125" defaultRowHeight="15" x14ac:dyDescent="0.25"/>
  <cols>
    <col min="1" max="1" width="6.85546875" style="12" bestFit="1" customWidth="1"/>
    <col min="2" max="3" width="10" style="12" customWidth="1"/>
    <col min="4" max="4" width="11.42578125" style="12"/>
    <col min="5" max="5" width="13" style="12" bestFit="1" customWidth="1"/>
    <col min="6" max="6" width="10.28515625" style="12" customWidth="1"/>
    <col min="7" max="7" width="14.42578125" style="12" customWidth="1"/>
    <col min="8" max="8" width="9.85546875" style="12" customWidth="1"/>
    <col min="10" max="10" width="13" bestFit="1" customWidth="1"/>
  </cols>
  <sheetData>
    <row r="1" spans="1:8" s="9" customFormat="1" ht="45" customHeight="1" x14ac:dyDescent="0.25">
      <c r="A1" s="63" t="s">
        <v>17</v>
      </c>
      <c r="B1" s="63" t="s">
        <v>15</v>
      </c>
      <c r="C1" s="63" t="s">
        <v>16</v>
      </c>
      <c r="D1" s="63" t="s">
        <v>38</v>
      </c>
      <c r="E1" s="63" t="s">
        <v>39</v>
      </c>
      <c r="F1" s="63" t="s">
        <v>18</v>
      </c>
      <c r="G1" s="63" t="s">
        <v>23</v>
      </c>
      <c r="H1" s="63" t="s">
        <v>21</v>
      </c>
    </row>
    <row r="2" spans="1:8" x14ac:dyDescent="0.25">
      <c r="A2" s="12">
        <v>2039</v>
      </c>
      <c r="B2" s="12">
        <v>55</v>
      </c>
      <c r="C2" s="12">
        <f>A2-2010</f>
        <v>29</v>
      </c>
      <c r="D2" s="45">
        <f ca="1">2*1.5%*$J$22</f>
        <v>5339.6138707961009</v>
      </c>
      <c r="E2" s="45">
        <f ca="1">(C2-2)*1.5%*$J$22</f>
        <v>72084.78725574736</v>
      </c>
      <c r="F2" s="40">
        <f>IF(4%*(65-B2)&lt;0%,0%,4%*(65-B2))</f>
        <v>0.4</v>
      </c>
      <c r="G2" s="45">
        <f ca="1">(D2+E2)*(1-F2)</f>
        <v>46454.640675926079</v>
      </c>
      <c r="H2" s="62">
        <f>70%-F2</f>
        <v>0.29999999999999993</v>
      </c>
    </row>
    <row r="3" spans="1:8" x14ac:dyDescent="0.25">
      <c r="A3" s="12">
        <v>2040</v>
      </c>
      <c r="B3" s="12">
        <v>56</v>
      </c>
      <c r="C3" s="12">
        <f t="shared" ref="C3:C11" si="0">A3-2010</f>
        <v>30</v>
      </c>
      <c r="D3" s="45">
        <f t="shared" ref="D3:D47" ca="1" si="1">2*1.5%*$J$22</f>
        <v>5339.6138707961009</v>
      </c>
      <c r="E3" s="45">
        <f t="shared" ref="E3:E47" ca="1" si="2">(C3-2)*1.5%*$J$22</f>
        <v>74754.594191145414</v>
      </c>
      <c r="F3" s="40">
        <f t="shared" ref="F3:F47" si="3">IF(4%*(65-B3)&lt;0%,0%,4%*(65-B3))</f>
        <v>0.36</v>
      </c>
      <c r="G3" s="45">
        <f t="shared" ref="G3:G13" ca="1" si="4">(D3+E3)*(1-F3)</f>
        <v>51260.293159642577</v>
      </c>
      <c r="H3" s="62">
        <f t="shared" ref="H3:H13" si="5">70%-F3</f>
        <v>0.33999999999999997</v>
      </c>
    </row>
    <row r="4" spans="1:8" x14ac:dyDescent="0.25">
      <c r="A4" s="12">
        <v>2041</v>
      </c>
      <c r="B4" s="12">
        <v>57</v>
      </c>
      <c r="C4" s="12">
        <f t="shared" si="0"/>
        <v>31</v>
      </c>
      <c r="D4" s="45">
        <f t="shared" ca="1" si="1"/>
        <v>5339.6138707961009</v>
      </c>
      <c r="E4" s="45">
        <f t="shared" ca="1" si="2"/>
        <v>77424.401126543467</v>
      </c>
      <c r="F4" s="40">
        <f t="shared" si="3"/>
        <v>0.32</v>
      </c>
      <c r="G4" s="45">
        <f t="shared" ca="1" si="4"/>
        <v>56279.530198190907</v>
      </c>
      <c r="H4" s="62">
        <f t="shared" si="5"/>
        <v>0.37999999999999995</v>
      </c>
    </row>
    <row r="5" spans="1:8" x14ac:dyDescent="0.25">
      <c r="A5" s="12">
        <v>2042</v>
      </c>
      <c r="B5" s="12">
        <v>58</v>
      </c>
      <c r="C5" s="12">
        <f t="shared" si="0"/>
        <v>32</v>
      </c>
      <c r="D5" s="45">
        <f t="shared" ca="1" si="1"/>
        <v>5339.6138707961009</v>
      </c>
      <c r="E5" s="45">
        <f t="shared" ca="1" si="2"/>
        <v>80094.208061941506</v>
      </c>
      <c r="F5" s="40">
        <f t="shared" si="3"/>
        <v>0.28000000000000003</v>
      </c>
      <c r="G5" s="45">
        <f t="shared" ca="1" si="4"/>
        <v>61512.351791571076</v>
      </c>
      <c r="H5" s="62">
        <f t="shared" si="5"/>
        <v>0.41999999999999993</v>
      </c>
    </row>
    <row r="6" spans="1:8" x14ac:dyDescent="0.25">
      <c r="A6" s="12">
        <v>2043</v>
      </c>
      <c r="B6" s="12">
        <v>59</v>
      </c>
      <c r="C6" s="12">
        <f t="shared" si="0"/>
        <v>33</v>
      </c>
      <c r="D6" s="45">
        <f t="shared" ca="1" si="1"/>
        <v>5339.6138707961009</v>
      </c>
      <c r="E6" s="45">
        <f t="shared" ca="1" si="2"/>
        <v>82764.01499733956</v>
      </c>
      <c r="F6" s="40">
        <f t="shared" si="3"/>
        <v>0.24</v>
      </c>
      <c r="G6" s="45">
        <f t="shared" ca="1" si="4"/>
        <v>66958.757939783114</v>
      </c>
      <c r="H6" s="62">
        <f t="shared" si="5"/>
        <v>0.45999999999999996</v>
      </c>
    </row>
    <row r="7" spans="1:8" x14ac:dyDescent="0.25">
      <c r="A7" s="12">
        <v>2044</v>
      </c>
      <c r="B7" s="12">
        <v>60</v>
      </c>
      <c r="C7" s="12">
        <f t="shared" si="0"/>
        <v>34</v>
      </c>
      <c r="D7" s="45">
        <f t="shared" ca="1" si="1"/>
        <v>5339.6138707961009</v>
      </c>
      <c r="E7" s="45">
        <f t="shared" ca="1" si="2"/>
        <v>85433.821932737614</v>
      </c>
      <c r="F7" s="40">
        <f t="shared" si="3"/>
        <v>0.2</v>
      </c>
      <c r="G7" s="45">
        <f t="shared" ca="1" si="4"/>
        <v>72618.748642826977</v>
      </c>
      <c r="H7" s="62">
        <f t="shared" si="5"/>
        <v>0.49999999999999994</v>
      </c>
    </row>
    <row r="8" spans="1:8" x14ac:dyDescent="0.25">
      <c r="A8" s="12">
        <v>2045</v>
      </c>
      <c r="B8" s="12">
        <v>61</v>
      </c>
      <c r="C8" s="12">
        <f t="shared" si="0"/>
        <v>35</v>
      </c>
      <c r="D8" s="45">
        <f t="shared" ca="1" si="1"/>
        <v>5339.6138707961009</v>
      </c>
      <c r="E8" s="45">
        <f t="shared" ca="1" si="2"/>
        <v>88103.628868135667</v>
      </c>
      <c r="F8" s="40">
        <f t="shared" si="3"/>
        <v>0.16</v>
      </c>
      <c r="G8" s="45">
        <f t="shared" ca="1" si="4"/>
        <v>78492.323900702686</v>
      </c>
      <c r="H8" s="62">
        <f t="shared" si="5"/>
        <v>0.53999999999999992</v>
      </c>
    </row>
    <row r="9" spans="1:8" x14ac:dyDescent="0.25">
      <c r="A9" s="12">
        <v>2046</v>
      </c>
      <c r="B9" s="12">
        <v>62</v>
      </c>
      <c r="C9" s="12">
        <f t="shared" si="0"/>
        <v>36</v>
      </c>
      <c r="D9" s="45">
        <f t="shared" ca="1" si="1"/>
        <v>5339.6138707961009</v>
      </c>
      <c r="E9" s="45">
        <f t="shared" ca="1" si="2"/>
        <v>90773.435803533721</v>
      </c>
      <c r="F9" s="40">
        <f t="shared" si="3"/>
        <v>0.12</v>
      </c>
      <c r="G9" s="45">
        <f t="shared" ca="1" si="4"/>
        <v>84579.483713410256</v>
      </c>
      <c r="H9" s="62">
        <f t="shared" si="5"/>
        <v>0.57999999999999996</v>
      </c>
    </row>
    <row r="10" spans="1:8" x14ac:dyDescent="0.25">
      <c r="A10" s="12">
        <v>2047</v>
      </c>
      <c r="B10" s="12">
        <v>63</v>
      </c>
      <c r="C10" s="12">
        <f t="shared" si="0"/>
        <v>37</v>
      </c>
      <c r="D10" s="45">
        <f t="shared" ca="1" si="1"/>
        <v>5339.6138707961009</v>
      </c>
      <c r="E10" s="45">
        <f t="shared" ca="1" si="2"/>
        <v>93443.242738931775</v>
      </c>
      <c r="F10" s="40">
        <f t="shared" si="3"/>
        <v>0.08</v>
      </c>
      <c r="G10" s="45">
        <f t="shared" ca="1" si="4"/>
        <v>90880.228080949659</v>
      </c>
      <c r="H10" s="62">
        <f t="shared" si="5"/>
        <v>0.62</v>
      </c>
    </row>
    <row r="11" spans="1:8" x14ac:dyDescent="0.25">
      <c r="A11" s="12">
        <v>2048</v>
      </c>
      <c r="B11" s="12">
        <v>64</v>
      </c>
      <c r="C11" s="12">
        <f t="shared" si="0"/>
        <v>38</v>
      </c>
      <c r="D11" s="45">
        <f t="shared" ca="1" si="1"/>
        <v>5339.6138707961009</v>
      </c>
      <c r="E11" s="45">
        <f t="shared" ca="1" si="2"/>
        <v>96113.049674329828</v>
      </c>
      <c r="F11" s="40">
        <f t="shared" si="3"/>
        <v>0.04</v>
      </c>
      <c r="G11" s="45">
        <f t="shared" ca="1" si="4"/>
        <v>97394.557003320893</v>
      </c>
      <c r="H11" s="62">
        <f t="shared" si="5"/>
        <v>0.65999999999999992</v>
      </c>
    </row>
    <row r="12" spans="1:8" x14ac:dyDescent="0.25">
      <c r="A12" s="12">
        <v>2049</v>
      </c>
      <c r="B12" s="12">
        <v>65</v>
      </c>
      <c r="C12" s="12">
        <f>A12-2010</f>
        <v>39</v>
      </c>
      <c r="D12" s="45">
        <f t="shared" ca="1" si="1"/>
        <v>5339.6138707961009</v>
      </c>
      <c r="E12" s="45">
        <f t="shared" ca="1" si="2"/>
        <v>98782.856609727867</v>
      </c>
      <c r="F12" s="40">
        <f t="shared" si="3"/>
        <v>0</v>
      </c>
      <c r="G12" s="45">
        <f t="shared" ca="1" si="4"/>
        <v>104122.47048052397</v>
      </c>
      <c r="H12" s="62">
        <f t="shared" si="5"/>
        <v>0.7</v>
      </c>
    </row>
    <row r="13" spans="1:8" x14ac:dyDescent="0.25">
      <c r="A13" s="12">
        <v>2050</v>
      </c>
      <c r="B13" s="12">
        <v>66</v>
      </c>
      <c r="C13" s="12">
        <f t="shared" ref="C13:C32" si="6">A13-2010</f>
        <v>40</v>
      </c>
      <c r="D13" s="45">
        <f t="shared" ca="1" si="1"/>
        <v>5339.6138707961009</v>
      </c>
      <c r="E13" s="45">
        <f t="shared" ca="1" si="2"/>
        <v>101452.66354512592</v>
      </c>
      <c r="F13" s="40">
        <f t="shared" si="3"/>
        <v>0</v>
      </c>
      <c r="G13" s="45">
        <f t="shared" ca="1" si="4"/>
        <v>106792.27741592203</v>
      </c>
      <c r="H13" s="62">
        <f t="shared" si="5"/>
        <v>0.7</v>
      </c>
    </row>
    <row r="14" spans="1:8" x14ac:dyDescent="0.25">
      <c r="A14" s="12">
        <v>2051</v>
      </c>
      <c r="B14" s="12">
        <v>67</v>
      </c>
      <c r="C14" s="12">
        <f t="shared" si="6"/>
        <v>41</v>
      </c>
      <c r="D14" s="45">
        <f t="shared" ca="1" si="1"/>
        <v>5339.6138707961009</v>
      </c>
      <c r="E14" s="45">
        <f t="shared" ca="1" si="2"/>
        <v>104122.47048052397</v>
      </c>
      <c r="F14" s="40">
        <f t="shared" si="3"/>
        <v>0</v>
      </c>
      <c r="G14" s="45">
        <f t="shared" ref="G14:G32" ca="1" si="7">(D14+E14)*(1-F14)</f>
        <v>109462.08435132008</v>
      </c>
      <c r="H14" s="62">
        <f t="shared" ref="H14:H32" si="8">70%-F14</f>
        <v>0.7</v>
      </c>
    </row>
    <row r="15" spans="1:8" x14ac:dyDescent="0.25">
      <c r="A15" s="12">
        <v>2052</v>
      </c>
      <c r="B15" s="12">
        <v>68</v>
      </c>
      <c r="C15" s="12">
        <f t="shared" si="6"/>
        <v>42</v>
      </c>
      <c r="D15" s="45">
        <f t="shared" ca="1" si="1"/>
        <v>5339.6138707961009</v>
      </c>
      <c r="E15" s="45">
        <f t="shared" ca="1" si="2"/>
        <v>106792.27741592203</v>
      </c>
      <c r="F15" s="40">
        <f t="shared" si="3"/>
        <v>0</v>
      </c>
      <c r="G15" s="45">
        <f t="shared" ca="1" si="7"/>
        <v>112131.89128671814</v>
      </c>
      <c r="H15" s="62">
        <f t="shared" si="8"/>
        <v>0.7</v>
      </c>
    </row>
    <row r="16" spans="1:8" x14ac:dyDescent="0.25">
      <c r="A16" s="12">
        <v>2053</v>
      </c>
      <c r="B16" s="12">
        <v>69</v>
      </c>
      <c r="C16" s="12">
        <f t="shared" si="6"/>
        <v>43</v>
      </c>
      <c r="D16" s="45">
        <f t="shared" ca="1" si="1"/>
        <v>5339.6138707961009</v>
      </c>
      <c r="E16" s="45">
        <f t="shared" ca="1" si="2"/>
        <v>109462.08435132008</v>
      </c>
      <c r="F16" s="40">
        <f t="shared" si="3"/>
        <v>0</v>
      </c>
      <c r="G16" s="45">
        <f t="shared" ca="1" si="7"/>
        <v>114801.69822211619</v>
      </c>
      <c r="H16" s="62">
        <f t="shared" si="8"/>
        <v>0.7</v>
      </c>
    </row>
    <row r="17" spans="1:10" x14ac:dyDescent="0.25">
      <c r="A17" s="12">
        <v>2054</v>
      </c>
      <c r="B17" s="12">
        <v>70</v>
      </c>
      <c r="C17" s="12">
        <f t="shared" si="6"/>
        <v>44</v>
      </c>
      <c r="D17" s="45">
        <f t="shared" ca="1" si="1"/>
        <v>5339.6138707961009</v>
      </c>
      <c r="E17" s="45">
        <f t="shared" ca="1" si="2"/>
        <v>112131.89128671814</v>
      </c>
      <c r="F17" s="40">
        <f t="shared" si="3"/>
        <v>0</v>
      </c>
      <c r="G17" s="45">
        <f t="shared" ca="1" si="7"/>
        <v>117471.50515751424</v>
      </c>
      <c r="H17" s="62">
        <f t="shared" si="8"/>
        <v>0.7</v>
      </c>
    </row>
    <row r="18" spans="1:10" x14ac:dyDescent="0.25">
      <c r="A18" s="12">
        <v>2055</v>
      </c>
      <c r="B18" s="12">
        <v>71</v>
      </c>
      <c r="C18" s="12">
        <f t="shared" si="6"/>
        <v>45</v>
      </c>
      <c r="D18" s="45">
        <f t="shared" ca="1" si="1"/>
        <v>5339.6138707961009</v>
      </c>
      <c r="E18" s="45">
        <f t="shared" ca="1" si="2"/>
        <v>114801.69822211619</v>
      </c>
      <c r="F18" s="40">
        <f t="shared" si="3"/>
        <v>0</v>
      </c>
      <c r="G18" s="45">
        <f t="shared" ca="1" si="7"/>
        <v>120141.3120929123</v>
      </c>
      <c r="H18" s="62">
        <f t="shared" si="8"/>
        <v>0.7</v>
      </c>
    </row>
    <row r="19" spans="1:10" x14ac:dyDescent="0.25">
      <c r="A19" s="12">
        <v>2056</v>
      </c>
      <c r="B19" s="12">
        <v>72</v>
      </c>
      <c r="C19" s="12">
        <f t="shared" si="6"/>
        <v>46</v>
      </c>
      <c r="D19" s="45">
        <f t="shared" ca="1" si="1"/>
        <v>5339.6138707961009</v>
      </c>
      <c r="E19" s="45">
        <f t="shared" ca="1" si="2"/>
        <v>117471.50515751421</v>
      </c>
      <c r="F19" s="40">
        <f t="shared" si="3"/>
        <v>0</v>
      </c>
      <c r="G19" s="45">
        <f t="shared" ca="1" si="7"/>
        <v>122811.11902831032</v>
      </c>
      <c r="H19" s="62">
        <f t="shared" si="8"/>
        <v>0.7</v>
      </c>
    </row>
    <row r="20" spans="1:10" x14ac:dyDescent="0.25">
      <c r="A20" s="12">
        <v>2057</v>
      </c>
      <c r="B20" s="12">
        <v>73</v>
      </c>
      <c r="C20" s="12">
        <f t="shared" si="6"/>
        <v>47</v>
      </c>
      <c r="D20" s="45">
        <f t="shared" ca="1" si="1"/>
        <v>5339.6138707961009</v>
      </c>
      <c r="E20" s="45">
        <f t="shared" ca="1" si="2"/>
        <v>120141.31209291227</v>
      </c>
      <c r="F20" s="40">
        <f t="shared" si="3"/>
        <v>0</v>
      </c>
      <c r="G20" s="45">
        <f t="shared" ca="1" si="7"/>
        <v>125480.92596370837</v>
      </c>
      <c r="H20" s="62">
        <f t="shared" si="8"/>
        <v>0.7</v>
      </c>
    </row>
    <row r="21" spans="1:10" x14ac:dyDescent="0.25">
      <c r="A21" s="12">
        <v>2058</v>
      </c>
      <c r="B21" s="12">
        <v>74</v>
      </c>
      <c r="C21" s="12">
        <f t="shared" si="6"/>
        <v>48</v>
      </c>
      <c r="D21" s="45">
        <f t="shared" ca="1" si="1"/>
        <v>5339.6138707961009</v>
      </c>
      <c r="E21" s="45">
        <f t="shared" ca="1" si="2"/>
        <v>122811.11902831032</v>
      </c>
      <c r="F21" s="40">
        <f t="shared" si="3"/>
        <v>0</v>
      </c>
      <c r="G21" s="45">
        <f t="shared" ca="1" si="7"/>
        <v>128150.73289910643</v>
      </c>
      <c r="H21" s="62">
        <f t="shared" si="8"/>
        <v>0.7</v>
      </c>
      <c r="J21" t="s">
        <v>302</v>
      </c>
    </row>
    <row r="22" spans="1:10" x14ac:dyDescent="0.25">
      <c r="A22" s="12">
        <v>2059</v>
      </c>
      <c r="B22" s="12">
        <v>75</v>
      </c>
      <c r="C22" s="12">
        <f t="shared" si="6"/>
        <v>49</v>
      </c>
      <c r="D22" s="45">
        <f t="shared" ca="1" si="1"/>
        <v>5339.6138707961009</v>
      </c>
      <c r="E22" s="45">
        <f t="shared" ca="1" si="2"/>
        <v>125480.92596370837</v>
      </c>
      <c r="F22" s="40">
        <f t="shared" si="3"/>
        <v>0</v>
      </c>
      <c r="G22" s="45">
        <f t="shared" ca="1" si="7"/>
        <v>130820.53983450448</v>
      </c>
      <c r="H22" s="62">
        <f t="shared" si="8"/>
        <v>0.7</v>
      </c>
      <c r="J22" s="1">
        <f ca="1">(Ressources!G2)*POWER(1.025,(2039-YEAR(TODAY())))</f>
        <v>177987.12902653671</v>
      </c>
    </row>
    <row r="23" spans="1:10" x14ac:dyDescent="0.25">
      <c r="A23" s="12">
        <v>2060</v>
      </c>
      <c r="B23" s="12">
        <v>76</v>
      </c>
      <c r="C23" s="12">
        <f t="shared" si="6"/>
        <v>50</v>
      </c>
      <c r="D23" s="45">
        <f t="shared" ca="1" si="1"/>
        <v>5339.6138707961009</v>
      </c>
      <c r="E23" s="45">
        <f t="shared" ca="1" si="2"/>
        <v>128150.73289910643</v>
      </c>
      <c r="F23" s="40">
        <f t="shared" si="3"/>
        <v>0</v>
      </c>
      <c r="G23" s="45">
        <f t="shared" ca="1" si="7"/>
        <v>133490.34676990254</v>
      </c>
      <c r="H23" s="62">
        <f t="shared" si="8"/>
        <v>0.7</v>
      </c>
    </row>
    <row r="24" spans="1:10" x14ac:dyDescent="0.25">
      <c r="A24" s="12">
        <v>2061</v>
      </c>
      <c r="B24" s="12">
        <v>77</v>
      </c>
      <c r="C24" s="12">
        <f t="shared" si="6"/>
        <v>51</v>
      </c>
      <c r="D24" s="45">
        <f t="shared" ca="1" si="1"/>
        <v>5339.6138707961009</v>
      </c>
      <c r="E24" s="45">
        <f t="shared" ca="1" si="2"/>
        <v>130820.53983450448</v>
      </c>
      <c r="F24" s="40">
        <f t="shared" si="3"/>
        <v>0</v>
      </c>
      <c r="G24" s="45">
        <f t="shared" ca="1" si="7"/>
        <v>136160.15370530059</v>
      </c>
      <c r="H24" s="62">
        <f t="shared" si="8"/>
        <v>0.7</v>
      </c>
    </row>
    <row r="25" spans="1:10" x14ac:dyDescent="0.25">
      <c r="A25" s="12">
        <v>2062</v>
      </c>
      <c r="B25" s="12">
        <v>78</v>
      </c>
      <c r="C25" s="12">
        <f t="shared" si="6"/>
        <v>52</v>
      </c>
      <c r="D25" s="45">
        <f t="shared" ca="1" si="1"/>
        <v>5339.6138707961009</v>
      </c>
      <c r="E25" s="45">
        <f t="shared" ca="1" si="2"/>
        <v>133490.34676990254</v>
      </c>
      <c r="F25" s="40">
        <f t="shared" si="3"/>
        <v>0</v>
      </c>
      <c r="G25" s="45">
        <f t="shared" ca="1" si="7"/>
        <v>138829.96064069864</v>
      </c>
      <c r="H25" s="62">
        <f t="shared" si="8"/>
        <v>0.7</v>
      </c>
    </row>
    <row r="26" spans="1:10" x14ac:dyDescent="0.25">
      <c r="A26" s="12">
        <v>2063</v>
      </c>
      <c r="B26" s="12">
        <v>79</v>
      </c>
      <c r="C26" s="12">
        <f t="shared" si="6"/>
        <v>53</v>
      </c>
      <c r="D26" s="45">
        <f t="shared" ca="1" si="1"/>
        <v>5339.6138707961009</v>
      </c>
      <c r="E26" s="45">
        <f t="shared" ca="1" si="2"/>
        <v>136160.15370530059</v>
      </c>
      <c r="F26" s="40">
        <f t="shared" si="3"/>
        <v>0</v>
      </c>
      <c r="G26" s="45">
        <f t="shared" ca="1" si="7"/>
        <v>141499.7675760967</v>
      </c>
      <c r="H26" s="62">
        <f t="shared" si="8"/>
        <v>0.7</v>
      </c>
    </row>
    <row r="27" spans="1:10" x14ac:dyDescent="0.25">
      <c r="A27" s="12">
        <v>2064</v>
      </c>
      <c r="B27" s="12">
        <v>80</v>
      </c>
      <c r="C27" s="12">
        <f t="shared" si="6"/>
        <v>54</v>
      </c>
      <c r="D27" s="45">
        <f t="shared" ca="1" si="1"/>
        <v>5339.6138707961009</v>
      </c>
      <c r="E27" s="45">
        <f t="shared" ca="1" si="2"/>
        <v>138829.96064069864</v>
      </c>
      <c r="F27" s="40">
        <f t="shared" si="3"/>
        <v>0</v>
      </c>
      <c r="G27" s="45">
        <f t="shared" ca="1" si="7"/>
        <v>144169.57451149475</v>
      </c>
      <c r="H27" s="62">
        <f t="shared" si="8"/>
        <v>0.7</v>
      </c>
    </row>
    <row r="28" spans="1:10" x14ac:dyDescent="0.25">
      <c r="A28" s="12">
        <v>2065</v>
      </c>
      <c r="B28" s="12">
        <v>81</v>
      </c>
      <c r="C28" s="12">
        <f t="shared" si="6"/>
        <v>55</v>
      </c>
      <c r="D28" s="45">
        <f t="shared" ca="1" si="1"/>
        <v>5339.6138707961009</v>
      </c>
      <c r="E28" s="45">
        <f t="shared" ca="1" si="2"/>
        <v>141499.76757609667</v>
      </c>
      <c r="F28" s="40">
        <f t="shared" si="3"/>
        <v>0</v>
      </c>
      <c r="G28" s="45">
        <f t="shared" ca="1" si="7"/>
        <v>146839.38144689277</v>
      </c>
      <c r="H28" s="62">
        <f t="shared" si="8"/>
        <v>0.7</v>
      </c>
    </row>
    <row r="29" spans="1:10" x14ac:dyDescent="0.25">
      <c r="A29" s="12">
        <v>2066</v>
      </c>
      <c r="B29" s="12">
        <v>82</v>
      </c>
      <c r="C29" s="12">
        <f t="shared" si="6"/>
        <v>56</v>
      </c>
      <c r="D29" s="45">
        <f t="shared" ca="1" si="1"/>
        <v>5339.6138707961009</v>
      </c>
      <c r="E29" s="45">
        <f t="shared" ca="1" si="2"/>
        <v>144169.57451149472</v>
      </c>
      <c r="F29" s="40">
        <f t="shared" si="3"/>
        <v>0</v>
      </c>
      <c r="G29" s="45">
        <f t="shared" ca="1" si="7"/>
        <v>149509.18838229083</v>
      </c>
      <c r="H29" s="62">
        <f t="shared" si="8"/>
        <v>0.7</v>
      </c>
    </row>
    <row r="30" spans="1:10" x14ac:dyDescent="0.25">
      <c r="A30" s="12">
        <v>2067</v>
      </c>
      <c r="B30" s="12">
        <v>83</v>
      </c>
      <c r="C30" s="12">
        <f t="shared" si="6"/>
        <v>57</v>
      </c>
      <c r="D30" s="45">
        <f t="shared" ca="1" si="1"/>
        <v>5339.6138707961009</v>
      </c>
      <c r="E30" s="45">
        <f t="shared" ca="1" si="2"/>
        <v>146839.38144689277</v>
      </c>
      <c r="F30" s="40">
        <f t="shared" si="3"/>
        <v>0</v>
      </c>
      <c r="G30" s="45">
        <f t="shared" ca="1" si="7"/>
        <v>152178.99531768888</v>
      </c>
      <c r="H30" s="62">
        <f t="shared" si="8"/>
        <v>0.7</v>
      </c>
    </row>
    <row r="31" spans="1:10" x14ac:dyDescent="0.25">
      <c r="A31" s="12">
        <v>2068</v>
      </c>
      <c r="B31" s="12">
        <v>84</v>
      </c>
      <c r="C31" s="12">
        <f t="shared" si="6"/>
        <v>58</v>
      </c>
      <c r="D31" s="45">
        <f t="shared" ca="1" si="1"/>
        <v>5339.6138707961009</v>
      </c>
      <c r="E31" s="45">
        <f t="shared" ca="1" si="2"/>
        <v>149509.18838229083</v>
      </c>
      <c r="F31" s="40">
        <f t="shared" si="3"/>
        <v>0</v>
      </c>
      <c r="G31" s="45">
        <f t="shared" ca="1" si="7"/>
        <v>154848.80225308693</v>
      </c>
      <c r="H31" s="62">
        <f t="shared" si="8"/>
        <v>0.7</v>
      </c>
    </row>
    <row r="32" spans="1:10" x14ac:dyDescent="0.25">
      <c r="A32" s="12">
        <v>2069</v>
      </c>
      <c r="B32" s="12">
        <v>85</v>
      </c>
      <c r="C32" s="12">
        <f t="shared" si="6"/>
        <v>59</v>
      </c>
      <c r="D32" s="45">
        <f t="shared" ca="1" si="1"/>
        <v>5339.6138707961009</v>
      </c>
      <c r="E32" s="45">
        <f t="shared" ca="1" si="2"/>
        <v>152178.99531768888</v>
      </c>
      <c r="F32" s="40">
        <f t="shared" si="3"/>
        <v>0</v>
      </c>
      <c r="G32" s="45">
        <f t="shared" ca="1" si="7"/>
        <v>157518.60918848499</v>
      </c>
      <c r="H32" s="62">
        <f t="shared" si="8"/>
        <v>0.7</v>
      </c>
    </row>
    <row r="33" spans="1:8" x14ac:dyDescent="0.25">
      <c r="A33" s="12">
        <v>2070</v>
      </c>
      <c r="B33" s="12">
        <v>86</v>
      </c>
      <c r="C33" s="12">
        <f>A33-2010</f>
        <v>60</v>
      </c>
      <c r="D33" s="45">
        <f t="shared" ca="1" si="1"/>
        <v>5339.6138707961009</v>
      </c>
      <c r="E33" s="45">
        <f t="shared" ca="1" si="2"/>
        <v>154848.80225308693</v>
      </c>
      <c r="F33" s="40">
        <f t="shared" si="3"/>
        <v>0</v>
      </c>
      <c r="G33" s="45">
        <f ca="1">(D33+E33)*(1-F33)</f>
        <v>160188.41612388304</v>
      </c>
      <c r="H33" s="62">
        <f>70%-F33</f>
        <v>0.7</v>
      </c>
    </row>
    <row r="34" spans="1:8" x14ac:dyDescent="0.25">
      <c r="A34" s="12">
        <v>2071</v>
      </c>
      <c r="B34" s="12">
        <v>87</v>
      </c>
      <c r="C34" s="12">
        <f t="shared" ref="C34:C41" si="9">A34-2010</f>
        <v>61</v>
      </c>
      <c r="D34" s="45">
        <f t="shared" ca="1" si="1"/>
        <v>5339.6138707961009</v>
      </c>
      <c r="E34" s="45">
        <f t="shared" ca="1" si="2"/>
        <v>157518.60918848499</v>
      </c>
      <c r="F34" s="40">
        <f t="shared" si="3"/>
        <v>0</v>
      </c>
      <c r="G34" s="45">
        <f t="shared" ref="G34:G41" ca="1" si="10">(D34+E34)*(1-F34)</f>
        <v>162858.2230592811</v>
      </c>
      <c r="H34" s="62">
        <f t="shared" ref="H34:H41" si="11">70%-F34</f>
        <v>0.7</v>
      </c>
    </row>
    <row r="35" spans="1:8" x14ac:dyDescent="0.25">
      <c r="A35" s="12">
        <v>2072</v>
      </c>
      <c r="B35" s="12">
        <v>88</v>
      </c>
      <c r="C35" s="12">
        <f t="shared" si="9"/>
        <v>62</v>
      </c>
      <c r="D35" s="45">
        <f t="shared" ca="1" si="1"/>
        <v>5339.6138707961009</v>
      </c>
      <c r="E35" s="45">
        <f t="shared" ca="1" si="2"/>
        <v>160188.41612388301</v>
      </c>
      <c r="F35" s="40">
        <f t="shared" si="3"/>
        <v>0</v>
      </c>
      <c r="G35" s="45">
        <f t="shared" ca="1" si="10"/>
        <v>165528.02999467912</v>
      </c>
      <c r="H35" s="62">
        <f t="shared" si="11"/>
        <v>0.7</v>
      </c>
    </row>
    <row r="36" spans="1:8" x14ac:dyDescent="0.25">
      <c r="A36" s="12">
        <v>2073</v>
      </c>
      <c r="B36" s="12">
        <v>89</v>
      </c>
      <c r="C36" s="12">
        <f t="shared" si="9"/>
        <v>63</v>
      </c>
      <c r="D36" s="45">
        <f t="shared" ca="1" si="1"/>
        <v>5339.6138707961009</v>
      </c>
      <c r="E36" s="45">
        <f t="shared" ca="1" si="2"/>
        <v>162858.22305928107</v>
      </c>
      <c r="F36" s="40">
        <f t="shared" si="3"/>
        <v>0</v>
      </c>
      <c r="G36" s="45">
        <f t="shared" ca="1" si="10"/>
        <v>168197.83693007717</v>
      </c>
      <c r="H36" s="62">
        <f t="shared" si="11"/>
        <v>0.7</v>
      </c>
    </row>
    <row r="37" spans="1:8" x14ac:dyDescent="0.25">
      <c r="A37" s="12">
        <v>2074</v>
      </c>
      <c r="B37" s="12">
        <v>90</v>
      </c>
      <c r="C37" s="12">
        <f t="shared" si="9"/>
        <v>64</v>
      </c>
      <c r="D37" s="45">
        <f t="shared" ca="1" si="1"/>
        <v>5339.6138707961009</v>
      </c>
      <c r="E37" s="45">
        <f t="shared" ca="1" si="2"/>
        <v>165528.02999467912</v>
      </c>
      <c r="F37" s="40">
        <f t="shared" si="3"/>
        <v>0</v>
      </c>
      <c r="G37" s="45">
        <f t="shared" ca="1" si="10"/>
        <v>170867.64386547523</v>
      </c>
      <c r="H37" s="62">
        <f t="shared" si="11"/>
        <v>0.7</v>
      </c>
    </row>
    <row r="38" spans="1:8" x14ac:dyDescent="0.25">
      <c r="A38" s="12">
        <v>2075</v>
      </c>
      <c r="B38" s="12">
        <v>91</v>
      </c>
      <c r="C38" s="12">
        <f t="shared" si="9"/>
        <v>65</v>
      </c>
      <c r="D38" s="45">
        <f t="shared" ca="1" si="1"/>
        <v>5339.6138707961009</v>
      </c>
      <c r="E38" s="45">
        <f t="shared" ca="1" si="2"/>
        <v>168197.83693007717</v>
      </c>
      <c r="F38" s="40">
        <f t="shared" si="3"/>
        <v>0</v>
      </c>
      <c r="G38" s="45">
        <f t="shared" ca="1" si="10"/>
        <v>173537.45080087328</v>
      </c>
      <c r="H38" s="62">
        <f t="shared" si="11"/>
        <v>0.7</v>
      </c>
    </row>
    <row r="39" spans="1:8" x14ac:dyDescent="0.25">
      <c r="A39" s="12">
        <v>2076</v>
      </c>
      <c r="B39" s="12">
        <v>92</v>
      </c>
      <c r="C39" s="12">
        <f t="shared" si="9"/>
        <v>66</v>
      </c>
      <c r="D39" s="45">
        <f t="shared" ca="1" si="1"/>
        <v>5339.6138707961009</v>
      </c>
      <c r="E39" s="45">
        <f t="shared" ca="1" si="2"/>
        <v>170867.64386547523</v>
      </c>
      <c r="F39" s="40">
        <f t="shared" si="3"/>
        <v>0</v>
      </c>
      <c r="G39" s="45">
        <f t="shared" ca="1" si="10"/>
        <v>176207.25773627133</v>
      </c>
      <c r="H39" s="62">
        <f t="shared" si="11"/>
        <v>0.7</v>
      </c>
    </row>
    <row r="40" spans="1:8" x14ac:dyDescent="0.25">
      <c r="A40" s="12">
        <v>2077</v>
      </c>
      <c r="B40" s="12">
        <v>93</v>
      </c>
      <c r="C40" s="12">
        <f t="shared" si="9"/>
        <v>67</v>
      </c>
      <c r="D40" s="45">
        <f t="shared" ca="1" si="1"/>
        <v>5339.6138707961009</v>
      </c>
      <c r="E40" s="45">
        <f t="shared" ca="1" si="2"/>
        <v>173537.45080087328</v>
      </c>
      <c r="F40" s="40">
        <f t="shared" si="3"/>
        <v>0</v>
      </c>
      <c r="G40" s="45">
        <f t="shared" ca="1" si="10"/>
        <v>178877.06467166939</v>
      </c>
      <c r="H40" s="62">
        <f t="shared" si="11"/>
        <v>0.7</v>
      </c>
    </row>
    <row r="41" spans="1:8" x14ac:dyDescent="0.25">
      <c r="A41" s="12">
        <v>2078</v>
      </c>
      <c r="B41" s="12">
        <v>94</v>
      </c>
      <c r="C41" s="12">
        <f t="shared" si="9"/>
        <v>68</v>
      </c>
      <c r="D41" s="45">
        <f t="shared" ca="1" si="1"/>
        <v>5339.6138707961009</v>
      </c>
      <c r="E41" s="45">
        <f t="shared" ca="1" si="2"/>
        <v>176207.25773627133</v>
      </c>
      <c r="F41" s="40">
        <f t="shared" si="3"/>
        <v>0</v>
      </c>
      <c r="G41" s="45">
        <f t="shared" ca="1" si="10"/>
        <v>181546.87160706744</v>
      </c>
      <c r="H41" s="62">
        <f t="shared" si="11"/>
        <v>0.7</v>
      </c>
    </row>
    <row r="42" spans="1:8" x14ac:dyDescent="0.25">
      <c r="A42" s="12">
        <v>2079</v>
      </c>
      <c r="B42" s="12">
        <v>95</v>
      </c>
      <c r="C42" s="12">
        <f>A42-2010</f>
        <v>69</v>
      </c>
      <c r="D42" s="45">
        <f t="shared" ca="1" si="1"/>
        <v>5339.6138707961009</v>
      </c>
      <c r="E42" s="45">
        <f t="shared" ca="1" si="2"/>
        <v>178877.06467166939</v>
      </c>
      <c r="F42" s="40">
        <f t="shared" si="3"/>
        <v>0</v>
      </c>
      <c r="G42" s="45">
        <f ca="1">(D42+E42)*(1-F42)</f>
        <v>184216.6785424655</v>
      </c>
      <c r="H42" s="62">
        <f>70%-F42</f>
        <v>0.7</v>
      </c>
    </row>
    <row r="43" spans="1:8" x14ac:dyDescent="0.25">
      <c r="A43" s="12">
        <v>2080</v>
      </c>
      <c r="B43" s="12">
        <v>96</v>
      </c>
      <c r="C43" s="12">
        <f t="shared" ref="C43:C45" si="12">A43-2010</f>
        <v>70</v>
      </c>
      <c r="D43" s="45">
        <f t="shared" ca="1" si="1"/>
        <v>5339.6138707961009</v>
      </c>
      <c r="E43" s="45">
        <f t="shared" ca="1" si="2"/>
        <v>181546.87160706744</v>
      </c>
      <c r="F43" s="40">
        <f t="shared" si="3"/>
        <v>0</v>
      </c>
      <c r="G43" s="45">
        <f t="shared" ref="G43:G45" ca="1" si="13">(D43+E43)*(1-F43)</f>
        <v>186886.48547786355</v>
      </c>
      <c r="H43" s="62">
        <f t="shared" ref="H43:H45" si="14">70%-F43</f>
        <v>0.7</v>
      </c>
    </row>
    <row r="44" spans="1:8" x14ac:dyDescent="0.25">
      <c r="A44" s="12">
        <v>2081</v>
      </c>
      <c r="B44" s="12">
        <v>97</v>
      </c>
      <c r="C44" s="12">
        <f t="shared" si="12"/>
        <v>71</v>
      </c>
      <c r="D44" s="45">
        <f t="shared" ca="1" si="1"/>
        <v>5339.6138707961009</v>
      </c>
      <c r="E44" s="45">
        <f t="shared" ca="1" si="2"/>
        <v>184216.6785424655</v>
      </c>
      <c r="F44" s="40">
        <f t="shared" si="3"/>
        <v>0</v>
      </c>
      <c r="G44" s="45">
        <f t="shared" ca="1" si="13"/>
        <v>189556.2924132616</v>
      </c>
      <c r="H44" s="62">
        <f t="shared" si="14"/>
        <v>0.7</v>
      </c>
    </row>
    <row r="45" spans="1:8" x14ac:dyDescent="0.25">
      <c r="A45" s="12">
        <v>2082</v>
      </c>
      <c r="B45" s="12">
        <v>98</v>
      </c>
      <c r="C45" s="12">
        <f t="shared" si="12"/>
        <v>72</v>
      </c>
      <c r="D45" s="45">
        <f t="shared" ca="1" si="1"/>
        <v>5339.6138707961009</v>
      </c>
      <c r="E45" s="45">
        <f t="shared" ca="1" si="2"/>
        <v>186886.48547786355</v>
      </c>
      <c r="F45" s="40">
        <f t="shared" si="3"/>
        <v>0</v>
      </c>
      <c r="G45" s="45">
        <f t="shared" ca="1" si="13"/>
        <v>192226.09934865966</v>
      </c>
      <c r="H45" s="62">
        <f t="shared" si="14"/>
        <v>0.7</v>
      </c>
    </row>
    <row r="46" spans="1:8" x14ac:dyDescent="0.25">
      <c r="A46" s="12">
        <v>2083</v>
      </c>
      <c r="B46" s="12">
        <v>99</v>
      </c>
      <c r="C46" s="12">
        <f>A46-2010</f>
        <v>73</v>
      </c>
      <c r="D46" s="45">
        <f t="shared" ca="1" si="1"/>
        <v>5339.6138707961009</v>
      </c>
      <c r="E46" s="45">
        <f t="shared" ca="1" si="2"/>
        <v>189556.2924132616</v>
      </c>
      <c r="F46" s="40">
        <f t="shared" si="3"/>
        <v>0</v>
      </c>
      <c r="G46" s="45">
        <f ca="1">(D46+E46)*(1-F46)</f>
        <v>194895.90628405771</v>
      </c>
      <c r="H46" s="62">
        <f>70%-F46</f>
        <v>0.7</v>
      </c>
    </row>
    <row r="47" spans="1:8" x14ac:dyDescent="0.25">
      <c r="A47" s="12">
        <v>2084</v>
      </c>
      <c r="B47" s="12">
        <v>100</v>
      </c>
      <c r="C47" s="12">
        <f t="shared" ref="C47" si="15">A47-2010</f>
        <v>74</v>
      </c>
      <c r="D47" s="45">
        <f t="shared" ca="1" si="1"/>
        <v>5339.6138707961009</v>
      </c>
      <c r="E47" s="45">
        <f t="shared" ca="1" si="2"/>
        <v>192226.09934865966</v>
      </c>
      <c r="F47" s="40">
        <f t="shared" si="3"/>
        <v>0</v>
      </c>
      <c r="G47" s="45">
        <f t="shared" ref="G47" ca="1" si="16">(D47+E47)*(1-F47)</f>
        <v>197565.71321945576</v>
      </c>
      <c r="H47" s="62">
        <f t="shared" ref="H47" si="17">70%-F47</f>
        <v>0.7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328FA-3A5B-43ED-9578-3797F4263FAF}">
  <sheetPr codeName="Feuil8">
    <tabColor theme="8" tint="-0.499984740745262"/>
  </sheetPr>
  <dimension ref="A2:NG89"/>
  <sheetViews>
    <sheetView workbookViewId="0">
      <selection activeCell="E18" sqref="E18"/>
    </sheetView>
  </sheetViews>
  <sheetFormatPr baseColWidth="10" defaultColWidth="11.42578125" defaultRowHeight="15" x14ac:dyDescent="0.25"/>
  <cols>
    <col min="1" max="1" width="3.28515625" customWidth="1"/>
    <col min="2" max="3" width="10.5703125" style="12" customWidth="1"/>
    <col min="4" max="4" width="10.5703125" customWidth="1"/>
    <col min="5" max="6" width="10.5703125" style="12" customWidth="1"/>
    <col min="7" max="8" width="10.5703125" style="51" customWidth="1"/>
    <col min="9" max="24" width="10.5703125" customWidth="1"/>
  </cols>
  <sheetData>
    <row r="2" spans="1:371" x14ac:dyDescent="0.25">
      <c r="B2" s="140" t="s">
        <v>160</v>
      </c>
      <c r="C2" s="140"/>
      <c r="D2" s="140"/>
      <c r="E2" s="140"/>
      <c r="G2" s="140" t="s">
        <v>198</v>
      </c>
      <c r="H2" s="140"/>
      <c r="I2" s="140"/>
      <c r="J2" s="140"/>
      <c r="L2" s="140" t="s">
        <v>199</v>
      </c>
      <c r="M2" s="140"/>
      <c r="N2" s="140"/>
      <c r="O2" s="140"/>
      <c r="Q2" s="140" t="s">
        <v>162</v>
      </c>
      <c r="R2" s="140"/>
      <c r="S2" s="140"/>
      <c r="T2" s="140"/>
      <c r="V2" s="140" t="s">
        <v>12</v>
      </c>
      <c r="W2" s="140"/>
      <c r="X2" s="140"/>
      <c r="Y2" s="140"/>
    </row>
    <row r="3" spans="1:371" x14ac:dyDescent="0.25">
      <c r="B3" s="140"/>
      <c r="C3" s="140"/>
      <c r="D3" s="140"/>
      <c r="E3" s="140"/>
      <c r="G3" s="187"/>
      <c r="H3" s="187"/>
      <c r="I3" s="187"/>
      <c r="J3" s="187"/>
      <c r="L3" s="140"/>
      <c r="M3" s="140"/>
      <c r="N3" s="140"/>
      <c r="O3" s="140"/>
      <c r="Q3" s="140"/>
      <c r="R3" s="140"/>
      <c r="S3" s="140"/>
      <c r="T3" s="140"/>
      <c r="V3" s="140"/>
      <c r="W3" s="140"/>
      <c r="X3" s="140"/>
      <c r="Y3" s="140"/>
    </row>
    <row r="4" spans="1:371" x14ac:dyDescent="0.25">
      <c r="B4" s="140"/>
      <c r="C4" s="140"/>
      <c r="D4" s="140"/>
      <c r="E4" s="140"/>
      <c r="G4" s="187"/>
      <c r="H4" s="187"/>
      <c r="I4" s="187"/>
      <c r="J4" s="187"/>
      <c r="L4" s="140"/>
      <c r="M4" s="140"/>
      <c r="N4" s="140"/>
      <c r="O4" s="140"/>
      <c r="Q4" s="140"/>
      <c r="R4" s="140"/>
      <c r="S4" s="140"/>
      <c r="T4" s="140"/>
      <c r="V4" s="140"/>
      <c r="W4" s="140"/>
      <c r="X4" s="140"/>
      <c r="Y4" s="140"/>
    </row>
    <row r="5" spans="1:371" x14ac:dyDescent="0.25">
      <c r="B5" s="140"/>
      <c r="C5" s="140"/>
      <c r="D5" s="140"/>
      <c r="E5" s="140"/>
      <c r="G5" s="187"/>
      <c r="H5" s="187"/>
      <c r="I5" s="187"/>
      <c r="J5" s="187"/>
      <c r="L5" s="140"/>
      <c r="M5" s="140"/>
      <c r="N5" s="140"/>
      <c r="O5" s="140"/>
      <c r="Q5" s="140"/>
      <c r="R5" s="140"/>
      <c r="S5" s="140"/>
      <c r="T5" s="140"/>
      <c r="V5" s="140"/>
      <c r="W5" s="140"/>
      <c r="X5" s="140"/>
      <c r="Y5" s="140"/>
    </row>
    <row r="6" spans="1:371" x14ac:dyDescent="0.25">
      <c r="B6" s="140"/>
      <c r="C6" s="140"/>
      <c r="D6" s="140"/>
      <c r="E6" s="140"/>
      <c r="G6" s="187"/>
      <c r="H6" s="187"/>
      <c r="I6" s="187"/>
      <c r="J6" s="187"/>
      <c r="L6" s="140"/>
      <c r="M6" s="140"/>
      <c r="N6" s="140"/>
      <c r="O6" s="140"/>
      <c r="Q6" s="140"/>
      <c r="R6" s="140"/>
      <c r="S6" s="140"/>
      <c r="T6" s="140"/>
      <c r="V6" s="140"/>
      <c r="W6" s="140"/>
      <c r="X6" s="140"/>
      <c r="Y6" s="140"/>
    </row>
    <row r="8" spans="1:371" x14ac:dyDescent="0.25">
      <c r="A8" s="86"/>
      <c r="B8" s="87"/>
      <c r="C8" s="87"/>
      <c r="D8" s="86"/>
      <c r="E8" s="87"/>
      <c r="F8" s="87"/>
      <c r="G8" s="88"/>
      <c r="H8" s="88"/>
      <c r="I8" s="86"/>
      <c r="J8" s="86"/>
      <c r="K8" s="86"/>
      <c r="L8" s="86"/>
      <c r="M8" s="86"/>
      <c r="N8" s="86"/>
      <c r="O8" s="86"/>
      <c r="P8" s="86"/>
      <c r="Q8" s="86"/>
      <c r="R8" s="86"/>
      <c r="S8" s="86"/>
      <c r="T8" s="86"/>
      <c r="U8" s="86"/>
      <c r="V8" s="86"/>
      <c r="W8" s="86"/>
      <c r="X8" s="86"/>
      <c r="Y8" s="86"/>
      <c r="Z8" s="86"/>
    </row>
    <row r="9" spans="1:371" x14ac:dyDescent="0.25">
      <c r="G9"/>
      <c r="H9"/>
    </row>
    <row r="10" spans="1:371" x14ac:dyDescent="0.25">
      <c r="G10" s="3">
        <f ca="1">TODAY()-365</f>
        <v>45768</v>
      </c>
      <c r="H10" s="3">
        <f ca="1">G10+1</f>
        <v>45769</v>
      </c>
      <c r="I10" s="3">
        <f t="shared" ref="I10:BT10" ca="1" si="0">H10+1</f>
        <v>45770</v>
      </c>
      <c r="J10" s="3">
        <f t="shared" ca="1" si="0"/>
        <v>45771</v>
      </c>
      <c r="K10" s="3">
        <f t="shared" ca="1" si="0"/>
        <v>45772</v>
      </c>
      <c r="L10" s="3">
        <f t="shared" ca="1" si="0"/>
        <v>45773</v>
      </c>
      <c r="M10" s="3">
        <f t="shared" ca="1" si="0"/>
        <v>45774</v>
      </c>
      <c r="N10" s="3">
        <f t="shared" ca="1" si="0"/>
        <v>45775</v>
      </c>
      <c r="O10" s="3">
        <f t="shared" ca="1" si="0"/>
        <v>45776</v>
      </c>
      <c r="P10" s="3">
        <f t="shared" ca="1" si="0"/>
        <v>45777</v>
      </c>
      <c r="Q10" s="3">
        <f t="shared" ca="1" si="0"/>
        <v>45778</v>
      </c>
      <c r="R10" s="3">
        <f t="shared" ca="1" si="0"/>
        <v>45779</v>
      </c>
      <c r="S10" s="3">
        <f t="shared" ca="1" si="0"/>
        <v>45780</v>
      </c>
      <c r="T10" s="3">
        <f t="shared" ca="1" si="0"/>
        <v>45781</v>
      </c>
      <c r="U10" s="3">
        <f t="shared" ca="1" si="0"/>
        <v>45782</v>
      </c>
      <c r="V10" s="3">
        <f t="shared" ca="1" si="0"/>
        <v>45783</v>
      </c>
      <c r="W10" s="3">
        <f t="shared" ca="1" si="0"/>
        <v>45784</v>
      </c>
      <c r="X10" s="3">
        <f t="shared" ca="1" si="0"/>
        <v>45785</v>
      </c>
      <c r="Y10" s="3">
        <f t="shared" ca="1" si="0"/>
        <v>45786</v>
      </c>
      <c r="Z10" s="3">
        <f t="shared" ca="1" si="0"/>
        <v>45787</v>
      </c>
      <c r="AA10" s="3">
        <f t="shared" ca="1" si="0"/>
        <v>45788</v>
      </c>
      <c r="AB10" s="3">
        <f t="shared" ca="1" si="0"/>
        <v>45789</v>
      </c>
      <c r="AC10" s="3">
        <f t="shared" ca="1" si="0"/>
        <v>45790</v>
      </c>
      <c r="AD10" s="3">
        <f t="shared" ca="1" si="0"/>
        <v>45791</v>
      </c>
      <c r="AE10" s="3">
        <f t="shared" ca="1" si="0"/>
        <v>45792</v>
      </c>
      <c r="AF10" s="3">
        <f t="shared" ca="1" si="0"/>
        <v>45793</v>
      </c>
      <c r="AG10" s="3">
        <f t="shared" ca="1" si="0"/>
        <v>45794</v>
      </c>
      <c r="AH10" s="3">
        <f t="shared" ca="1" si="0"/>
        <v>45795</v>
      </c>
      <c r="AI10" s="3">
        <f t="shared" ca="1" si="0"/>
        <v>45796</v>
      </c>
      <c r="AJ10" s="3">
        <f t="shared" ca="1" si="0"/>
        <v>45797</v>
      </c>
      <c r="AK10" s="3">
        <f t="shared" ca="1" si="0"/>
        <v>45798</v>
      </c>
      <c r="AL10" s="3">
        <f t="shared" ca="1" si="0"/>
        <v>45799</v>
      </c>
      <c r="AM10" s="3">
        <f t="shared" ca="1" si="0"/>
        <v>45800</v>
      </c>
      <c r="AN10" s="3">
        <f t="shared" ca="1" si="0"/>
        <v>45801</v>
      </c>
      <c r="AO10" s="3">
        <f t="shared" ca="1" si="0"/>
        <v>45802</v>
      </c>
      <c r="AP10" s="3">
        <f t="shared" ca="1" si="0"/>
        <v>45803</v>
      </c>
      <c r="AQ10" s="3">
        <f t="shared" ca="1" si="0"/>
        <v>45804</v>
      </c>
      <c r="AR10" s="3">
        <f t="shared" ca="1" si="0"/>
        <v>45805</v>
      </c>
      <c r="AS10" s="3">
        <f t="shared" ca="1" si="0"/>
        <v>45806</v>
      </c>
      <c r="AT10" s="3">
        <f t="shared" ca="1" si="0"/>
        <v>45807</v>
      </c>
      <c r="AU10" s="3">
        <f t="shared" ca="1" si="0"/>
        <v>45808</v>
      </c>
      <c r="AV10" s="3">
        <f t="shared" ca="1" si="0"/>
        <v>45809</v>
      </c>
      <c r="AW10" s="3">
        <f t="shared" ca="1" si="0"/>
        <v>45810</v>
      </c>
      <c r="AX10" s="3">
        <f t="shared" ca="1" si="0"/>
        <v>45811</v>
      </c>
      <c r="AY10" s="3">
        <f t="shared" ca="1" si="0"/>
        <v>45812</v>
      </c>
      <c r="AZ10" s="3">
        <f t="shared" ca="1" si="0"/>
        <v>45813</v>
      </c>
      <c r="BA10" s="3">
        <f t="shared" ca="1" si="0"/>
        <v>45814</v>
      </c>
      <c r="BB10" s="3">
        <f t="shared" ca="1" si="0"/>
        <v>45815</v>
      </c>
      <c r="BC10" s="3">
        <f t="shared" ca="1" si="0"/>
        <v>45816</v>
      </c>
      <c r="BD10" s="3">
        <f t="shared" ca="1" si="0"/>
        <v>45817</v>
      </c>
      <c r="BE10" s="3">
        <f t="shared" ca="1" si="0"/>
        <v>45818</v>
      </c>
      <c r="BF10" s="3">
        <f t="shared" ca="1" si="0"/>
        <v>45819</v>
      </c>
      <c r="BG10" s="3">
        <f t="shared" ca="1" si="0"/>
        <v>45820</v>
      </c>
      <c r="BH10" s="3">
        <f t="shared" ca="1" si="0"/>
        <v>45821</v>
      </c>
      <c r="BI10" s="3">
        <f t="shared" ca="1" si="0"/>
        <v>45822</v>
      </c>
      <c r="BJ10" s="3">
        <f t="shared" ca="1" si="0"/>
        <v>45823</v>
      </c>
      <c r="BK10" s="3">
        <f t="shared" ca="1" si="0"/>
        <v>45824</v>
      </c>
      <c r="BL10" s="3">
        <f t="shared" ca="1" si="0"/>
        <v>45825</v>
      </c>
      <c r="BM10" s="3">
        <f t="shared" ca="1" si="0"/>
        <v>45826</v>
      </c>
      <c r="BN10" s="3">
        <f t="shared" ca="1" si="0"/>
        <v>45827</v>
      </c>
      <c r="BO10" s="3">
        <f t="shared" ca="1" si="0"/>
        <v>45828</v>
      </c>
      <c r="BP10" s="3">
        <f t="shared" ca="1" si="0"/>
        <v>45829</v>
      </c>
      <c r="BQ10" s="3">
        <f t="shared" ca="1" si="0"/>
        <v>45830</v>
      </c>
      <c r="BR10" s="3">
        <f t="shared" ca="1" si="0"/>
        <v>45831</v>
      </c>
      <c r="BS10" s="3">
        <f t="shared" ca="1" si="0"/>
        <v>45832</v>
      </c>
      <c r="BT10" s="3">
        <f t="shared" ca="1" si="0"/>
        <v>45833</v>
      </c>
      <c r="BU10" s="3">
        <f t="shared" ref="BU10:EF10" ca="1" si="1">BT10+1</f>
        <v>45834</v>
      </c>
      <c r="BV10" s="3">
        <f t="shared" ca="1" si="1"/>
        <v>45835</v>
      </c>
      <c r="BW10" s="3">
        <f t="shared" ca="1" si="1"/>
        <v>45836</v>
      </c>
      <c r="BX10" s="3">
        <f t="shared" ca="1" si="1"/>
        <v>45837</v>
      </c>
      <c r="BY10" s="3">
        <f t="shared" ca="1" si="1"/>
        <v>45838</v>
      </c>
      <c r="BZ10" s="3">
        <f t="shared" ca="1" si="1"/>
        <v>45839</v>
      </c>
      <c r="CA10" s="3">
        <f t="shared" ca="1" si="1"/>
        <v>45840</v>
      </c>
      <c r="CB10" s="3">
        <f t="shared" ca="1" si="1"/>
        <v>45841</v>
      </c>
      <c r="CC10" s="3">
        <f t="shared" ca="1" si="1"/>
        <v>45842</v>
      </c>
      <c r="CD10" s="3">
        <f t="shared" ca="1" si="1"/>
        <v>45843</v>
      </c>
      <c r="CE10" s="3">
        <f t="shared" ca="1" si="1"/>
        <v>45844</v>
      </c>
      <c r="CF10" s="3">
        <f t="shared" ca="1" si="1"/>
        <v>45845</v>
      </c>
      <c r="CG10" s="3">
        <f t="shared" ca="1" si="1"/>
        <v>45846</v>
      </c>
      <c r="CH10" s="3">
        <f t="shared" ca="1" si="1"/>
        <v>45847</v>
      </c>
      <c r="CI10" s="3">
        <f t="shared" ca="1" si="1"/>
        <v>45848</v>
      </c>
      <c r="CJ10" s="3">
        <f t="shared" ca="1" si="1"/>
        <v>45849</v>
      </c>
      <c r="CK10" s="3">
        <f t="shared" ca="1" si="1"/>
        <v>45850</v>
      </c>
      <c r="CL10" s="3">
        <f t="shared" ca="1" si="1"/>
        <v>45851</v>
      </c>
      <c r="CM10" s="3">
        <f t="shared" ca="1" si="1"/>
        <v>45852</v>
      </c>
      <c r="CN10" s="3">
        <f t="shared" ca="1" si="1"/>
        <v>45853</v>
      </c>
      <c r="CO10" s="3">
        <f t="shared" ca="1" si="1"/>
        <v>45854</v>
      </c>
      <c r="CP10" s="3">
        <f t="shared" ca="1" si="1"/>
        <v>45855</v>
      </c>
      <c r="CQ10" s="3">
        <f t="shared" ca="1" si="1"/>
        <v>45856</v>
      </c>
      <c r="CR10" s="3">
        <f t="shared" ca="1" si="1"/>
        <v>45857</v>
      </c>
      <c r="CS10" s="3">
        <f t="shared" ca="1" si="1"/>
        <v>45858</v>
      </c>
      <c r="CT10" s="3">
        <f t="shared" ca="1" si="1"/>
        <v>45859</v>
      </c>
      <c r="CU10" s="3">
        <f t="shared" ca="1" si="1"/>
        <v>45860</v>
      </c>
      <c r="CV10" s="3">
        <f t="shared" ca="1" si="1"/>
        <v>45861</v>
      </c>
      <c r="CW10" s="3">
        <f t="shared" ca="1" si="1"/>
        <v>45862</v>
      </c>
      <c r="CX10" s="3">
        <f t="shared" ca="1" si="1"/>
        <v>45863</v>
      </c>
      <c r="CY10" s="3">
        <f t="shared" ca="1" si="1"/>
        <v>45864</v>
      </c>
      <c r="CZ10" s="3">
        <f t="shared" ca="1" si="1"/>
        <v>45865</v>
      </c>
      <c r="DA10" s="3">
        <f t="shared" ca="1" si="1"/>
        <v>45866</v>
      </c>
      <c r="DB10" s="3">
        <f t="shared" ca="1" si="1"/>
        <v>45867</v>
      </c>
      <c r="DC10" s="3">
        <f t="shared" ca="1" si="1"/>
        <v>45868</v>
      </c>
      <c r="DD10" s="3">
        <f t="shared" ca="1" si="1"/>
        <v>45869</v>
      </c>
      <c r="DE10" s="3">
        <f t="shared" ca="1" si="1"/>
        <v>45870</v>
      </c>
      <c r="DF10" s="3">
        <f t="shared" ca="1" si="1"/>
        <v>45871</v>
      </c>
      <c r="DG10" s="3">
        <f t="shared" ca="1" si="1"/>
        <v>45872</v>
      </c>
      <c r="DH10" s="3">
        <f t="shared" ca="1" si="1"/>
        <v>45873</v>
      </c>
      <c r="DI10" s="3">
        <f t="shared" ca="1" si="1"/>
        <v>45874</v>
      </c>
      <c r="DJ10" s="3">
        <f t="shared" ca="1" si="1"/>
        <v>45875</v>
      </c>
      <c r="DK10" s="3">
        <f t="shared" ca="1" si="1"/>
        <v>45876</v>
      </c>
      <c r="DL10" s="3">
        <f t="shared" ca="1" si="1"/>
        <v>45877</v>
      </c>
      <c r="DM10" s="3">
        <f t="shared" ca="1" si="1"/>
        <v>45878</v>
      </c>
      <c r="DN10" s="3">
        <f t="shared" ca="1" si="1"/>
        <v>45879</v>
      </c>
      <c r="DO10" s="3">
        <f t="shared" ca="1" si="1"/>
        <v>45880</v>
      </c>
      <c r="DP10" s="3">
        <f t="shared" ca="1" si="1"/>
        <v>45881</v>
      </c>
      <c r="DQ10" s="3">
        <f t="shared" ca="1" si="1"/>
        <v>45882</v>
      </c>
      <c r="DR10" s="3">
        <f t="shared" ca="1" si="1"/>
        <v>45883</v>
      </c>
      <c r="DS10" s="3">
        <f t="shared" ca="1" si="1"/>
        <v>45884</v>
      </c>
      <c r="DT10" s="3">
        <f t="shared" ca="1" si="1"/>
        <v>45885</v>
      </c>
      <c r="DU10" s="3">
        <f t="shared" ca="1" si="1"/>
        <v>45886</v>
      </c>
      <c r="DV10" s="3">
        <f t="shared" ca="1" si="1"/>
        <v>45887</v>
      </c>
      <c r="DW10" s="3">
        <f t="shared" ca="1" si="1"/>
        <v>45888</v>
      </c>
      <c r="DX10" s="3">
        <f t="shared" ca="1" si="1"/>
        <v>45889</v>
      </c>
      <c r="DY10" s="3">
        <f t="shared" ca="1" si="1"/>
        <v>45890</v>
      </c>
      <c r="DZ10" s="3">
        <f t="shared" ca="1" si="1"/>
        <v>45891</v>
      </c>
      <c r="EA10" s="3">
        <f t="shared" ca="1" si="1"/>
        <v>45892</v>
      </c>
      <c r="EB10" s="3">
        <f t="shared" ca="1" si="1"/>
        <v>45893</v>
      </c>
      <c r="EC10" s="3">
        <f t="shared" ca="1" si="1"/>
        <v>45894</v>
      </c>
      <c r="ED10" s="3">
        <f t="shared" ca="1" si="1"/>
        <v>45895</v>
      </c>
      <c r="EE10" s="3">
        <f t="shared" ca="1" si="1"/>
        <v>45896</v>
      </c>
      <c r="EF10" s="3">
        <f t="shared" ca="1" si="1"/>
        <v>45897</v>
      </c>
      <c r="EG10" s="3">
        <f t="shared" ref="EG10:GR10" ca="1" si="2">EF10+1</f>
        <v>45898</v>
      </c>
      <c r="EH10" s="3">
        <f t="shared" ca="1" si="2"/>
        <v>45899</v>
      </c>
      <c r="EI10" s="3">
        <f t="shared" ca="1" si="2"/>
        <v>45900</v>
      </c>
      <c r="EJ10" s="3">
        <f t="shared" ca="1" si="2"/>
        <v>45901</v>
      </c>
      <c r="EK10" s="3">
        <f t="shared" ca="1" si="2"/>
        <v>45902</v>
      </c>
      <c r="EL10" s="3">
        <f t="shared" ca="1" si="2"/>
        <v>45903</v>
      </c>
      <c r="EM10" s="3">
        <f t="shared" ca="1" si="2"/>
        <v>45904</v>
      </c>
      <c r="EN10" s="3">
        <f t="shared" ca="1" si="2"/>
        <v>45905</v>
      </c>
      <c r="EO10" s="3">
        <f t="shared" ca="1" si="2"/>
        <v>45906</v>
      </c>
      <c r="EP10" s="3">
        <f t="shared" ca="1" si="2"/>
        <v>45907</v>
      </c>
      <c r="EQ10" s="3">
        <f t="shared" ca="1" si="2"/>
        <v>45908</v>
      </c>
      <c r="ER10" s="3">
        <f t="shared" ca="1" si="2"/>
        <v>45909</v>
      </c>
      <c r="ES10" s="3">
        <f t="shared" ca="1" si="2"/>
        <v>45910</v>
      </c>
      <c r="ET10" s="3">
        <f t="shared" ca="1" si="2"/>
        <v>45911</v>
      </c>
      <c r="EU10" s="3">
        <f t="shared" ca="1" si="2"/>
        <v>45912</v>
      </c>
      <c r="EV10" s="3">
        <f t="shared" ca="1" si="2"/>
        <v>45913</v>
      </c>
      <c r="EW10" s="3">
        <f t="shared" ca="1" si="2"/>
        <v>45914</v>
      </c>
      <c r="EX10" s="3">
        <f t="shared" ca="1" si="2"/>
        <v>45915</v>
      </c>
      <c r="EY10" s="3">
        <f t="shared" ca="1" si="2"/>
        <v>45916</v>
      </c>
      <c r="EZ10" s="3">
        <f t="shared" ca="1" si="2"/>
        <v>45917</v>
      </c>
      <c r="FA10" s="3">
        <f t="shared" ca="1" si="2"/>
        <v>45918</v>
      </c>
      <c r="FB10" s="3">
        <f t="shared" ca="1" si="2"/>
        <v>45919</v>
      </c>
      <c r="FC10" s="3">
        <f t="shared" ca="1" si="2"/>
        <v>45920</v>
      </c>
      <c r="FD10" s="3">
        <f t="shared" ca="1" si="2"/>
        <v>45921</v>
      </c>
      <c r="FE10" s="3">
        <f t="shared" ca="1" si="2"/>
        <v>45922</v>
      </c>
      <c r="FF10" s="3">
        <f t="shared" ca="1" si="2"/>
        <v>45923</v>
      </c>
      <c r="FG10" s="3">
        <f t="shared" ca="1" si="2"/>
        <v>45924</v>
      </c>
      <c r="FH10" s="3">
        <f t="shared" ca="1" si="2"/>
        <v>45925</v>
      </c>
      <c r="FI10" s="3">
        <f t="shared" ca="1" si="2"/>
        <v>45926</v>
      </c>
      <c r="FJ10" s="3">
        <f t="shared" ca="1" si="2"/>
        <v>45927</v>
      </c>
      <c r="FK10" s="3">
        <f t="shared" ca="1" si="2"/>
        <v>45928</v>
      </c>
      <c r="FL10" s="3">
        <f t="shared" ca="1" si="2"/>
        <v>45929</v>
      </c>
      <c r="FM10" s="3">
        <f t="shared" ca="1" si="2"/>
        <v>45930</v>
      </c>
      <c r="FN10" s="3">
        <f t="shared" ca="1" si="2"/>
        <v>45931</v>
      </c>
      <c r="FO10" s="3">
        <f t="shared" ca="1" si="2"/>
        <v>45932</v>
      </c>
      <c r="FP10" s="3">
        <f t="shared" ca="1" si="2"/>
        <v>45933</v>
      </c>
      <c r="FQ10" s="3">
        <f t="shared" ca="1" si="2"/>
        <v>45934</v>
      </c>
      <c r="FR10" s="3">
        <f t="shared" ca="1" si="2"/>
        <v>45935</v>
      </c>
      <c r="FS10" s="3">
        <f t="shared" ca="1" si="2"/>
        <v>45936</v>
      </c>
      <c r="FT10" s="3">
        <f t="shared" ca="1" si="2"/>
        <v>45937</v>
      </c>
      <c r="FU10" s="3">
        <f t="shared" ca="1" si="2"/>
        <v>45938</v>
      </c>
      <c r="FV10" s="3">
        <f t="shared" ca="1" si="2"/>
        <v>45939</v>
      </c>
      <c r="FW10" s="3">
        <f t="shared" ca="1" si="2"/>
        <v>45940</v>
      </c>
      <c r="FX10" s="3">
        <f t="shared" ca="1" si="2"/>
        <v>45941</v>
      </c>
      <c r="FY10" s="3">
        <f t="shared" ca="1" si="2"/>
        <v>45942</v>
      </c>
      <c r="FZ10" s="3">
        <f t="shared" ca="1" si="2"/>
        <v>45943</v>
      </c>
      <c r="GA10" s="3">
        <f t="shared" ca="1" si="2"/>
        <v>45944</v>
      </c>
      <c r="GB10" s="3">
        <f t="shared" ca="1" si="2"/>
        <v>45945</v>
      </c>
      <c r="GC10" s="3">
        <f t="shared" ca="1" si="2"/>
        <v>45946</v>
      </c>
      <c r="GD10" s="3">
        <f t="shared" ca="1" si="2"/>
        <v>45947</v>
      </c>
      <c r="GE10" s="3">
        <f t="shared" ca="1" si="2"/>
        <v>45948</v>
      </c>
      <c r="GF10" s="3">
        <f t="shared" ca="1" si="2"/>
        <v>45949</v>
      </c>
      <c r="GG10" s="3">
        <f t="shared" ca="1" si="2"/>
        <v>45950</v>
      </c>
      <c r="GH10" s="3">
        <f t="shared" ca="1" si="2"/>
        <v>45951</v>
      </c>
      <c r="GI10" s="3">
        <f t="shared" ca="1" si="2"/>
        <v>45952</v>
      </c>
      <c r="GJ10" s="3">
        <f t="shared" ca="1" si="2"/>
        <v>45953</v>
      </c>
      <c r="GK10" s="3">
        <f t="shared" ca="1" si="2"/>
        <v>45954</v>
      </c>
      <c r="GL10" s="3">
        <f t="shared" ca="1" si="2"/>
        <v>45955</v>
      </c>
      <c r="GM10" s="3">
        <f t="shared" ca="1" si="2"/>
        <v>45956</v>
      </c>
      <c r="GN10" s="3">
        <f t="shared" ca="1" si="2"/>
        <v>45957</v>
      </c>
      <c r="GO10" s="3">
        <f t="shared" ca="1" si="2"/>
        <v>45958</v>
      </c>
      <c r="GP10" s="3">
        <f t="shared" ca="1" si="2"/>
        <v>45959</v>
      </c>
      <c r="GQ10" s="3">
        <f t="shared" ca="1" si="2"/>
        <v>45960</v>
      </c>
      <c r="GR10" s="3">
        <f t="shared" ca="1" si="2"/>
        <v>45961</v>
      </c>
      <c r="GS10" s="3">
        <f t="shared" ref="GS10:IX10" ca="1" si="3">GR10+1</f>
        <v>45962</v>
      </c>
      <c r="GT10" s="3">
        <f t="shared" ca="1" si="3"/>
        <v>45963</v>
      </c>
      <c r="GU10" s="3">
        <f t="shared" ca="1" si="3"/>
        <v>45964</v>
      </c>
      <c r="GV10" s="3">
        <f t="shared" ca="1" si="3"/>
        <v>45965</v>
      </c>
      <c r="GW10" s="3">
        <f t="shared" ca="1" si="3"/>
        <v>45966</v>
      </c>
      <c r="GX10" s="3">
        <f t="shared" ca="1" si="3"/>
        <v>45967</v>
      </c>
      <c r="GY10" s="3">
        <f t="shared" ca="1" si="3"/>
        <v>45968</v>
      </c>
      <c r="GZ10" s="3">
        <f t="shared" ca="1" si="3"/>
        <v>45969</v>
      </c>
      <c r="HA10" s="3">
        <f t="shared" ca="1" si="3"/>
        <v>45970</v>
      </c>
      <c r="HB10" s="3">
        <f t="shared" ca="1" si="3"/>
        <v>45971</v>
      </c>
      <c r="HC10" s="3">
        <f t="shared" ca="1" si="3"/>
        <v>45972</v>
      </c>
      <c r="HD10" s="3">
        <f t="shared" ca="1" si="3"/>
        <v>45973</v>
      </c>
      <c r="HE10" s="3">
        <f t="shared" ca="1" si="3"/>
        <v>45974</v>
      </c>
      <c r="HF10" s="3">
        <f t="shared" ca="1" si="3"/>
        <v>45975</v>
      </c>
      <c r="HG10" s="3">
        <f t="shared" ca="1" si="3"/>
        <v>45976</v>
      </c>
      <c r="HH10" s="3">
        <f t="shared" ca="1" si="3"/>
        <v>45977</v>
      </c>
      <c r="HI10" s="3">
        <f t="shared" ca="1" si="3"/>
        <v>45978</v>
      </c>
      <c r="HJ10" s="3">
        <f t="shared" ca="1" si="3"/>
        <v>45979</v>
      </c>
      <c r="HK10" s="3">
        <f t="shared" ca="1" si="3"/>
        <v>45980</v>
      </c>
      <c r="HL10" s="3">
        <f t="shared" ca="1" si="3"/>
        <v>45981</v>
      </c>
      <c r="HM10" s="3">
        <f t="shared" ca="1" si="3"/>
        <v>45982</v>
      </c>
      <c r="HN10" s="3">
        <f t="shared" ca="1" si="3"/>
        <v>45983</v>
      </c>
      <c r="HO10" s="3">
        <f t="shared" ca="1" si="3"/>
        <v>45984</v>
      </c>
      <c r="HP10" s="3">
        <f t="shared" ca="1" si="3"/>
        <v>45985</v>
      </c>
      <c r="HQ10" s="3">
        <f t="shared" ca="1" si="3"/>
        <v>45986</v>
      </c>
      <c r="HR10" s="3">
        <f t="shared" ca="1" si="3"/>
        <v>45987</v>
      </c>
      <c r="HS10" s="3">
        <f t="shared" ca="1" si="3"/>
        <v>45988</v>
      </c>
      <c r="HT10" s="3">
        <f t="shared" ca="1" si="3"/>
        <v>45989</v>
      </c>
      <c r="HU10" s="3">
        <f t="shared" ca="1" si="3"/>
        <v>45990</v>
      </c>
      <c r="HV10" s="3">
        <f t="shared" ca="1" si="3"/>
        <v>45991</v>
      </c>
      <c r="HW10" s="3">
        <f t="shared" ca="1" si="3"/>
        <v>45992</v>
      </c>
      <c r="HX10" s="3">
        <f t="shared" ca="1" si="3"/>
        <v>45993</v>
      </c>
      <c r="HY10" s="3">
        <f t="shared" ca="1" si="3"/>
        <v>45994</v>
      </c>
      <c r="HZ10" s="3">
        <f t="shared" ca="1" si="3"/>
        <v>45995</v>
      </c>
      <c r="IA10" s="3">
        <f t="shared" ca="1" si="3"/>
        <v>45996</v>
      </c>
      <c r="IB10" s="3">
        <f t="shared" ca="1" si="3"/>
        <v>45997</v>
      </c>
      <c r="IC10" s="3">
        <f t="shared" ca="1" si="3"/>
        <v>45998</v>
      </c>
      <c r="ID10" s="3">
        <f t="shared" ca="1" si="3"/>
        <v>45999</v>
      </c>
      <c r="IE10" s="3">
        <f t="shared" ca="1" si="3"/>
        <v>46000</v>
      </c>
      <c r="IF10" s="3">
        <f t="shared" ca="1" si="3"/>
        <v>46001</v>
      </c>
      <c r="IG10" s="3">
        <f t="shared" ca="1" si="3"/>
        <v>46002</v>
      </c>
      <c r="IH10" s="3">
        <f t="shared" ca="1" si="3"/>
        <v>46003</v>
      </c>
      <c r="II10" s="3">
        <f t="shared" ca="1" si="3"/>
        <v>46004</v>
      </c>
      <c r="IJ10" s="3">
        <f t="shared" ca="1" si="3"/>
        <v>46005</v>
      </c>
      <c r="IK10" s="3">
        <f t="shared" ca="1" si="3"/>
        <v>46006</v>
      </c>
      <c r="IL10" s="3">
        <f t="shared" ca="1" si="3"/>
        <v>46007</v>
      </c>
      <c r="IM10" s="3">
        <f t="shared" ca="1" si="3"/>
        <v>46008</v>
      </c>
      <c r="IN10" s="3">
        <f t="shared" ca="1" si="3"/>
        <v>46009</v>
      </c>
      <c r="IO10" s="3">
        <f t="shared" ca="1" si="3"/>
        <v>46010</v>
      </c>
      <c r="IP10" s="3">
        <f t="shared" ca="1" si="3"/>
        <v>46011</v>
      </c>
      <c r="IQ10" s="3">
        <f t="shared" ca="1" si="3"/>
        <v>46012</v>
      </c>
      <c r="IR10" s="3">
        <f t="shared" ca="1" si="3"/>
        <v>46013</v>
      </c>
      <c r="IS10" s="3">
        <f t="shared" ca="1" si="3"/>
        <v>46014</v>
      </c>
      <c r="IT10" s="3">
        <f t="shared" ca="1" si="3"/>
        <v>46015</v>
      </c>
      <c r="IU10" s="3">
        <f t="shared" ca="1" si="3"/>
        <v>46016</v>
      </c>
      <c r="IV10" s="3">
        <f t="shared" ca="1" si="3"/>
        <v>46017</v>
      </c>
      <c r="IW10" s="3">
        <f t="shared" ca="1" si="3"/>
        <v>46018</v>
      </c>
      <c r="IX10" s="3">
        <f t="shared" ca="1" si="3"/>
        <v>46019</v>
      </c>
      <c r="IY10" s="3">
        <f ca="1">IX10+1</f>
        <v>46020</v>
      </c>
      <c r="IZ10" s="3">
        <f t="shared" ref="IZ10:JG10" ca="1" si="4">IY10+1</f>
        <v>46021</v>
      </c>
      <c r="JA10" s="3">
        <f t="shared" ca="1" si="4"/>
        <v>46022</v>
      </c>
      <c r="JB10" s="3">
        <f t="shared" ca="1" si="4"/>
        <v>46023</v>
      </c>
      <c r="JC10" s="3">
        <f t="shared" ca="1" si="4"/>
        <v>46024</v>
      </c>
      <c r="JD10" s="3">
        <f t="shared" ca="1" si="4"/>
        <v>46025</v>
      </c>
      <c r="JE10" s="3">
        <f t="shared" ca="1" si="4"/>
        <v>46026</v>
      </c>
      <c r="JF10" s="3">
        <f t="shared" ca="1" si="4"/>
        <v>46027</v>
      </c>
      <c r="JG10" s="3">
        <f t="shared" ca="1" si="4"/>
        <v>46028</v>
      </c>
      <c r="JH10" s="3">
        <f ca="1">JG10+1</f>
        <v>46029</v>
      </c>
      <c r="JI10" s="3">
        <f t="shared" ref="JI10:KC10" ca="1" si="5">JH10+1</f>
        <v>46030</v>
      </c>
      <c r="JJ10" s="3">
        <f t="shared" ca="1" si="5"/>
        <v>46031</v>
      </c>
      <c r="JK10" s="3">
        <f t="shared" ca="1" si="5"/>
        <v>46032</v>
      </c>
      <c r="JL10" s="3">
        <f t="shared" ca="1" si="5"/>
        <v>46033</v>
      </c>
      <c r="JM10" s="3">
        <f t="shared" ca="1" si="5"/>
        <v>46034</v>
      </c>
      <c r="JN10" s="3">
        <f t="shared" ca="1" si="5"/>
        <v>46035</v>
      </c>
      <c r="JO10" s="3">
        <f t="shared" ca="1" si="5"/>
        <v>46036</v>
      </c>
      <c r="JP10" s="3">
        <f t="shared" ca="1" si="5"/>
        <v>46037</v>
      </c>
      <c r="JQ10" s="3">
        <f t="shared" ca="1" si="5"/>
        <v>46038</v>
      </c>
      <c r="JR10" s="3">
        <f t="shared" ca="1" si="5"/>
        <v>46039</v>
      </c>
      <c r="JS10" s="3">
        <f t="shared" ca="1" si="5"/>
        <v>46040</v>
      </c>
      <c r="JT10" s="3">
        <f t="shared" ca="1" si="5"/>
        <v>46041</v>
      </c>
      <c r="JU10" s="3">
        <f t="shared" ca="1" si="5"/>
        <v>46042</v>
      </c>
      <c r="JV10" s="3">
        <f t="shared" ca="1" si="5"/>
        <v>46043</v>
      </c>
      <c r="JW10" s="3">
        <f t="shared" ca="1" si="5"/>
        <v>46044</v>
      </c>
      <c r="JX10" s="3">
        <f t="shared" ca="1" si="5"/>
        <v>46045</v>
      </c>
      <c r="JY10" s="3">
        <f t="shared" ca="1" si="5"/>
        <v>46046</v>
      </c>
      <c r="JZ10" s="3">
        <f t="shared" ca="1" si="5"/>
        <v>46047</v>
      </c>
      <c r="KA10" s="3">
        <f t="shared" ca="1" si="5"/>
        <v>46048</v>
      </c>
      <c r="KB10" s="3">
        <f t="shared" ca="1" si="5"/>
        <v>46049</v>
      </c>
      <c r="KC10" s="3">
        <f t="shared" ca="1" si="5"/>
        <v>46050</v>
      </c>
      <c r="KD10" s="3">
        <f ca="1">KC10+1</f>
        <v>46051</v>
      </c>
      <c r="KE10" s="3">
        <f t="shared" ref="KE10:LO10" ca="1" si="6">KD10+1</f>
        <v>46052</v>
      </c>
      <c r="KF10" s="3">
        <f t="shared" ca="1" si="6"/>
        <v>46053</v>
      </c>
      <c r="KG10" s="3">
        <f t="shared" ca="1" si="6"/>
        <v>46054</v>
      </c>
      <c r="KH10" s="3">
        <f t="shared" ca="1" si="6"/>
        <v>46055</v>
      </c>
      <c r="KI10" s="3">
        <f t="shared" ca="1" si="6"/>
        <v>46056</v>
      </c>
      <c r="KJ10" s="3">
        <f t="shared" ca="1" si="6"/>
        <v>46057</v>
      </c>
      <c r="KK10" s="3">
        <f t="shared" ca="1" si="6"/>
        <v>46058</v>
      </c>
      <c r="KL10" s="3">
        <f t="shared" ca="1" si="6"/>
        <v>46059</v>
      </c>
      <c r="KM10" s="3">
        <f t="shared" ca="1" si="6"/>
        <v>46060</v>
      </c>
      <c r="KN10" s="3">
        <f t="shared" ca="1" si="6"/>
        <v>46061</v>
      </c>
      <c r="KO10" s="3">
        <f t="shared" ca="1" si="6"/>
        <v>46062</v>
      </c>
      <c r="KP10" s="3">
        <f t="shared" ca="1" si="6"/>
        <v>46063</v>
      </c>
      <c r="KQ10" s="3">
        <f t="shared" ca="1" si="6"/>
        <v>46064</v>
      </c>
      <c r="KR10" s="3">
        <f t="shared" ca="1" si="6"/>
        <v>46065</v>
      </c>
      <c r="KS10" s="3">
        <f t="shared" ca="1" si="6"/>
        <v>46066</v>
      </c>
      <c r="KT10" s="3">
        <f t="shared" ca="1" si="6"/>
        <v>46067</v>
      </c>
      <c r="KU10" s="3">
        <f t="shared" ca="1" si="6"/>
        <v>46068</v>
      </c>
      <c r="KV10" s="3">
        <f t="shared" ca="1" si="6"/>
        <v>46069</v>
      </c>
      <c r="KW10" s="3">
        <f t="shared" ca="1" si="6"/>
        <v>46070</v>
      </c>
      <c r="KX10" s="3">
        <f t="shared" ca="1" si="6"/>
        <v>46071</v>
      </c>
      <c r="KY10" s="3">
        <f t="shared" ca="1" si="6"/>
        <v>46072</v>
      </c>
      <c r="KZ10" s="3">
        <f t="shared" ca="1" si="6"/>
        <v>46073</v>
      </c>
      <c r="LA10" s="3">
        <f t="shared" ca="1" si="6"/>
        <v>46074</v>
      </c>
      <c r="LB10" s="3">
        <f t="shared" ca="1" si="6"/>
        <v>46075</v>
      </c>
      <c r="LC10" s="3">
        <f t="shared" ca="1" si="6"/>
        <v>46076</v>
      </c>
      <c r="LD10" s="3">
        <f t="shared" ca="1" si="6"/>
        <v>46077</v>
      </c>
      <c r="LE10" s="3">
        <f t="shared" ca="1" si="6"/>
        <v>46078</v>
      </c>
      <c r="LF10" s="3">
        <f t="shared" ca="1" si="6"/>
        <v>46079</v>
      </c>
      <c r="LG10" s="3">
        <f t="shared" ca="1" si="6"/>
        <v>46080</v>
      </c>
      <c r="LH10" s="3">
        <f t="shared" ca="1" si="6"/>
        <v>46081</v>
      </c>
      <c r="LI10" s="3">
        <f t="shared" ca="1" si="6"/>
        <v>46082</v>
      </c>
      <c r="LJ10" s="3">
        <f t="shared" ca="1" si="6"/>
        <v>46083</v>
      </c>
      <c r="LK10" s="3">
        <f t="shared" ca="1" si="6"/>
        <v>46084</v>
      </c>
      <c r="LL10" s="3">
        <f t="shared" ca="1" si="6"/>
        <v>46085</v>
      </c>
      <c r="LM10" s="3">
        <f t="shared" ca="1" si="6"/>
        <v>46086</v>
      </c>
      <c r="LN10" s="3">
        <f t="shared" ca="1" si="6"/>
        <v>46087</v>
      </c>
      <c r="LO10" s="3">
        <f t="shared" ca="1" si="6"/>
        <v>46088</v>
      </c>
      <c r="LP10" s="3">
        <f ca="1">LO10+1</f>
        <v>46089</v>
      </c>
      <c r="LQ10" s="3">
        <f t="shared" ref="LQ10:MH10" ca="1" si="7">LP10+1</f>
        <v>46090</v>
      </c>
      <c r="LR10" s="3">
        <f t="shared" ca="1" si="7"/>
        <v>46091</v>
      </c>
      <c r="LS10" s="3">
        <f t="shared" ca="1" si="7"/>
        <v>46092</v>
      </c>
      <c r="LT10" s="3">
        <f t="shared" ca="1" si="7"/>
        <v>46093</v>
      </c>
      <c r="LU10" s="3">
        <f t="shared" ca="1" si="7"/>
        <v>46094</v>
      </c>
      <c r="LV10" s="3">
        <f t="shared" ca="1" si="7"/>
        <v>46095</v>
      </c>
      <c r="LW10" s="3">
        <f t="shared" ca="1" si="7"/>
        <v>46096</v>
      </c>
      <c r="LX10" s="3">
        <f t="shared" ca="1" si="7"/>
        <v>46097</v>
      </c>
      <c r="LY10" s="3">
        <f t="shared" ca="1" si="7"/>
        <v>46098</v>
      </c>
      <c r="LZ10" s="3">
        <f t="shared" ca="1" si="7"/>
        <v>46099</v>
      </c>
      <c r="MA10" s="3">
        <f t="shared" ca="1" si="7"/>
        <v>46100</v>
      </c>
      <c r="MB10" s="3">
        <f t="shared" ca="1" si="7"/>
        <v>46101</v>
      </c>
      <c r="MC10" s="3">
        <f t="shared" ca="1" si="7"/>
        <v>46102</v>
      </c>
      <c r="MD10" s="3">
        <f t="shared" ca="1" si="7"/>
        <v>46103</v>
      </c>
      <c r="ME10" s="3">
        <f t="shared" ca="1" si="7"/>
        <v>46104</v>
      </c>
      <c r="MF10" s="3">
        <f t="shared" ca="1" si="7"/>
        <v>46105</v>
      </c>
      <c r="MG10" s="3">
        <f t="shared" ca="1" si="7"/>
        <v>46106</v>
      </c>
      <c r="MH10" s="3">
        <f t="shared" ca="1" si="7"/>
        <v>46107</v>
      </c>
      <c r="MI10" s="3">
        <f ca="1">MH10+1</f>
        <v>46108</v>
      </c>
      <c r="MJ10" s="3">
        <f t="shared" ref="MJ10:NF10" ca="1" si="8">MI10+1</f>
        <v>46109</v>
      </c>
      <c r="MK10" s="3">
        <f t="shared" ca="1" si="8"/>
        <v>46110</v>
      </c>
      <c r="ML10" s="3">
        <f t="shared" ca="1" si="8"/>
        <v>46111</v>
      </c>
      <c r="MM10" s="3">
        <f t="shared" ca="1" si="8"/>
        <v>46112</v>
      </c>
      <c r="MN10" s="3">
        <f t="shared" ca="1" si="8"/>
        <v>46113</v>
      </c>
      <c r="MO10" s="3">
        <f t="shared" ca="1" si="8"/>
        <v>46114</v>
      </c>
      <c r="MP10" s="3">
        <f t="shared" ca="1" si="8"/>
        <v>46115</v>
      </c>
      <c r="MQ10" s="3">
        <f t="shared" ca="1" si="8"/>
        <v>46116</v>
      </c>
      <c r="MR10" s="3">
        <f t="shared" ca="1" si="8"/>
        <v>46117</v>
      </c>
      <c r="MS10" s="3">
        <f t="shared" ca="1" si="8"/>
        <v>46118</v>
      </c>
      <c r="MT10" s="3">
        <f t="shared" ca="1" si="8"/>
        <v>46119</v>
      </c>
      <c r="MU10" s="3">
        <f t="shared" ca="1" si="8"/>
        <v>46120</v>
      </c>
      <c r="MV10" s="3">
        <f t="shared" ca="1" si="8"/>
        <v>46121</v>
      </c>
      <c r="MW10" s="3">
        <f t="shared" ca="1" si="8"/>
        <v>46122</v>
      </c>
      <c r="MX10" s="3">
        <f t="shared" ca="1" si="8"/>
        <v>46123</v>
      </c>
      <c r="MY10" s="3">
        <f t="shared" ca="1" si="8"/>
        <v>46124</v>
      </c>
      <c r="MZ10" s="3">
        <f t="shared" ca="1" si="8"/>
        <v>46125</v>
      </c>
      <c r="NA10" s="3">
        <f t="shared" ca="1" si="8"/>
        <v>46126</v>
      </c>
      <c r="NB10" s="3">
        <f t="shared" ca="1" si="8"/>
        <v>46127</v>
      </c>
      <c r="NC10" s="3">
        <f t="shared" ca="1" si="8"/>
        <v>46128</v>
      </c>
      <c r="ND10" s="3">
        <f t="shared" ca="1" si="8"/>
        <v>46129</v>
      </c>
      <c r="NE10" s="3">
        <f t="shared" ca="1" si="8"/>
        <v>46130</v>
      </c>
      <c r="NF10" s="3">
        <f t="shared" ca="1" si="8"/>
        <v>46131</v>
      </c>
      <c r="NG10" s="3">
        <f ca="1">NF10+1</f>
        <v>46132</v>
      </c>
    </row>
    <row r="11" spans="1:371" x14ac:dyDescent="0.25">
      <c r="F11" t="s">
        <v>160</v>
      </c>
      <c r="G11">
        <f ca="1">_xlfn.XLOOKUP(G$10,$G$17:$JG$17,$G$50:$JG$50)</f>
        <v>162870.06</v>
      </c>
      <c r="H11">
        <f ca="1">_xlfn.XLOOKUP(H$10,$G$17:$JG$17,$G$50:$JG$50)</f>
        <v>165070.97999999995</v>
      </c>
      <c r="I11">
        <f t="shared" ref="I11:BT11" ca="1" si="9">_xlfn.XLOOKUP(I$10,$G$17:$JG$17,$G$50:$JG$50)</f>
        <v>165808.85</v>
      </c>
      <c r="J11">
        <f t="shared" ca="1" si="9"/>
        <v>166907.33000000005</v>
      </c>
      <c r="K11">
        <f t="shared" ca="1" si="9"/>
        <v>167101.71000000002</v>
      </c>
      <c r="L11" t="e">
        <f t="shared" ca="1" si="9"/>
        <v>#N/A</v>
      </c>
      <c r="M11" t="e">
        <f t="shared" ca="1" si="9"/>
        <v>#N/A</v>
      </c>
      <c r="N11">
        <f t="shared" ca="1" si="9"/>
        <v>167803.66999999998</v>
      </c>
      <c r="O11">
        <f t="shared" ca="1" si="9"/>
        <v>168776.12000000002</v>
      </c>
      <c r="P11">
        <f t="shared" ca="1" si="9"/>
        <v>169737.7</v>
      </c>
      <c r="Q11">
        <f t="shared" ca="1" si="9"/>
        <v>169395.08</v>
      </c>
      <c r="R11">
        <f t="shared" ca="1" si="9"/>
        <v>170229.05999999997</v>
      </c>
      <c r="S11" t="e">
        <f t="shared" ca="1" si="9"/>
        <v>#N/A</v>
      </c>
      <c r="T11" t="e">
        <f t="shared" ca="1" si="9"/>
        <v>#N/A</v>
      </c>
      <c r="U11">
        <f t="shared" ca="1" si="9"/>
        <v>169611.66</v>
      </c>
      <c r="V11">
        <f t="shared" ca="1" si="9"/>
        <v>169496.60000000003</v>
      </c>
      <c r="W11">
        <f t="shared" ca="1" si="9"/>
        <v>169830.84000000005</v>
      </c>
      <c r="X11">
        <f t="shared" ca="1" si="9"/>
        <v>169727.71000000002</v>
      </c>
      <c r="Y11">
        <f t="shared" ca="1" si="9"/>
        <v>170160.02999999997</v>
      </c>
      <c r="Z11" t="e">
        <f t="shared" ca="1" si="9"/>
        <v>#N/A</v>
      </c>
      <c r="AA11" t="e">
        <f t="shared" ca="1" si="9"/>
        <v>#N/A</v>
      </c>
      <c r="AB11">
        <f t="shared" ca="1" si="9"/>
        <v>170242.82999999996</v>
      </c>
      <c r="AC11">
        <f t="shared" ca="1" si="9"/>
        <v>170639.78</v>
      </c>
      <c r="AD11">
        <f t="shared" ca="1" si="9"/>
        <v>170515.95</v>
      </c>
      <c r="AE11">
        <f t="shared" ca="1" si="9"/>
        <v>172268.72000000003</v>
      </c>
      <c r="AF11">
        <f t="shared" ca="1" si="9"/>
        <v>172904.19000000003</v>
      </c>
      <c r="AG11" t="e">
        <f t="shared" ca="1" si="9"/>
        <v>#N/A</v>
      </c>
      <c r="AH11" t="e">
        <f t="shared" ca="1" si="9"/>
        <v>#N/A</v>
      </c>
      <c r="AI11" t="e">
        <f t="shared" ca="1" si="9"/>
        <v>#N/A</v>
      </c>
      <c r="AJ11">
        <f t="shared" ca="1" si="9"/>
        <v>173595.05000000002</v>
      </c>
      <c r="AK11">
        <f t="shared" ca="1" si="9"/>
        <v>173152.61000000002</v>
      </c>
      <c r="AL11">
        <f t="shared" ca="1" si="9"/>
        <v>172731.19</v>
      </c>
      <c r="AM11">
        <f t="shared" ca="1" si="9"/>
        <v>172933.94999999998</v>
      </c>
      <c r="AN11" t="e">
        <f t="shared" ca="1" si="9"/>
        <v>#N/A</v>
      </c>
      <c r="AO11" t="e">
        <f t="shared" ca="1" si="9"/>
        <v>#N/A</v>
      </c>
      <c r="AP11">
        <f t="shared" ca="1" si="9"/>
        <v>173641.43000000005</v>
      </c>
      <c r="AQ11">
        <f t="shared" ca="1" si="9"/>
        <v>174852.09000000003</v>
      </c>
      <c r="AR11">
        <f t="shared" ca="1" si="9"/>
        <v>175665.44</v>
      </c>
      <c r="AS11">
        <f t="shared" ca="1" si="9"/>
        <v>175549.79</v>
      </c>
      <c r="AT11">
        <f t="shared" ca="1" si="9"/>
        <v>175693.24000000002</v>
      </c>
      <c r="AU11" t="e">
        <f t="shared" ca="1" si="9"/>
        <v>#N/A</v>
      </c>
      <c r="AV11" t="e">
        <f t="shared" ca="1" si="9"/>
        <v>#N/A</v>
      </c>
      <c r="AW11">
        <f t="shared" ca="1" si="9"/>
        <v>176078.02</v>
      </c>
      <c r="AX11">
        <f t="shared" ca="1" si="9"/>
        <v>176434.78</v>
      </c>
      <c r="AY11">
        <f t="shared" ca="1" si="9"/>
        <v>175503.96</v>
      </c>
      <c r="AZ11">
        <f t="shared" ca="1" si="9"/>
        <v>175362.90999999997</v>
      </c>
      <c r="BA11">
        <f t="shared" ca="1" si="9"/>
        <v>175722.22</v>
      </c>
      <c r="BB11" t="e">
        <f t="shared" ca="1" si="9"/>
        <v>#N/A</v>
      </c>
      <c r="BC11" t="e">
        <f t="shared" ca="1" si="9"/>
        <v>#N/A</v>
      </c>
      <c r="BD11">
        <f t="shared" ca="1" si="9"/>
        <v>175798.9</v>
      </c>
      <c r="BE11">
        <f t="shared" ca="1" si="9"/>
        <v>175674.74000000002</v>
      </c>
      <c r="BF11">
        <f t="shared" ca="1" si="9"/>
        <v>175396.59</v>
      </c>
      <c r="BG11">
        <f t="shared" ca="1" si="9"/>
        <v>176351.34999999998</v>
      </c>
      <c r="BH11">
        <f t="shared" ca="1" si="9"/>
        <v>176610.32000000004</v>
      </c>
      <c r="BI11" t="e">
        <f t="shared" ca="1" si="9"/>
        <v>#N/A</v>
      </c>
      <c r="BJ11" t="e">
        <f t="shared" ca="1" si="9"/>
        <v>#N/A</v>
      </c>
      <c r="BK11">
        <f t="shared" ca="1" si="9"/>
        <v>177004.47999999998</v>
      </c>
      <c r="BL11">
        <f t="shared" ca="1" si="9"/>
        <v>176236.50999999998</v>
      </c>
      <c r="BM11">
        <f t="shared" ca="1" si="9"/>
        <v>175776.07</v>
      </c>
      <c r="BN11">
        <f t="shared" ca="1" si="9"/>
        <v>175849.22999999998</v>
      </c>
      <c r="BO11">
        <f t="shared" ca="1" si="9"/>
        <v>175939.61000000002</v>
      </c>
      <c r="BP11" t="e">
        <f t="shared" ca="1" si="9"/>
        <v>#N/A</v>
      </c>
      <c r="BQ11" t="e">
        <f t="shared" ca="1" si="9"/>
        <v>#N/A</v>
      </c>
      <c r="BR11">
        <f t="shared" ca="1" si="9"/>
        <v>176690.38000000003</v>
      </c>
      <c r="BS11">
        <f t="shared" ca="1" si="9"/>
        <v>177270.99</v>
      </c>
      <c r="BT11">
        <f t="shared" ca="1" si="9"/>
        <v>176697.32</v>
      </c>
      <c r="BU11">
        <f t="shared" ref="BU11:EF11" ca="1" si="10">_xlfn.XLOOKUP(BU$10,$G$17:$JG$17,$G$50:$JG$50)</f>
        <v>177099.8</v>
      </c>
      <c r="BV11">
        <f t="shared" ca="1" si="10"/>
        <v>177629.41999999998</v>
      </c>
      <c r="BW11" t="e">
        <f t="shared" ca="1" si="10"/>
        <v>#N/A</v>
      </c>
      <c r="BX11" t="e">
        <f t="shared" ca="1" si="10"/>
        <v>#N/A</v>
      </c>
      <c r="BY11">
        <f t="shared" ca="1" si="10"/>
        <v>178090.94</v>
      </c>
      <c r="BZ11" t="e">
        <f t="shared" ca="1" si="10"/>
        <v>#N/A</v>
      </c>
      <c r="CA11">
        <f t="shared" ca="1" si="10"/>
        <v>177049.78</v>
      </c>
      <c r="CB11">
        <f t="shared" ca="1" si="10"/>
        <v>178006.7</v>
      </c>
      <c r="CC11">
        <f t="shared" ca="1" si="10"/>
        <v>178528.99</v>
      </c>
      <c r="CD11" t="e">
        <f t="shared" ca="1" si="10"/>
        <v>#N/A</v>
      </c>
      <c r="CE11" t="e">
        <f t="shared" ca="1" si="10"/>
        <v>#N/A</v>
      </c>
      <c r="CF11">
        <f t="shared" ca="1" si="10"/>
        <v>178239.61</v>
      </c>
      <c r="CG11">
        <f t="shared" ca="1" si="10"/>
        <v>178259.72000000003</v>
      </c>
      <c r="CH11">
        <f t="shared" ca="1" si="10"/>
        <v>178612.87</v>
      </c>
      <c r="CI11">
        <f t="shared" ca="1" si="10"/>
        <v>179210.58000000002</v>
      </c>
      <c r="CJ11">
        <f t="shared" ca="1" si="10"/>
        <v>179312.85000000003</v>
      </c>
      <c r="CK11" t="e">
        <f t="shared" ca="1" si="10"/>
        <v>#N/A</v>
      </c>
      <c r="CL11" t="e">
        <f t="shared" ca="1" si="10"/>
        <v>#N/A</v>
      </c>
      <c r="CM11">
        <f t="shared" ca="1" si="10"/>
        <v>179684.71000000002</v>
      </c>
      <c r="CN11">
        <f t="shared" ca="1" si="10"/>
        <v>179313.18</v>
      </c>
      <c r="CO11">
        <f t="shared" ca="1" si="10"/>
        <v>179327.93999999997</v>
      </c>
      <c r="CP11">
        <f t="shared" ca="1" si="10"/>
        <v>179748.65999999997</v>
      </c>
      <c r="CQ11">
        <f t="shared" ca="1" si="10"/>
        <v>180440.05000000002</v>
      </c>
      <c r="CR11" t="e">
        <f t="shared" ca="1" si="10"/>
        <v>#N/A</v>
      </c>
      <c r="CS11" t="e">
        <f t="shared" ca="1" si="10"/>
        <v>#N/A</v>
      </c>
      <c r="CT11">
        <f t="shared" ca="1" si="10"/>
        <v>179909.11</v>
      </c>
      <c r="CU11">
        <f t="shared" ca="1" si="10"/>
        <v>180531.77999999997</v>
      </c>
      <c r="CV11">
        <f t="shared" ca="1" si="10"/>
        <v>181113.59</v>
      </c>
      <c r="CW11">
        <f t="shared" ca="1" si="10"/>
        <v>181367.45</v>
      </c>
      <c r="CX11">
        <f t="shared" ca="1" si="10"/>
        <v>181897.91</v>
      </c>
      <c r="CY11" t="e">
        <f t="shared" ca="1" si="10"/>
        <v>#N/A</v>
      </c>
      <c r="CZ11" t="e">
        <f t="shared" ca="1" si="10"/>
        <v>#N/A</v>
      </c>
      <c r="DA11">
        <f t="shared" ca="1" si="10"/>
        <v>181602.43000000005</v>
      </c>
      <c r="DB11">
        <f t="shared" ca="1" si="10"/>
        <v>182025.74999999997</v>
      </c>
      <c r="DC11">
        <f t="shared" ca="1" si="10"/>
        <v>180501.57999999996</v>
      </c>
      <c r="DD11">
        <f t="shared" ca="1" si="10"/>
        <v>180370.37000000002</v>
      </c>
      <c r="DE11">
        <f t="shared" ca="1" si="10"/>
        <v>179250.76000000004</v>
      </c>
      <c r="DF11" t="e">
        <f t="shared" ca="1" si="10"/>
        <v>#N/A</v>
      </c>
      <c r="DG11" t="e">
        <f t="shared" ca="1" si="10"/>
        <v>#N/A</v>
      </c>
      <c r="DH11" t="e">
        <f t="shared" ca="1" si="10"/>
        <v>#N/A</v>
      </c>
      <c r="DI11">
        <f t="shared" ca="1" si="10"/>
        <v>180857.83999999997</v>
      </c>
      <c r="DJ11">
        <f t="shared" ca="1" si="10"/>
        <v>181483.07000000004</v>
      </c>
      <c r="DK11">
        <f t="shared" ca="1" si="10"/>
        <v>181225.74</v>
      </c>
      <c r="DL11">
        <f t="shared" ca="1" si="10"/>
        <v>180859.9</v>
      </c>
      <c r="DM11" t="e">
        <f t="shared" ca="1" si="10"/>
        <v>#N/A</v>
      </c>
      <c r="DN11" t="e">
        <f t="shared" ca="1" si="10"/>
        <v>#N/A</v>
      </c>
      <c r="DO11">
        <f t="shared" ca="1" si="10"/>
        <v>180974.24999999997</v>
      </c>
      <c r="DP11">
        <f t="shared" ca="1" si="10"/>
        <v>181877.1</v>
      </c>
      <c r="DQ11">
        <f t="shared" ca="1" si="10"/>
        <v>182330.68999999994</v>
      </c>
      <c r="DR11">
        <f t="shared" ca="1" si="10"/>
        <v>183467.19999999998</v>
      </c>
      <c r="DS11">
        <f t="shared" ca="1" si="10"/>
        <v>183680.22999999995</v>
      </c>
      <c r="DT11" t="e">
        <f t="shared" ca="1" si="10"/>
        <v>#N/A</v>
      </c>
      <c r="DU11" t="e">
        <f t="shared" ca="1" si="10"/>
        <v>#N/A</v>
      </c>
      <c r="DV11">
        <f t="shared" ca="1" si="10"/>
        <v>183865.10999999996</v>
      </c>
      <c r="DW11">
        <f t="shared" ca="1" si="10"/>
        <v>184173.42999999996</v>
      </c>
      <c r="DX11">
        <f t="shared" ca="1" si="10"/>
        <v>184586.11000000002</v>
      </c>
      <c r="DY11">
        <f t="shared" ca="1" si="10"/>
        <v>185361.22</v>
      </c>
      <c r="DZ11">
        <f t="shared" ca="1" si="10"/>
        <v>185684.33999999997</v>
      </c>
      <c r="EA11" t="e">
        <f t="shared" ca="1" si="10"/>
        <v>#N/A</v>
      </c>
      <c r="EB11" t="e">
        <f t="shared" ca="1" si="10"/>
        <v>#N/A</v>
      </c>
      <c r="EC11">
        <f t="shared" ca="1" si="10"/>
        <v>184805.87</v>
      </c>
      <c r="ED11">
        <f t="shared" ca="1" si="10"/>
        <v>185274.67</v>
      </c>
      <c r="EE11">
        <f t="shared" ca="1" si="10"/>
        <v>185894.32000000004</v>
      </c>
      <c r="EF11">
        <f t="shared" ca="1" si="10"/>
        <v>186315.48000000004</v>
      </c>
      <c r="EG11">
        <f t="shared" ref="EG11:GR11" ca="1" si="11">_xlfn.XLOOKUP(EG$10,$G$17:$JG$17,$G$50:$JG$50)</f>
        <v>186240.41</v>
      </c>
      <c r="EH11" t="e">
        <f t="shared" ca="1" si="11"/>
        <v>#N/A</v>
      </c>
      <c r="EI11" t="e">
        <f t="shared" ca="1" si="11"/>
        <v>#N/A</v>
      </c>
      <c r="EJ11" t="e">
        <f t="shared" ca="1" si="11"/>
        <v>#N/A</v>
      </c>
      <c r="EK11">
        <f t="shared" ca="1" si="11"/>
        <v>186239.04</v>
      </c>
      <c r="EL11">
        <f t="shared" ca="1" si="11"/>
        <v>186937.61000000004</v>
      </c>
      <c r="EM11">
        <f t="shared" ca="1" si="11"/>
        <v>187620.22999999998</v>
      </c>
      <c r="EN11">
        <f t="shared" ca="1" si="11"/>
        <v>187372.22</v>
      </c>
      <c r="EO11" t="e">
        <f t="shared" ca="1" si="11"/>
        <v>#N/A</v>
      </c>
      <c r="EP11" t="e">
        <f t="shared" ca="1" si="11"/>
        <v>#N/A</v>
      </c>
      <c r="EQ11">
        <f t="shared" ca="1" si="11"/>
        <v>187264.3</v>
      </c>
      <c r="ER11">
        <f t="shared" ca="1" si="11"/>
        <v>187953.49</v>
      </c>
      <c r="ES11">
        <f t="shared" ca="1" si="11"/>
        <v>188555.25999999998</v>
      </c>
      <c r="ET11">
        <f t="shared" ca="1" si="11"/>
        <v>189719.41</v>
      </c>
      <c r="EU11">
        <f t="shared" ca="1" si="11"/>
        <v>189292.23999999996</v>
      </c>
      <c r="EV11" t="e">
        <f t="shared" ca="1" si="11"/>
        <v>#N/A</v>
      </c>
      <c r="EW11" t="e">
        <f t="shared" ca="1" si="11"/>
        <v>#N/A</v>
      </c>
      <c r="EX11">
        <f t="shared" ca="1" si="11"/>
        <v>189122.81</v>
      </c>
      <c r="EY11">
        <f t="shared" ca="1" si="11"/>
        <v>188166</v>
      </c>
      <c r="EZ11">
        <f t="shared" ca="1" si="11"/>
        <v>188372.90000000002</v>
      </c>
      <c r="FA11">
        <f t="shared" ca="1" si="11"/>
        <v>188833.96000000005</v>
      </c>
      <c r="FB11">
        <f t="shared" ca="1" si="11"/>
        <v>189814.69000000003</v>
      </c>
      <c r="FC11" t="e">
        <f t="shared" ca="1" si="11"/>
        <v>#N/A</v>
      </c>
      <c r="FD11" t="e">
        <f t="shared" ca="1" si="11"/>
        <v>#N/A</v>
      </c>
      <c r="FE11">
        <f t="shared" ca="1" si="11"/>
        <v>189482.06</v>
      </c>
      <c r="FF11">
        <f t="shared" ca="1" si="11"/>
        <v>190009.52</v>
      </c>
      <c r="FG11">
        <f t="shared" ca="1" si="11"/>
        <v>189999.41000000003</v>
      </c>
      <c r="FH11">
        <f t="shared" ca="1" si="11"/>
        <v>190030.06999999998</v>
      </c>
      <c r="FI11">
        <f t="shared" ca="1" si="11"/>
        <v>190476.15</v>
      </c>
      <c r="FJ11" t="e">
        <f t="shared" ca="1" si="11"/>
        <v>#N/A</v>
      </c>
      <c r="FK11" t="e">
        <f t="shared" ca="1" si="11"/>
        <v>#N/A</v>
      </c>
      <c r="FL11">
        <f t="shared" ca="1" si="11"/>
        <v>190767.78000000003</v>
      </c>
      <c r="FM11">
        <f t="shared" ca="1" si="11"/>
        <v>191192.10000000003</v>
      </c>
      <c r="FN11">
        <f t="shared" ca="1" si="11"/>
        <v>191403.50999999995</v>
      </c>
      <c r="FO11">
        <f t="shared" ca="1" si="11"/>
        <v>192002.58000000007</v>
      </c>
      <c r="FP11">
        <f t="shared" ca="1" si="11"/>
        <v>192771.73</v>
      </c>
      <c r="FQ11" t="e">
        <f t="shared" ca="1" si="11"/>
        <v>#N/A</v>
      </c>
      <c r="FR11" t="e">
        <f t="shared" ca="1" si="11"/>
        <v>#N/A</v>
      </c>
      <c r="FS11">
        <f t="shared" ca="1" si="11"/>
        <v>193165.2</v>
      </c>
      <c r="FT11">
        <f t="shared" ca="1" si="11"/>
        <v>192916.78999999998</v>
      </c>
      <c r="FU11">
        <f t="shared" ca="1" si="11"/>
        <v>192647.32</v>
      </c>
      <c r="FV11">
        <f t="shared" ca="1" si="11"/>
        <v>192239.02999999997</v>
      </c>
      <c r="FW11">
        <f t="shared" ca="1" si="11"/>
        <v>191633.23</v>
      </c>
      <c r="FX11" t="e">
        <f t="shared" ca="1" si="11"/>
        <v>#N/A</v>
      </c>
      <c r="FY11" t="e">
        <f t="shared" ca="1" si="11"/>
        <v>#N/A</v>
      </c>
      <c r="FZ11" t="e">
        <f t="shared" ca="1" si="11"/>
        <v>#N/A</v>
      </c>
      <c r="GA11">
        <f t="shared" ca="1" si="11"/>
        <v>193009.99000000002</v>
      </c>
      <c r="GB11">
        <f t="shared" ca="1" si="11"/>
        <v>193581.68</v>
      </c>
      <c r="GC11">
        <f t="shared" ca="1" si="11"/>
        <v>192224.01</v>
      </c>
      <c r="GD11">
        <f t="shared" ca="1" si="11"/>
        <v>191638.39000000004</v>
      </c>
      <c r="GE11" t="e">
        <f t="shared" ca="1" si="11"/>
        <v>#N/A</v>
      </c>
      <c r="GF11" t="e">
        <f t="shared" ca="1" si="11"/>
        <v>#N/A</v>
      </c>
      <c r="GG11">
        <f t="shared" ca="1" si="11"/>
        <v>192354.80999999997</v>
      </c>
      <c r="GH11">
        <f t="shared" ca="1" si="11"/>
        <v>192505.65000000002</v>
      </c>
      <c r="GI11">
        <f t="shared" ca="1" si="11"/>
        <v>193299.48</v>
      </c>
      <c r="GJ11">
        <f t="shared" ca="1" si="11"/>
        <v>194247.52000000002</v>
      </c>
      <c r="GK11">
        <f t="shared" ca="1" si="11"/>
        <v>195266.98</v>
      </c>
      <c r="GL11" t="e">
        <f t="shared" ca="1" si="11"/>
        <v>#N/A</v>
      </c>
      <c r="GM11" t="e">
        <f t="shared" ca="1" si="11"/>
        <v>#N/A</v>
      </c>
      <c r="GN11">
        <f t="shared" ca="1" si="11"/>
        <v>195903.56000000003</v>
      </c>
      <c r="GO11">
        <f t="shared" ca="1" si="11"/>
        <v>196123.37</v>
      </c>
      <c r="GP11">
        <f t="shared" ca="1" si="11"/>
        <v>193972.85000000003</v>
      </c>
      <c r="GQ11">
        <f t="shared" ca="1" si="11"/>
        <v>193950.25000000003</v>
      </c>
      <c r="GR11">
        <f t="shared" ca="1" si="11"/>
        <v>194986.84000000003</v>
      </c>
      <c r="GS11" t="e">
        <f t="shared" ref="GS11:IX11" ca="1" si="12">_xlfn.XLOOKUP(GS$10,$G$17:$JG$17,$G$50:$JG$50)</f>
        <v>#N/A</v>
      </c>
      <c r="GT11" t="e">
        <f t="shared" ca="1" si="12"/>
        <v>#N/A</v>
      </c>
      <c r="GU11">
        <f t="shared" ca="1" si="12"/>
        <v>196117.47000000003</v>
      </c>
      <c r="GV11">
        <f t="shared" ca="1" si="12"/>
        <v>195507.86000000002</v>
      </c>
      <c r="GW11">
        <f t="shared" ca="1" si="12"/>
        <v>196369.36999999997</v>
      </c>
      <c r="GX11">
        <f t="shared" ca="1" si="12"/>
        <v>196969.89</v>
      </c>
      <c r="GY11">
        <f t="shared" ca="1" si="12"/>
        <v>198045.72000000006</v>
      </c>
      <c r="GZ11" t="e">
        <f t="shared" ca="1" si="12"/>
        <v>#N/A</v>
      </c>
      <c r="HA11" t="e">
        <f t="shared" ca="1" si="12"/>
        <v>#N/A</v>
      </c>
      <c r="HB11">
        <f t="shared" ca="1" si="12"/>
        <v>199533.60000000003</v>
      </c>
      <c r="HC11">
        <f t="shared" ca="1" si="12"/>
        <v>200007.98999999996</v>
      </c>
      <c r="HD11">
        <f t="shared" ca="1" si="12"/>
        <v>202892.46999999997</v>
      </c>
      <c r="HE11">
        <f t="shared" ca="1" si="12"/>
        <v>201843.94</v>
      </c>
      <c r="HF11">
        <f t="shared" ca="1" si="12"/>
        <v>201935.34999999998</v>
      </c>
      <c r="HG11" t="e">
        <f t="shared" ca="1" si="12"/>
        <v>#N/A</v>
      </c>
      <c r="HH11" t="e">
        <f t="shared" ca="1" si="12"/>
        <v>#N/A</v>
      </c>
      <c r="HI11">
        <f t="shared" ca="1" si="12"/>
        <v>201877.56</v>
      </c>
      <c r="HJ11">
        <f t="shared" ca="1" si="12"/>
        <v>201348.5</v>
      </c>
      <c r="HK11">
        <f t="shared" ca="1" si="12"/>
        <v>201474.29</v>
      </c>
      <c r="HL11">
        <f t="shared" ca="1" si="12"/>
        <v>201079.12</v>
      </c>
      <c r="HM11">
        <f t="shared" ca="1" si="12"/>
        <v>202761.55000000002</v>
      </c>
      <c r="HN11" t="e">
        <f t="shared" ca="1" si="12"/>
        <v>#N/A</v>
      </c>
      <c r="HO11" t="e">
        <f t="shared" ca="1" si="12"/>
        <v>#N/A</v>
      </c>
      <c r="HP11">
        <f t="shared" ca="1" si="12"/>
        <v>203321.07</v>
      </c>
      <c r="HQ11">
        <f t="shared" ca="1" si="12"/>
        <v>205152.71000000002</v>
      </c>
      <c r="HR11">
        <f t="shared" ca="1" si="12"/>
        <v>205210.19000000003</v>
      </c>
      <c r="HS11">
        <f t="shared" ca="1" si="12"/>
        <v>205215.31999999998</v>
      </c>
      <c r="HT11">
        <f t="shared" ca="1" si="12"/>
        <v>205363.62000000002</v>
      </c>
      <c r="HU11" t="e">
        <f t="shared" ca="1" si="12"/>
        <v>#N/A</v>
      </c>
      <c r="HV11" t="e">
        <f t="shared" ca="1" si="12"/>
        <v>#N/A</v>
      </c>
      <c r="HW11">
        <f t="shared" ca="1" si="12"/>
        <v>204578.04</v>
      </c>
      <c r="HX11">
        <f t="shared" ca="1" si="12"/>
        <v>204224.59999999998</v>
      </c>
      <c r="HY11">
        <f t="shared" ca="1" si="12"/>
        <v>203745.75000000003</v>
      </c>
      <c r="HZ11">
        <f t="shared" ca="1" si="12"/>
        <v>205158.04000000007</v>
      </c>
      <c r="IA11">
        <f t="shared" ca="1" si="12"/>
        <v>204664.49000000002</v>
      </c>
      <c r="IB11" t="e">
        <f t="shared" ca="1" si="12"/>
        <v>#N/A</v>
      </c>
      <c r="IC11" t="e">
        <f t="shared" ca="1" si="12"/>
        <v>#N/A</v>
      </c>
      <c r="ID11">
        <f t="shared" ca="1" si="12"/>
        <v>204448.03000000003</v>
      </c>
      <c r="IE11">
        <f t="shared" ca="1" si="12"/>
        <v>204870.42</v>
      </c>
      <c r="IF11">
        <f t="shared" ca="1" si="12"/>
        <v>205697.36</v>
      </c>
      <c r="IG11">
        <f t="shared" ca="1" si="12"/>
        <v>207093.03000000006</v>
      </c>
      <c r="IH11">
        <f t="shared" ca="1" si="12"/>
        <v>207588.26</v>
      </c>
      <c r="II11" t="e">
        <f t="shared" ca="1" si="12"/>
        <v>#N/A</v>
      </c>
      <c r="IJ11" t="e">
        <f t="shared" ca="1" si="12"/>
        <v>#N/A</v>
      </c>
      <c r="IK11">
        <f t="shared" ca="1" si="12"/>
        <v>208458.92</v>
      </c>
      <c r="IL11">
        <f t="shared" ca="1" si="12"/>
        <v>207335.54</v>
      </c>
      <c r="IM11">
        <f t="shared" ca="1" si="12"/>
        <v>206665.78999999998</v>
      </c>
      <c r="IN11">
        <f t="shared" ca="1" si="12"/>
        <v>207620.91999999995</v>
      </c>
      <c r="IO11">
        <f t="shared" ca="1" si="12"/>
        <v>207843.22999999998</v>
      </c>
      <c r="IP11" t="e">
        <f t="shared" ca="1" si="12"/>
        <v>#N/A</v>
      </c>
      <c r="IQ11" t="e">
        <f t="shared" ca="1" si="12"/>
        <v>#N/A</v>
      </c>
      <c r="IR11">
        <f t="shared" ca="1" si="12"/>
        <v>208756.9</v>
      </c>
      <c r="IS11">
        <f t="shared" ca="1" si="12"/>
        <v>209037.24000000002</v>
      </c>
      <c r="IT11">
        <f t="shared" ca="1" si="12"/>
        <v>208955.68</v>
      </c>
      <c r="IU11" t="e">
        <f t="shared" ca="1" si="12"/>
        <v>#N/A</v>
      </c>
      <c r="IV11" t="e">
        <f t="shared" ca="1" si="12"/>
        <v>#N/A</v>
      </c>
      <c r="IW11" t="e">
        <f t="shared" ca="1" si="12"/>
        <v>#N/A</v>
      </c>
      <c r="IX11" t="e">
        <f t="shared" ca="1" si="12"/>
        <v>#N/A</v>
      </c>
      <c r="IY11">
        <f ca="1">_xlfn.XLOOKUP(IY$10,$G$17:$JG$17,$G$50:$JG$50)</f>
        <v>209422.5</v>
      </c>
      <c r="IZ11">
        <f t="shared" ref="IZ11:JG11" ca="1" si="13">_xlfn.XLOOKUP(IZ$10,$G$17:$JG$17,$G$50:$JG$50)</f>
        <v>209281.32999999996</v>
      </c>
      <c r="JA11">
        <f t="shared" ca="1" si="13"/>
        <v>208720.56000000006</v>
      </c>
      <c r="JB11" t="e">
        <f t="shared" ca="1" si="13"/>
        <v>#N/A</v>
      </c>
      <c r="JC11">
        <f t="shared" ca="1" si="13"/>
        <v>209925.16</v>
      </c>
      <c r="JD11" t="e">
        <f t="shared" ca="1" si="13"/>
        <v>#N/A</v>
      </c>
      <c r="JE11" t="e">
        <f t="shared" ca="1" si="13"/>
        <v>#N/A</v>
      </c>
      <c r="JF11">
        <f t="shared" ca="1" si="13"/>
        <v>210841.24</v>
      </c>
      <c r="JG11">
        <f t="shared" ca="1" si="13"/>
        <v>210461.46000000002</v>
      </c>
      <c r="JH11">
        <f ca="1">_xlfn.XLOOKUP(JH$10,$G$17:$JG$17,$G$50:$JG$50)</f>
        <v>209667.00999999998</v>
      </c>
      <c r="JI11">
        <f t="shared" ref="JI11:KC11" ca="1" si="14">_xlfn.XLOOKUP(JI$10,$G$17:$JG$17,$G$50:$JG$50)</f>
        <v>209639.97999999998</v>
      </c>
      <c r="JJ11">
        <f t="shared" ca="1" si="14"/>
        <v>210651.75</v>
      </c>
      <c r="JK11" t="e">
        <f t="shared" ca="1" si="14"/>
        <v>#N/A</v>
      </c>
      <c r="JL11" t="e">
        <f t="shared" ca="1" si="14"/>
        <v>#N/A</v>
      </c>
      <c r="JM11">
        <f t="shared" ca="1" si="14"/>
        <v>210828.81999999998</v>
      </c>
      <c r="JN11">
        <f t="shared" ca="1" si="14"/>
        <v>210174.47999999995</v>
      </c>
      <c r="JO11">
        <f t="shared" ca="1" si="14"/>
        <v>211943.66999999998</v>
      </c>
      <c r="JP11">
        <f t="shared" ca="1" si="14"/>
        <v>212657.45</v>
      </c>
      <c r="JQ11">
        <f t="shared" ca="1" si="14"/>
        <v>212559.56000000008</v>
      </c>
      <c r="JR11" t="e">
        <f t="shared" ca="1" si="14"/>
        <v>#N/A</v>
      </c>
      <c r="JS11" t="e">
        <f t="shared" ca="1" si="14"/>
        <v>#N/A</v>
      </c>
      <c r="JT11">
        <f t="shared" ca="1" si="14"/>
        <v>211977.83999999994</v>
      </c>
      <c r="JU11">
        <f t="shared" ca="1" si="14"/>
        <v>209992.64000000004</v>
      </c>
      <c r="JV11">
        <f t="shared" ca="1" si="14"/>
        <v>211026.01999999996</v>
      </c>
      <c r="JW11">
        <f t="shared" ca="1" si="14"/>
        <v>210705.53000000006</v>
      </c>
      <c r="JX11">
        <f t="shared" ca="1" si="14"/>
        <v>210632.28</v>
      </c>
      <c r="JY11" t="e">
        <f t="shared" ca="1" si="14"/>
        <v>#N/A</v>
      </c>
      <c r="JZ11" t="e">
        <f t="shared" ca="1" si="14"/>
        <v>#N/A</v>
      </c>
      <c r="KA11">
        <f t="shared" ca="1" si="14"/>
        <v>210076.52</v>
      </c>
      <c r="KB11">
        <f t="shared" ca="1" si="14"/>
        <v>209599.79</v>
      </c>
      <c r="KC11">
        <f t="shared" ca="1" si="14"/>
        <v>209160.78000000003</v>
      </c>
      <c r="KD11">
        <f ca="1">_xlfn.XLOOKUP(KD$10,$G$17:$JG$17,$G$50:$JG$50)</f>
        <v>209917.78000000003</v>
      </c>
      <c r="KE11">
        <f t="shared" ref="KE11:LO11" ca="1" si="15">_xlfn.XLOOKUP(KE$10,$G$17:$JG$17,$G$50:$JG$50)</f>
        <v>209169.71000000005</v>
      </c>
      <c r="KF11" t="e">
        <f t="shared" ca="1" si="15"/>
        <v>#N/A</v>
      </c>
      <c r="KG11" t="e">
        <f t="shared" ca="1" si="15"/>
        <v>#N/A</v>
      </c>
      <c r="KH11">
        <f t="shared" ca="1" si="15"/>
        <v>211415.05000000002</v>
      </c>
      <c r="KI11">
        <f t="shared" ca="1" si="15"/>
        <v>212842.37000000005</v>
      </c>
      <c r="KJ11">
        <f t="shared" ca="1" si="15"/>
        <v>213042.06000000006</v>
      </c>
      <c r="KK11">
        <f t="shared" ca="1" si="15"/>
        <v>213314.16999999998</v>
      </c>
      <c r="KL11">
        <f t="shared" ca="1" si="15"/>
        <v>213549.6</v>
      </c>
      <c r="KM11" t="e">
        <f t="shared" ca="1" si="15"/>
        <v>#N/A</v>
      </c>
      <c r="KN11" t="e">
        <f t="shared" ca="1" si="15"/>
        <v>#N/A</v>
      </c>
      <c r="KO11">
        <f t="shared" ca="1" si="15"/>
        <v>214497.21000000002</v>
      </c>
      <c r="KP11">
        <f t="shared" ca="1" si="15"/>
        <v>214821.11</v>
      </c>
      <c r="KQ11">
        <f t="shared" ca="1" si="15"/>
        <v>213833.22999999998</v>
      </c>
      <c r="KR11">
        <f t="shared" ca="1" si="15"/>
        <v>213798.75999999995</v>
      </c>
      <c r="KS11">
        <f t="shared" ca="1" si="15"/>
        <v>216517.03</v>
      </c>
      <c r="KT11" t="e">
        <f t="shared" ca="1" si="15"/>
        <v>#N/A</v>
      </c>
      <c r="KU11" t="e">
        <f t="shared" ca="1" si="15"/>
        <v>#N/A</v>
      </c>
      <c r="KV11" t="e">
        <f t="shared" ca="1" si="15"/>
        <v>#N/A</v>
      </c>
      <c r="KW11">
        <f t="shared" ca="1" si="15"/>
        <v>216910.86000000002</v>
      </c>
      <c r="KX11">
        <f t="shared" ca="1" si="15"/>
        <v>216531.49000000002</v>
      </c>
      <c r="KY11">
        <f t="shared" ca="1" si="15"/>
        <v>217203.69999999995</v>
      </c>
      <c r="KZ11">
        <f t="shared" ca="1" si="15"/>
        <v>218098.04</v>
      </c>
      <c r="LA11" t="e">
        <f t="shared" ca="1" si="15"/>
        <v>#N/A</v>
      </c>
      <c r="LB11" t="e">
        <f t="shared" ca="1" si="15"/>
        <v>#N/A</v>
      </c>
      <c r="LC11">
        <f t="shared" ca="1" si="15"/>
        <v>218452.23</v>
      </c>
      <c r="LD11">
        <f t="shared" ca="1" si="15"/>
        <v>218195.84999999998</v>
      </c>
      <c r="LE11">
        <f t="shared" ca="1" si="15"/>
        <v>219962.29</v>
      </c>
      <c r="LF11">
        <f t="shared" ca="1" si="15"/>
        <v>221283.96000000002</v>
      </c>
      <c r="LG11">
        <f t="shared" ca="1" si="15"/>
        <v>219960.57</v>
      </c>
      <c r="LH11" t="e">
        <f t="shared" ca="1" si="15"/>
        <v>#N/A</v>
      </c>
      <c r="LI11" t="e">
        <f t="shared" ca="1" si="15"/>
        <v>#N/A</v>
      </c>
      <c r="LJ11">
        <f t="shared" ca="1" si="15"/>
        <v>220942.72999999998</v>
      </c>
      <c r="LK11">
        <f t="shared" ca="1" si="15"/>
        <v>218620.98</v>
      </c>
      <c r="LL11">
        <f t="shared" ca="1" si="15"/>
        <v>218887.52</v>
      </c>
      <c r="LM11">
        <f t="shared" ca="1" si="15"/>
        <v>218186.53000000003</v>
      </c>
      <c r="LN11">
        <f t="shared" ca="1" si="15"/>
        <v>214633.65</v>
      </c>
      <c r="LO11" t="e">
        <f t="shared" ca="1" si="15"/>
        <v>#N/A</v>
      </c>
      <c r="LP11" t="e">
        <f ca="1">_xlfn.XLOOKUP(LP$10,$G$17:$JG$17,$G$50:$JG$50)</f>
        <v>#N/A</v>
      </c>
      <c r="LQ11">
        <f t="shared" ref="LQ11:MH11" ca="1" si="16">_xlfn.XLOOKUP(LQ$10,$G$17:$JG$17,$G$50:$JG$50)</f>
        <v>214074.31000000006</v>
      </c>
      <c r="LR11">
        <f t="shared" ca="1" si="16"/>
        <v>214845.83</v>
      </c>
      <c r="LS11">
        <f t="shared" ca="1" si="16"/>
        <v>214747.08999999997</v>
      </c>
      <c r="LT11">
        <f t="shared" ca="1" si="16"/>
        <v>214650.47</v>
      </c>
      <c r="LU11">
        <f t="shared" ca="1" si="16"/>
        <v>215347.16</v>
      </c>
      <c r="LV11" t="e">
        <f t="shared" ca="1" si="16"/>
        <v>#N/A</v>
      </c>
      <c r="LW11" t="e">
        <f t="shared" ca="1" si="16"/>
        <v>#N/A</v>
      </c>
      <c r="LX11">
        <f t="shared" ca="1" si="16"/>
        <v>217438.40000000005</v>
      </c>
      <c r="LY11">
        <f t="shared" ca="1" si="16"/>
        <v>218313.99</v>
      </c>
      <c r="LZ11">
        <f t="shared" ca="1" si="16"/>
        <v>217318</v>
      </c>
      <c r="MA11">
        <f t="shared" ca="1" si="16"/>
        <v>214641</v>
      </c>
      <c r="MB11">
        <f t="shared" ca="1" si="16"/>
        <v>213115.54</v>
      </c>
      <c r="MC11" t="e">
        <f t="shared" ca="1" si="16"/>
        <v>#N/A</v>
      </c>
      <c r="MD11" t="e">
        <f t="shared" ca="1" si="16"/>
        <v>#N/A</v>
      </c>
      <c r="ME11">
        <f t="shared" ca="1" si="16"/>
        <v>215511.45</v>
      </c>
      <c r="MF11">
        <f t="shared" ca="1" si="16"/>
        <v>216743.94999999998</v>
      </c>
      <c r="MG11">
        <f t="shared" ca="1" si="16"/>
        <v>218789.41999999998</v>
      </c>
      <c r="MH11">
        <f t="shared" ca="1" si="16"/>
        <v>217095.27</v>
      </c>
      <c r="MI11">
        <f ca="1">_xlfn.XLOOKUP(MI$10,$G$17:$JG$17,$G$50:$JG$50)</f>
        <v>216692.66000000003</v>
      </c>
      <c r="MJ11" t="e">
        <f t="shared" ref="MJ11:NF11" ca="1" si="17">_xlfn.XLOOKUP(MJ$10,$G$17:$JG$17,$G$50:$JG$50)</f>
        <v>#N/A</v>
      </c>
      <c r="MK11" t="e">
        <f t="shared" ca="1" si="17"/>
        <v>#N/A</v>
      </c>
      <c r="ML11">
        <f t="shared" ca="1" si="17"/>
        <v>216692.7</v>
      </c>
      <c r="MM11">
        <f t="shared" ca="1" si="17"/>
        <v>219509.74000000002</v>
      </c>
      <c r="MN11">
        <f t="shared" ca="1" si="17"/>
        <v>220330.43</v>
      </c>
      <c r="MO11">
        <f t="shared" ca="1" si="17"/>
        <v>221477.88000000009</v>
      </c>
      <c r="MP11" t="e">
        <f t="shared" ca="1" si="17"/>
        <v>#N/A</v>
      </c>
      <c r="MQ11" t="e">
        <f t="shared" ca="1" si="17"/>
        <v>#N/A</v>
      </c>
      <c r="MR11" t="e">
        <f t="shared" ca="1" si="17"/>
        <v>#N/A</v>
      </c>
      <c r="MS11">
        <f t="shared" ca="1" si="17"/>
        <v>221868.17</v>
      </c>
      <c r="MT11">
        <f t="shared" ca="1" si="17"/>
        <v>222295.64000000004</v>
      </c>
      <c r="MU11">
        <f t="shared" ca="1" si="17"/>
        <v>223988.87000000005</v>
      </c>
      <c r="MV11">
        <f t="shared" ca="1" si="17"/>
        <v>224662.55</v>
      </c>
      <c r="MW11">
        <f t="shared" ca="1" si="17"/>
        <v>225963.92999999996</v>
      </c>
      <c r="MX11" t="e">
        <f t="shared" ca="1" si="17"/>
        <v>#N/A</v>
      </c>
      <c r="MY11" t="e">
        <f t="shared" ca="1" si="17"/>
        <v>#N/A</v>
      </c>
      <c r="MZ11">
        <f t="shared" ca="1" si="17"/>
        <v>226976.29</v>
      </c>
      <c r="NA11">
        <f t="shared" ca="1" si="17"/>
        <v>227846.51999999996</v>
      </c>
      <c r="NB11">
        <f t="shared" ca="1" si="17"/>
        <v>228895.81</v>
      </c>
      <c r="NC11">
        <f t="shared" ca="1" si="17"/>
        <v>227764.2</v>
      </c>
      <c r="ND11">
        <f t="shared" ca="1" si="17"/>
        <v>228461.85999999996</v>
      </c>
      <c r="NE11" t="e">
        <f t="shared" ca="1" si="17"/>
        <v>#N/A</v>
      </c>
      <c r="NF11" t="e">
        <f t="shared" ca="1" si="17"/>
        <v>#N/A</v>
      </c>
      <c r="NG11">
        <f ca="1">_xlfn.XLOOKUP(NG$10,$G$17:$JG$17,$G$50:$JG$50)</f>
        <v>228477.48</v>
      </c>
    </row>
    <row r="12" spans="1:371" x14ac:dyDescent="0.25">
      <c r="F12" t="s">
        <v>198</v>
      </c>
      <c r="G12">
        <f ca="1">_xlfn.XLOOKUP(G$10,$G$52:$JG$52,$G$56:$JG$56)</f>
        <v>144972.19</v>
      </c>
      <c r="H12">
        <f ca="1">_xlfn.XLOOKUP(H$10,$G$52:$JG$52,$G$56:$JG$56)</f>
        <v>147495.69</v>
      </c>
      <c r="I12">
        <f t="shared" ref="I12:BT12" ca="1" si="18">_xlfn.XLOOKUP(I$10,$G$52:$JG$52,$G$56:$JG$56)</f>
        <v>149161.69</v>
      </c>
      <c r="J12">
        <f t="shared" ca="1" si="18"/>
        <v>151011.69</v>
      </c>
      <c r="K12">
        <f t="shared" ca="1" si="18"/>
        <v>151507.19</v>
      </c>
      <c r="L12" t="e">
        <f t="shared" ca="1" si="18"/>
        <v>#N/A</v>
      </c>
      <c r="M12" t="e">
        <f t="shared" ca="1" si="18"/>
        <v>#N/A</v>
      </c>
      <c r="N12">
        <f t="shared" ca="1" si="18"/>
        <v>151721.19</v>
      </c>
      <c r="O12">
        <f t="shared" ca="1" si="18"/>
        <v>152506.19</v>
      </c>
      <c r="P12">
        <f t="shared" ca="1" si="18"/>
        <v>152107.69</v>
      </c>
      <c r="Q12">
        <f t="shared" ca="1" si="18"/>
        <v>152625.19</v>
      </c>
      <c r="R12">
        <f t="shared" ca="1" si="18"/>
        <v>154262.19</v>
      </c>
      <c r="S12" t="e">
        <f t="shared" ca="1" si="18"/>
        <v>#N/A</v>
      </c>
      <c r="T12" t="e">
        <f t="shared" ca="1" si="18"/>
        <v>#N/A</v>
      </c>
      <c r="U12">
        <f t="shared" ca="1" si="18"/>
        <v>153605.19</v>
      </c>
      <c r="V12">
        <f t="shared" ca="1" si="18"/>
        <v>152881.69</v>
      </c>
      <c r="W12">
        <f t="shared" ca="1" si="18"/>
        <v>153861.69</v>
      </c>
      <c r="X12">
        <f t="shared" ca="1" si="18"/>
        <v>154945.19</v>
      </c>
      <c r="Y12">
        <f t="shared" ca="1" si="18"/>
        <v>155266.69</v>
      </c>
      <c r="Z12" t="e">
        <f t="shared" ca="1" si="18"/>
        <v>#N/A</v>
      </c>
      <c r="AA12" t="e">
        <f t="shared" ca="1" si="18"/>
        <v>#N/A</v>
      </c>
      <c r="AB12">
        <f t="shared" ca="1" si="18"/>
        <v>158090.19</v>
      </c>
      <c r="AC12">
        <f t="shared" ca="1" si="18"/>
        <v>158503.19</v>
      </c>
      <c r="AD12">
        <f t="shared" ca="1" si="18"/>
        <v>159248.69</v>
      </c>
      <c r="AE12">
        <f t="shared" ca="1" si="18"/>
        <v>160309.19</v>
      </c>
      <c r="AF12">
        <f t="shared" ca="1" si="18"/>
        <v>161016.69</v>
      </c>
      <c r="AG12" t="e">
        <f t="shared" ca="1" si="18"/>
        <v>#N/A</v>
      </c>
      <c r="AH12" t="e">
        <f t="shared" ca="1" si="18"/>
        <v>#N/A</v>
      </c>
      <c r="AI12" t="e">
        <f t="shared" ca="1" si="18"/>
        <v>#N/A</v>
      </c>
      <c r="AJ12">
        <f t="shared" ca="1" si="18"/>
        <v>160797.69</v>
      </c>
      <c r="AK12">
        <f t="shared" ca="1" si="18"/>
        <v>158806.69</v>
      </c>
      <c r="AL12">
        <f t="shared" ca="1" si="18"/>
        <v>158854.69</v>
      </c>
      <c r="AM12">
        <f t="shared" ca="1" si="18"/>
        <v>158021.69</v>
      </c>
      <c r="AN12" t="e">
        <f t="shared" ca="1" si="18"/>
        <v>#N/A</v>
      </c>
      <c r="AO12" t="e">
        <f t="shared" ca="1" si="18"/>
        <v>#N/A</v>
      </c>
      <c r="AP12">
        <f t="shared" ca="1" si="18"/>
        <v>159427.19</v>
      </c>
      <c r="AQ12">
        <f t="shared" ca="1" si="18"/>
        <v>160991.19</v>
      </c>
      <c r="AR12">
        <f t="shared" ca="1" si="18"/>
        <v>160900.69</v>
      </c>
      <c r="AS12">
        <f t="shared" ca="1" si="18"/>
        <v>160658.19</v>
      </c>
      <c r="AT12">
        <f t="shared" ca="1" si="18"/>
        <v>160164.68999999997</v>
      </c>
      <c r="AU12" t="e">
        <f t="shared" ca="1" si="18"/>
        <v>#N/A</v>
      </c>
      <c r="AV12" t="e">
        <f t="shared" ca="1" si="18"/>
        <v>#N/A</v>
      </c>
      <c r="AW12">
        <f t="shared" ca="1" si="18"/>
        <v>161250.19</v>
      </c>
      <c r="AX12">
        <f t="shared" ca="1" si="18"/>
        <v>161633.19</v>
      </c>
      <c r="AY12">
        <f t="shared" ca="1" si="18"/>
        <v>160923.18999999997</v>
      </c>
      <c r="AZ12">
        <f t="shared" ca="1" si="18"/>
        <v>160510.69</v>
      </c>
      <c r="BA12">
        <f t="shared" ca="1" si="18"/>
        <v>161687.19</v>
      </c>
      <c r="BB12" t="e">
        <f t="shared" ca="1" si="18"/>
        <v>#N/A</v>
      </c>
      <c r="BC12" t="e">
        <f t="shared" ca="1" si="18"/>
        <v>#N/A</v>
      </c>
      <c r="BD12">
        <f t="shared" ca="1" si="18"/>
        <v>161281.19</v>
      </c>
      <c r="BE12">
        <f t="shared" ca="1" si="18"/>
        <v>161825.19</v>
      </c>
      <c r="BF12">
        <f t="shared" ca="1" si="18"/>
        <v>162173.94</v>
      </c>
      <c r="BG12">
        <f t="shared" ca="1" si="18"/>
        <v>162292.19</v>
      </c>
      <c r="BH12">
        <f t="shared" ca="1" si="18"/>
        <v>161204.19</v>
      </c>
      <c r="BI12" t="e">
        <f t="shared" ca="1" si="18"/>
        <v>#N/A</v>
      </c>
      <c r="BJ12" t="e">
        <f t="shared" ca="1" si="18"/>
        <v>#N/A</v>
      </c>
      <c r="BK12">
        <f t="shared" ca="1" si="18"/>
        <v>162034.19</v>
      </c>
      <c r="BL12">
        <f t="shared" ca="1" si="18"/>
        <v>161740.18999999997</v>
      </c>
      <c r="BM12">
        <f t="shared" ca="1" si="18"/>
        <v>161975.69</v>
      </c>
      <c r="BN12">
        <f t="shared" ca="1" si="18"/>
        <v>161577.69</v>
      </c>
      <c r="BO12">
        <f t="shared" ca="1" si="18"/>
        <v>160924.19</v>
      </c>
      <c r="BP12" t="e">
        <f t="shared" ca="1" si="18"/>
        <v>#N/A</v>
      </c>
      <c r="BQ12" t="e">
        <f t="shared" ca="1" si="18"/>
        <v>#N/A</v>
      </c>
      <c r="BR12">
        <f t="shared" ca="1" si="18"/>
        <v>161932.19</v>
      </c>
      <c r="BS12">
        <f t="shared" ca="1" si="18"/>
        <v>163055.19</v>
      </c>
      <c r="BT12">
        <f t="shared" ca="1" si="18"/>
        <v>162322.69</v>
      </c>
      <c r="BU12">
        <f t="shared" ref="BU12:EF12" ca="1" si="19">_xlfn.XLOOKUP(BU$10,$G$52:$JG$52,$G$56:$JG$56)</f>
        <v>163006.19</v>
      </c>
      <c r="BV12">
        <f t="shared" ca="1" si="19"/>
        <v>163375.19</v>
      </c>
      <c r="BW12" t="e">
        <f t="shared" ca="1" si="19"/>
        <v>#N/A</v>
      </c>
      <c r="BX12" t="e">
        <f t="shared" ca="1" si="19"/>
        <v>#N/A</v>
      </c>
      <c r="BY12">
        <f t="shared" ca="1" si="19"/>
        <v>163832.69</v>
      </c>
      <c r="BZ12" t="e">
        <f t="shared" ca="1" si="19"/>
        <v>#N/A</v>
      </c>
      <c r="CA12">
        <f t="shared" ca="1" si="19"/>
        <v>163878.19</v>
      </c>
      <c r="CB12">
        <f t="shared" ca="1" si="19"/>
        <v>165021.69</v>
      </c>
      <c r="CC12">
        <f t="shared" ca="1" si="19"/>
        <v>164831.69</v>
      </c>
      <c r="CD12" t="e">
        <f t="shared" ca="1" si="19"/>
        <v>#N/A</v>
      </c>
      <c r="CE12" t="e">
        <f t="shared" ca="1" si="19"/>
        <v>#N/A</v>
      </c>
      <c r="CF12">
        <f t="shared" ca="1" si="19"/>
        <v>164791.19</v>
      </c>
      <c r="CG12">
        <f t="shared" ca="1" si="19"/>
        <v>164328.69</v>
      </c>
      <c r="CH12">
        <f t="shared" ca="1" si="19"/>
        <v>164985.69</v>
      </c>
      <c r="CI12">
        <f t="shared" ca="1" si="19"/>
        <v>165594.69</v>
      </c>
      <c r="CJ12">
        <f t="shared" ca="1" si="19"/>
        <v>165076.94</v>
      </c>
      <c r="CK12" t="e">
        <f t="shared" ca="1" si="19"/>
        <v>#N/A</v>
      </c>
      <c r="CL12" t="e">
        <f t="shared" ca="1" si="19"/>
        <v>#N/A</v>
      </c>
      <c r="CM12">
        <f t="shared" ca="1" si="19"/>
        <v>166061.69</v>
      </c>
      <c r="CN12">
        <f t="shared" ca="1" si="19"/>
        <v>165248.19</v>
      </c>
      <c r="CO12">
        <f t="shared" ca="1" si="19"/>
        <v>165813.19</v>
      </c>
      <c r="CP12">
        <f t="shared" ca="1" si="19"/>
        <v>167526.69</v>
      </c>
      <c r="CQ12">
        <f t="shared" ca="1" si="19"/>
        <v>167037.69</v>
      </c>
      <c r="CR12" t="e">
        <f t="shared" ca="1" si="19"/>
        <v>#N/A</v>
      </c>
      <c r="CS12" t="e">
        <f t="shared" ca="1" si="19"/>
        <v>#N/A</v>
      </c>
      <c r="CT12">
        <f t="shared" ca="1" si="19"/>
        <v>166830.19</v>
      </c>
      <c r="CU12">
        <f t="shared" ca="1" si="19"/>
        <v>166704.69</v>
      </c>
      <c r="CV12">
        <f t="shared" ca="1" si="19"/>
        <v>167280.69</v>
      </c>
      <c r="CW12">
        <f t="shared" ca="1" si="19"/>
        <v>167394.19</v>
      </c>
      <c r="CX12">
        <f t="shared" ca="1" si="19"/>
        <v>168436.69</v>
      </c>
      <c r="CY12" t="e">
        <f t="shared" ca="1" si="19"/>
        <v>#N/A</v>
      </c>
      <c r="CZ12" t="e">
        <f t="shared" ca="1" si="19"/>
        <v>#N/A</v>
      </c>
      <c r="DA12">
        <f t="shared" ca="1" si="19"/>
        <v>168203.19</v>
      </c>
      <c r="DB12">
        <f t="shared" ca="1" si="19"/>
        <v>168566.19</v>
      </c>
      <c r="DC12">
        <f t="shared" ca="1" si="19"/>
        <v>168198.69</v>
      </c>
      <c r="DD12">
        <f t="shared" ca="1" si="19"/>
        <v>167675.69</v>
      </c>
      <c r="DE12">
        <f t="shared" ca="1" si="19"/>
        <v>165498.69</v>
      </c>
      <c r="DF12" t="e">
        <f t="shared" ca="1" si="19"/>
        <v>#N/A</v>
      </c>
      <c r="DG12" t="e">
        <f t="shared" ca="1" si="19"/>
        <v>#N/A</v>
      </c>
      <c r="DH12" t="e">
        <f t="shared" ca="1" si="19"/>
        <v>#N/A</v>
      </c>
      <c r="DI12">
        <f t="shared" ca="1" si="19"/>
        <v>168027.69</v>
      </c>
      <c r="DJ12">
        <f t="shared" ca="1" si="19"/>
        <v>170041.69</v>
      </c>
      <c r="DK12">
        <f t="shared" ca="1" si="19"/>
        <v>169200.19</v>
      </c>
      <c r="DL12">
        <f t="shared" ca="1" si="19"/>
        <v>169525.69</v>
      </c>
      <c r="DM12" t="e">
        <f t="shared" ca="1" si="19"/>
        <v>#N/A</v>
      </c>
      <c r="DN12" t="e">
        <f t="shared" ca="1" si="19"/>
        <v>#N/A</v>
      </c>
      <c r="DO12">
        <f t="shared" ca="1" si="19"/>
        <v>169563.69</v>
      </c>
      <c r="DP12">
        <f t="shared" ca="1" si="19"/>
        <v>170588.69</v>
      </c>
      <c r="DQ12">
        <f t="shared" ca="1" si="19"/>
        <v>170985.69</v>
      </c>
      <c r="DR12">
        <f t="shared" ca="1" si="19"/>
        <v>170871.19</v>
      </c>
      <c r="DS12">
        <f t="shared" ca="1" si="19"/>
        <v>170610.19</v>
      </c>
      <c r="DT12" t="e">
        <f t="shared" ca="1" si="19"/>
        <v>#N/A</v>
      </c>
      <c r="DU12" t="e">
        <f t="shared" ca="1" si="19"/>
        <v>#N/A</v>
      </c>
      <c r="DV12">
        <f t="shared" ca="1" si="19"/>
        <v>170673.69</v>
      </c>
      <c r="DW12">
        <f t="shared" ca="1" si="19"/>
        <v>170482.69</v>
      </c>
      <c r="DX12">
        <f t="shared" ca="1" si="19"/>
        <v>170614.19</v>
      </c>
      <c r="DY12">
        <f t="shared" ca="1" si="19"/>
        <v>171043.19</v>
      </c>
      <c r="DZ12">
        <f t="shared" ca="1" si="19"/>
        <v>172735.69</v>
      </c>
      <c r="EA12" t="e">
        <f t="shared" ca="1" si="19"/>
        <v>#N/A</v>
      </c>
      <c r="EB12" t="e">
        <f t="shared" ca="1" si="19"/>
        <v>#N/A</v>
      </c>
      <c r="EC12">
        <f t="shared" ca="1" si="19"/>
        <v>171964.19</v>
      </c>
      <c r="ED12">
        <f t="shared" ca="1" si="19"/>
        <v>172812.19</v>
      </c>
      <c r="EE12">
        <f t="shared" ca="1" si="19"/>
        <v>173193.19</v>
      </c>
      <c r="EF12">
        <f t="shared" ca="1" si="19"/>
        <v>173238.69</v>
      </c>
      <c r="EG12">
        <f t="shared" ref="EG12:GR12" ca="1" si="20">_xlfn.XLOOKUP(EG$10,$G$52:$JG$52,$G$56:$JG$56)</f>
        <v>173329.19</v>
      </c>
      <c r="EH12" t="e">
        <f t="shared" ca="1" si="20"/>
        <v>#N/A</v>
      </c>
      <c r="EI12" t="e">
        <f t="shared" ca="1" si="20"/>
        <v>#N/A</v>
      </c>
      <c r="EJ12" t="e">
        <f t="shared" ca="1" si="20"/>
        <v>#N/A</v>
      </c>
      <c r="EK12">
        <f t="shared" ca="1" si="20"/>
        <v>173389.69</v>
      </c>
      <c r="EL12">
        <f t="shared" ca="1" si="20"/>
        <v>174148.69</v>
      </c>
      <c r="EM12">
        <f t="shared" ca="1" si="20"/>
        <v>175584.69</v>
      </c>
      <c r="EN12">
        <f t="shared" ca="1" si="20"/>
        <v>175851.69</v>
      </c>
      <c r="EO12" t="e">
        <f t="shared" ca="1" si="20"/>
        <v>#N/A</v>
      </c>
      <c r="EP12" t="e">
        <f t="shared" ca="1" si="20"/>
        <v>#N/A</v>
      </c>
      <c r="EQ12">
        <f t="shared" ca="1" si="20"/>
        <v>175604.19</v>
      </c>
      <c r="ER12">
        <f t="shared" ca="1" si="20"/>
        <v>176197.69</v>
      </c>
      <c r="ES12">
        <f t="shared" ca="1" si="20"/>
        <v>176682.19</v>
      </c>
      <c r="ET12">
        <f t="shared" ca="1" si="20"/>
        <v>177971.69</v>
      </c>
      <c r="EU12">
        <f t="shared" ca="1" si="20"/>
        <v>177528.19</v>
      </c>
      <c r="EV12" t="e">
        <f t="shared" ca="1" si="20"/>
        <v>#N/A</v>
      </c>
      <c r="EW12" t="e">
        <f t="shared" ca="1" si="20"/>
        <v>#N/A</v>
      </c>
      <c r="EX12">
        <f t="shared" ca="1" si="20"/>
        <v>178009.69</v>
      </c>
      <c r="EY12">
        <f t="shared" ca="1" si="20"/>
        <v>177522.19</v>
      </c>
      <c r="EZ12">
        <f t="shared" ca="1" si="20"/>
        <v>177722.69</v>
      </c>
      <c r="FA12">
        <f t="shared" ca="1" si="20"/>
        <v>178783.19</v>
      </c>
      <c r="FB12">
        <f t="shared" ca="1" si="20"/>
        <v>179489.19</v>
      </c>
      <c r="FC12" t="e">
        <f t="shared" ca="1" si="20"/>
        <v>#N/A</v>
      </c>
      <c r="FD12" t="e">
        <f t="shared" ca="1" si="20"/>
        <v>#N/A</v>
      </c>
      <c r="FE12">
        <f t="shared" ca="1" si="20"/>
        <v>180486.19</v>
      </c>
      <c r="FF12">
        <f t="shared" ca="1" si="20"/>
        <v>179740.19</v>
      </c>
      <c r="FG12">
        <f t="shared" ca="1" si="20"/>
        <v>179463.19</v>
      </c>
      <c r="FH12">
        <f t="shared" ca="1" si="20"/>
        <v>179180.18999999997</v>
      </c>
      <c r="FI12">
        <f t="shared" ca="1" si="20"/>
        <v>179443.19</v>
      </c>
      <c r="FJ12" t="e">
        <f t="shared" ca="1" si="20"/>
        <v>#N/A</v>
      </c>
      <c r="FK12" t="e">
        <f t="shared" ca="1" si="20"/>
        <v>#N/A</v>
      </c>
      <c r="FL12">
        <f t="shared" ca="1" si="20"/>
        <v>180354.19</v>
      </c>
      <c r="FM12">
        <f t="shared" ca="1" si="20"/>
        <v>180771.69</v>
      </c>
      <c r="FN12">
        <f t="shared" ca="1" si="20"/>
        <v>181435.69</v>
      </c>
      <c r="FO12">
        <f t="shared" ca="1" si="20"/>
        <v>181793.19</v>
      </c>
      <c r="FP12">
        <f t="shared" ca="1" si="20"/>
        <v>183082.69</v>
      </c>
      <c r="FQ12" t="e">
        <f t="shared" ca="1" si="20"/>
        <v>#N/A</v>
      </c>
      <c r="FR12" t="e">
        <f t="shared" ca="1" si="20"/>
        <v>#N/A</v>
      </c>
      <c r="FS12">
        <f t="shared" ca="1" si="20"/>
        <v>183420.69</v>
      </c>
      <c r="FT12">
        <f t="shared" ca="1" si="20"/>
        <v>182448.69</v>
      </c>
      <c r="FU12">
        <f t="shared" ca="1" si="20"/>
        <v>183203.19</v>
      </c>
      <c r="FV12">
        <f t="shared" ca="1" si="20"/>
        <v>182518.69</v>
      </c>
      <c r="FW12">
        <f t="shared" ca="1" si="20"/>
        <v>179179.69000000003</v>
      </c>
      <c r="FX12" t="e">
        <f t="shared" ca="1" si="20"/>
        <v>#N/A</v>
      </c>
      <c r="FY12" t="e">
        <f t="shared" ca="1" si="20"/>
        <v>#N/A</v>
      </c>
      <c r="FZ12" t="e">
        <f t="shared" ca="1" si="20"/>
        <v>#N/A</v>
      </c>
      <c r="GA12">
        <f t="shared" ca="1" si="20"/>
        <v>181964.19</v>
      </c>
      <c r="GB12">
        <f t="shared" ca="1" si="20"/>
        <v>183321.69</v>
      </c>
      <c r="GC12">
        <f t="shared" ca="1" si="20"/>
        <v>182118.19</v>
      </c>
      <c r="GD12">
        <f t="shared" ca="1" si="20"/>
        <v>181142.68999999997</v>
      </c>
      <c r="GE12" t="e">
        <f t="shared" ca="1" si="20"/>
        <v>#N/A</v>
      </c>
      <c r="GF12" t="e">
        <f t="shared" ca="1" si="20"/>
        <v>#N/A</v>
      </c>
      <c r="GG12">
        <f t="shared" ca="1" si="20"/>
        <v>183032.69</v>
      </c>
      <c r="GH12">
        <f t="shared" ca="1" si="20"/>
        <v>181047.19</v>
      </c>
      <c r="GI12">
        <f t="shared" ca="1" si="20"/>
        <v>181029.69</v>
      </c>
      <c r="GJ12">
        <f t="shared" ca="1" si="20"/>
        <v>182149.69</v>
      </c>
      <c r="GK12">
        <f t="shared" ca="1" si="20"/>
        <v>183393.19</v>
      </c>
      <c r="GL12" t="e">
        <f t="shared" ca="1" si="20"/>
        <v>#N/A</v>
      </c>
      <c r="GM12" t="e">
        <f t="shared" ca="1" si="20"/>
        <v>#N/A</v>
      </c>
      <c r="GN12">
        <f t="shared" ca="1" si="20"/>
        <v>184024.19</v>
      </c>
      <c r="GO12">
        <f t="shared" ca="1" si="20"/>
        <v>184465.19</v>
      </c>
      <c r="GP12">
        <f t="shared" ca="1" si="20"/>
        <v>183384.69000000003</v>
      </c>
      <c r="GQ12">
        <f t="shared" ca="1" si="20"/>
        <v>183054.19</v>
      </c>
      <c r="GR12">
        <f t="shared" ca="1" si="20"/>
        <v>183725.19</v>
      </c>
      <c r="GS12" t="e">
        <f t="shared" ref="GS12:IX12" ca="1" si="21">_xlfn.XLOOKUP(GS$10,$G$52:$JG$52,$G$56:$JG$56)</f>
        <v>#N/A</v>
      </c>
      <c r="GT12" t="e">
        <f t="shared" ca="1" si="21"/>
        <v>#N/A</v>
      </c>
      <c r="GU12">
        <f t="shared" ca="1" si="21"/>
        <v>184059.19</v>
      </c>
      <c r="GV12">
        <f t="shared" ca="1" si="21"/>
        <v>181663.69</v>
      </c>
      <c r="GW12">
        <f t="shared" ca="1" si="21"/>
        <v>183254.69</v>
      </c>
      <c r="GX12">
        <f t="shared" ca="1" si="21"/>
        <v>181667.69</v>
      </c>
      <c r="GY12">
        <f t="shared" ca="1" si="21"/>
        <v>181237.69</v>
      </c>
      <c r="GZ12" t="e">
        <f t="shared" ca="1" si="21"/>
        <v>#N/A</v>
      </c>
      <c r="HA12" t="e">
        <f t="shared" ca="1" si="21"/>
        <v>#N/A</v>
      </c>
      <c r="HB12">
        <f t="shared" ca="1" si="21"/>
        <v>183761.69</v>
      </c>
      <c r="HC12">
        <f t="shared" ca="1" si="21"/>
        <v>184319.19</v>
      </c>
      <c r="HD12">
        <f t="shared" ca="1" si="21"/>
        <v>185890.94</v>
      </c>
      <c r="HE12">
        <f t="shared" ca="1" si="21"/>
        <v>182765.69</v>
      </c>
      <c r="HF12">
        <f t="shared" ca="1" si="21"/>
        <v>183191.19</v>
      </c>
      <c r="HG12" t="e">
        <f t="shared" ca="1" si="21"/>
        <v>#N/A</v>
      </c>
      <c r="HH12" t="e">
        <f t="shared" ca="1" si="21"/>
        <v>#N/A</v>
      </c>
      <c r="HI12">
        <f t="shared" ca="1" si="21"/>
        <v>181806.19</v>
      </c>
      <c r="HJ12">
        <f t="shared" ca="1" si="21"/>
        <v>180868.69</v>
      </c>
      <c r="HK12">
        <f t="shared" ca="1" si="21"/>
        <v>182323.19</v>
      </c>
      <c r="HL12">
        <f t="shared" ca="1" si="21"/>
        <v>180379.19</v>
      </c>
      <c r="HM12">
        <f t="shared" ca="1" si="21"/>
        <v>181919.69</v>
      </c>
      <c r="HN12" t="e">
        <f t="shared" ca="1" si="21"/>
        <v>#N/A</v>
      </c>
      <c r="HO12" t="e">
        <f t="shared" ca="1" si="21"/>
        <v>#N/A</v>
      </c>
      <c r="HP12">
        <f t="shared" ca="1" si="21"/>
        <v>184488.19</v>
      </c>
      <c r="HQ12">
        <f t="shared" ca="1" si="21"/>
        <v>186291.69</v>
      </c>
      <c r="HR12">
        <f t="shared" ca="1" si="21"/>
        <v>187482.19</v>
      </c>
      <c r="HS12">
        <f t="shared" ca="1" si="21"/>
        <v>187810.19</v>
      </c>
      <c r="HT12">
        <f t="shared" ca="1" si="21"/>
        <v>188234.19</v>
      </c>
      <c r="HU12" t="e">
        <f t="shared" ca="1" si="21"/>
        <v>#N/A</v>
      </c>
      <c r="HV12" t="e">
        <f t="shared" ca="1" si="21"/>
        <v>#N/A</v>
      </c>
      <c r="HW12">
        <f t="shared" ca="1" si="21"/>
        <v>186747.19000000003</v>
      </c>
      <c r="HX12">
        <f t="shared" ca="1" si="21"/>
        <v>186627.19</v>
      </c>
      <c r="HY12">
        <f t="shared" ca="1" si="21"/>
        <v>187274.19</v>
      </c>
      <c r="HZ12">
        <f t="shared" ca="1" si="21"/>
        <v>188703.69</v>
      </c>
      <c r="IA12">
        <f t="shared" ca="1" si="21"/>
        <v>187506.19</v>
      </c>
      <c r="IB12" t="e">
        <f t="shared" ca="1" si="21"/>
        <v>#N/A</v>
      </c>
      <c r="IC12" t="e">
        <f t="shared" ca="1" si="21"/>
        <v>#N/A</v>
      </c>
      <c r="ID12">
        <f t="shared" ca="1" si="21"/>
        <v>187045.69</v>
      </c>
      <c r="IE12">
        <f t="shared" ca="1" si="21"/>
        <v>187245.19</v>
      </c>
      <c r="IF12">
        <f t="shared" ca="1" si="21"/>
        <v>188335.69</v>
      </c>
      <c r="IG12">
        <f t="shared" ca="1" si="21"/>
        <v>189075.19</v>
      </c>
      <c r="IH12">
        <f t="shared" ca="1" si="21"/>
        <v>187986.19</v>
      </c>
      <c r="II12" t="e">
        <f t="shared" ca="1" si="21"/>
        <v>#N/A</v>
      </c>
      <c r="IJ12" t="e">
        <f t="shared" ca="1" si="21"/>
        <v>#N/A</v>
      </c>
      <c r="IK12">
        <f t="shared" ca="1" si="21"/>
        <v>187798.69</v>
      </c>
      <c r="IL12">
        <f t="shared" ca="1" si="21"/>
        <v>186639.69</v>
      </c>
      <c r="IM12">
        <f t="shared" ca="1" si="21"/>
        <v>185950.69</v>
      </c>
      <c r="IN12">
        <f t="shared" ca="1" si="21"/>
        <v>187256.69</v>
      </c>
      <c r="IO12">
        <f t="shared" ca="1" si="21"/>
        <v>189043.19</v>
      </c>
      <c r="IP12" t="e">
        <f t="shared" ca="1" si="21"/>
        <v>#N/A</v>
      </c>
      <c r="IQ12" t="e">
        <f t="shared" ca="1" si="21"/>
        <v>#N/A</v>
      </c>
      <c r="IR12">
        <f t="shared" ca="1" si="21"/>
        <v>190028.19</v>
      </c>
      <c r="IS12">
        <f t="shared" ca="1" si="21"/>
        <v>190349.69</v>
      </c>
      <c r="IT12">
        <f t="shared" ca="1" si="21"/>
        <v>190344.19</v>
      </c>
      <c r="IU12" t="e">
        <f t="shared" ca="1" si="21"/>
        <v>#N/A</v>
      </c>
      <c r="IV12" t="e">
        <f t="shared" ca="1" si="21"/>
        <v>#N/A</v>
      </c>
      <c r="IW12" t="e">
        <f t="shared" ca="1" si="21"/>
        <v>#N/A</v>
      </c>
      <c r="IX12" t="e">
        <f t="shared" ca="1" si="21"/>
        <v>#N/A</v>
      </c>
      <c r="IY12">
        <f ca="1">_xlfn.XLOOKUP(IY$10,$G$52:$JG$52,$G$56:$JG$56)</f>
        <v>189974.69</v>
      </c>
      <c r="IZ12">
        <f t="shared" ref="IZ12:JG12" ca="1" si="22">_xlfn.XLOOKUP(IZ$10,$G$52:$JG$52,$G$56:$JG$56)</f>
        <v>188880.5</v>
      </c>
      <c r="JA12">
        <f t="shared" ca="1" si="22"/>
        <v>187935</v>
      </c>
      <c r="JB12" t="e">
        <f t="shared" ca="1" si="22"/>
        <v>#N/A</v>
      </c>
      <c r="JC12">
        <f t="shared" ca="1" si="22"/>
        <v>188818</v>
      </c>
      <c r="JD12" t="e">
        <f t="shared" ca="1" si="22"/>
        <v>#N/A</v>
      </c>
      <c r="JE12" t="e">
        <f t="shared" ca="1" si="22"/>
        <v>#N/A</v>
      </c>
      <c r="JF12">
        <f t="shared" ca="1" si="22"/>
        <v>190541</v>
      </c>
      <c r="JG12">
        <f t="shared" ca="1" si="22"/>
        <v>191775</v>
      </c>
      <c r="JH12">
        <f ca="1">_xlfn.XLOOKUP(JH$10,$G$52:$JG$52,$G$56:$JG$56)</f>
        <v>190581.5</v>
      </c>
      <c r="JI12">
        <f t="shared" ref="JI12:KC12" ca="1" si="23">_xlfn.XLOOKUP(JI$10,$G$52:$JG$52,$G$56:$JG$56)</f>
        <v>191723.5</v>
      </c>
      <c r="JJ12">
        <f t="shared" ca="1" si="23"/>
        <v>193222</v>
      </c>
      <c r="JK12" t="e">
        <f t="shared" ca="1" si="23"/>
        <v>#N/A</v>
      </c>
      <c r="JL12" t="e">
        <f t="shared" ca="1" si="23"/>
        <v>#N/A</v>
      </c>
      <c r="JM12">
        <f t="shared" ca="1" si="23"/>
        <v>194005.5</v>
      </c>
      <c r="JN12">
        <f t="shared" ca="1" si="23"/>
        <v>193900.5</v>
      </c>
      <c r="JO12">
        <f t="shared" ca="1" si="23"/>
        <v>193734.5</v>
      </c>
      <c r="JP12">
        <f t="shared" ca="1" si="23"/>
        <v>194383</v>
      </c>
      <c r="JQ12">
        <f t="shared" ca="1" si="23"/>
        <v>194280</v>
      </c>
      <c r="JR12" t="e">
        <f t="shared" ca="1" si="23"/>
        <v>#N/A</v>
      </c>
      <c r="JS12" t="e">
        <f t="shared" ca="1" si="23"/>
        <v>#N/A</v>
      </c>
      <c r="JT12">
        <f t="shared" ca="1" si="23"/>
        <v>193510.75</v>
      </c>
      <c r="JU12">
        <f t="shared" ca="1" si="23"/>
        <v>190993</v>
      </c>
      <c r="JV12">
        <f t="shared" ca="1" si="23"/>
        <v>192197</v>
      </c>
      <c r="JW12">
        <f t="shared" ca="1" si="23"/>
        <v>192547.5</v>
      </c>
      <c r="JX12">
        <f t="shared" ca="1" si="23"/>
        <v>192698.5</v>
      </c>
      <c r="JY12" t="e">
        <f t="shared" ca="1" si="23"/>
        <v>#N/A</v>
      </c>
      <c r="JZ12" t="e">
        <f t="shared" ca="1" si="23"/>
        <v>#N/A</v>
      </c>
      <c r="KA12">
        <f t="shared" ca="1" si="23"/>
        <v>192900</v>
      </c>
      <c r="KB12">
        <f t="shared" ca="1" si="23"/>
        <v>192433</v>
      </c>
      <c r="KC12">
        <f t="shared" ca="1" si="23"/>
        <v>192433</v>
      </c>
      <c r="KD12">
        <f ca="1">_xlfn.XLOOKUP(KD$10,$G$52:$JG$52,$G$56:$JG$56)</f>
        <v>191763</v>
      </c>
      <c r="KE12">
        <f t="shared" ref="KE12:LO12" ca="1" si="24">_xlfn.XLOOKUP(KE$10,$G$52:$JG$52,$G$56:$JG$56)</f>
        <v>188159</v>
      </c>
      <c r="KF12" t="e">
        <f t="shared" ca="1" si="24"/>
        <v>#N/A</v>
      </c>
      <c r="KG12" t="e">
        <f t="shared" ca="1" si="24"/>
        <v>#N/A</v>
      </c>
      <c r="KH12">
        <f t="shared" ca="1" si="24"/>
        <v>189964.5</v>
      </c>
      <c r="KI12">
        <f t="shared" ca="1" si="24"/>
        <v>189726.5</v>
      </c>
      <c r="KJ12">
        <f t="shared" ca="1" si="24"/>
        <v>190138.5</v>
      </c>
      <c r="KK12">
        <f t="shared" ca="1" si="24"/>
        <v>187843</v>
      </c>
      <c r="KL12">
        <f t="shared" ca="1" si="24"/>
        <v>190368.5</v>
      </c>
      <c r="KM12" t="e">
        <f t="shared" ca="1" si="24"/>
        <v>#N/A</v>
      </c>
      <c r="KN12" t="e">
        <f t="shared" ca="1" si="24"/>
        <v>#N/A</v>
      </c>
      <c r="KO12">
        <f t="shared" ca="1" si="24"/>
        <v>192337</v>
      </c>
      <c r="KP12">
        <f t="shared" ca="1" si="24"/>
        <v>193308.5</v>
      </c>
      <c r="KQ12">
        <f t="shared" ca="1" si="24"/>
        <v>193009</v>
      </c>
      <c r="KR12">
        <f t="shared" ca="1" si="24"/>
        <v>189360</v>
      </c>
      <c r="KS12">
        <f t="shared" ca="1" si="24"/>
        <v>191559.5</v>
      </c>
      <c r="KT12" t="e">
        <f t="shared" ca="1" si="24"/>
        <v>#N/A</v>
      </c>
      <c r="KU12" t="e">
        <f t="shared" ca="1" si="24"/>
        <v>#N/A</v>
      </c>
      <c r="KV12" t="e">
        <f t="shared" ca="1" si="24"/>
        <v>#N/A</v>
      </c>
      <c r="KW12">
        <f t="shared" ca="1" si="24"/>
        <v>191299</v>
      </c>
      <c r="KX12">
        <f t="shared" ca="1" si="24"/>
        <v>193871</v>
      </c>
      <c r="KY12">
        <f t="shared" ca="1" si="24"/>
        <v>194277</v>
      </c>
      <c r="KZ12">
        <f t="shared" ca="1" si="24"/>
        <v>195610</v>
      </c>
      <c r="LA12" t="e">
        <f t="shared" ca="1" si="24"/>
        <v>#N/A</v>
      </c>
      <c r="LB12" t="e">
        <f t="shared" ca="1" si="24"/>
        <v>#N/A</v>
      </c>
      <c r="LC12">
        <f t="shared" ca="1" si="24"/>
        <v>194615</v>
      </c>
      <c r="LD12">
        <f t="shared" ca="1" si="24"/>
        <v>195588</v>
      </c>
      <c r="LE12">
        <f t="shared" ca="1" si="24"/>
        <v>196804</v>
      </c>
      <c r="LF12">
        <f t="shared" ca="1" si="24"/>
        <v>197824</v>
      </c>
      <c r="LG12">
        <f t="shared" ca="1" si="24"/>
        <v>196542</v>
      </c>
      <c r="LH12" t="e">
        <f t="shared" ca="1" si="24"/>
        <v>#N/A</v>
      </c>
      <c r="LI12" t="e">
        <f t="shared" ca="1" si="24"/>
        <v>#N/A</v>
      </c>
      <c r="LJ12">
        <f t="shared" ca="1" si="24"/>
        <v>197579</v>
      </c>
      <c r="LK12">
        <f t="shared" ca="1" si="24"/>
        <v>194477</v>
      </c>
      <c r="LL12">
        <f t="shared" ca="1" si="24"/>
        <v>195455</v>
      </c>
      <c r="LM12">
        <f t="shared" ca="1" si="24"/>
        <v>194194.5</v>
      </c>
      <c r="LN12">
        <f t="shared" ca="1" si="24"/>
        <v>190956</v>
      </c>
      <c r="LO12" t="e">
        <f t="shared" ca="1" si="24"/>
        <v>#N/A</v>
      </c>
      <c r="LP12" t="e">
        <f ca="1">_xlfn.XLOOKUP(LP$10,$G$52:$JG$52,$G$56:$JG$56)</f>
        <v>#N/A</v>
      </c>
      <c r="LQ12">
        <f t="shared" ref="LQ12:MH12" ca="1" si="25">_xlfn.XLOOKUP(LQ$10,$G$52:$JG$52,$G$56:$JG$56)</f>
        <v>191920</v>
      </c>
      <c r="LR12">
        <f t="shared" ca="1" si="25"/>
        <v>192091</v>
      </c>
      <c r="LS12">
        <f t="shared" ca="1" si="25"/>
        <v>191417</v>
      </c>
      <c r="LT12">
        <f t="shared" ca="1" si="25"/>
        <v>189705</v>
      </c>
      <c r="LU12">
        <f t="shared" ca="1" si="25"/>
        <v>188870</v>
      </c>
      <c r="LV12" t="e">
        <f t="shared" ca="1" si="25"/>
        <v>#N/A</v>
      </c>
      <c r="LW12" t="e">
        <f t="shared" ca="1" si="25"/>
        <v>#N/A</v>
      </c>
      <c r="LX12">
        <f t="shared" ca="1" si="25"/>
        <v>190759.5</v>
      </c>
      <c r="LY12">
        <f t="shared" ca="1" si="25"/>
        <v>191254.5</v>
      </c>
      <c r="LZ12">
        <f t="shared" ca="1" si="25"/>
        <v>188223</v>
      </c>
      <c r="MA12">
        <f t="shared" ca="1" si="25"/>
        <v>186583</v>
      </c>
      <c r="MB12">
        <f t="shared" ca="1" si="25"/>
        <v>182684.5</v>
      </c>
      <c r="MC12" t="e">
        <f t="shared" ca="1" si="25"/>
        <v>#N/A</v>
      </c>
      <c r="MD12" t="e">
        <f t="shared" ca="1" si="25"/>
        <v>#N/A</v>
      </c>
      <c r="ME12">
        <f t="shared" ca="1" si="25"/>
        <v>185799</v>
      </c>
      <c r="MF12">
        <f t="shared" ca="1" si="25"/>
        <v>185749.5</v>
      </c>
      <c r="MG12">
        <f t="shared" ca="1" si="25"/>
        <v>188070.5</v>
      </c>
      <c r="MH12">
        <f t="shared" ca="1" si="25"/>
        <v>185372.5</v>
      </c>
      <c r="MI12">
        <f ca="1">_xlfn.XLOOKUP(MI$10,$G$52:$JG$52,$G$56:$JG$56)</f>
        <v>184406</v>
      </c>
      <c r="MJ12" t="e">
        <f t="shared" ref="MJ12:NF12" ca="1" si="26">_xlfn.XLOOKUP(MJ$10,$G$52:$JG$52,$G$56:$JG$56)</f>
        <v>#N/A</v>
      </c>
      <c r="MK12" t="e">
        <f t="shared" ca="1" si="26"/>
        <v>#N/A</v>
      </c>
      <c r="ML12">
        <f t="shared" ca="1" si="26"/>
        <v>184585.5</v>
      </c>
      <c r="MM12">
        <f t="shared" ca="1" si="26"/>
        <v>189289.5</v>
      </c>
      <c r="MN12">
        <f t="shared" ca="1" si="26"/>
        <v>190248.5</v>
      </c>
      <c r="MO12">
        <f t="shared" ca="1" si="26"/>
        <v>191249.5</v>
      </c>
      <c r="MP12" t="e">
        <f t="shared" ca="1" si="26"/>
        <v>#N/A</v>
      </c>
      <c r="MQ12" t="e">
        <f t="shared" ca="1" si="26"/>
        <v>#N/A</v>
      </c>
      <c r="MR12" t="e">
        <f t="shared" ca="1" si="26"/>
        <v>#N/A</v>
      </c>
      <c r="MS12">
        <f t="shared" ca="1" si="26"/>
        <v>191743</v>
      </c>
      <c r="MT12">
        <f t="shared" ca="1" si="26"/>
        <v>191931</v>
      </c>
      <c r="MU12">
        <f t="shared" ca="1" si="26"/>
        <v>194736</v>
      </c>
      <c r="MV12">
        <f t="shared" ca="1" si="26"/>
        <v>194387</v>
      </c>
      <c r="MW12">
        <f t="shared" ca="1" si="26"/>
        <v>195341</v>
      </c>
      <c r="MX12" t="e">
        <f t="shared" ca="1" si="26"/>
        <v>#N/A</v>
      </c>
      <c r="MY12" t="e">
        <f t="shared" ca="1" si="26"/>
        <v>#N/A</v>
      </c>
      <c r="MZ12">
        <f t="shared" ca="1" si="26"/>
        <v>196427</v>
      </c>
      <c r="NA12">
        <f t="shared" ca="1" si="26"/>
        <v>198003.5</v>
      </c>
      <c r="NB12">
        <f t="shared" ca="1" si="26"/>
        <v>198723</v>
      </c>
      <c r="NC12">
        <f t="shared" ca="1" si="26"/>
        <v>198295</v>
      </c>
      <c r="ND12">
        <f t="shared" ca="1" si="26"/>
        <v>200139.5</v>
      </c>
      <c r="NE12" t="e">
        <f t="shared" ca="1" si="26"/>
        <v>#N/A</v>
      </c>
      <c r="NF12" t="e">
        <f t="shared" ca="1" si="26"/>
        <v>#N/A</v>
      </c>
      <c r="NG12">
        <f ca="1">_xlfn.XLOOKUP(NG$10,$G$52:$JG$52,$G$56:$JG$56)</f>
        <v>199805.5</v>
      </c>
    </row>
    <row r="13" spans="1:371" x14ac:dyDescent="0.25">
      <c r="F13" t="s">
        <v>199</v>
      </c>
      <c r="G13">
        <f ca="1">_xlfn.XLOOKUP(G$10,$G$58:$JG$58,$G$63:$JG$63)</f>
        <v>0</v>
      </c>
      <c r="H13">
        <f ca="1">_xlfn.XLOOKUP(H$10,$G$58:$JG$58,$G$63:$JG$63)</f>
        <v>0</v>
      </c>
      <c r="I13">
        <f t="shared" ref="I13:BT13" ca="1" si="27">_xlfn.XLOOKUP(I$10,$G$58:$JG$58,$G$63:$JG$63)</f>
        <v>0</v>
      </c>
      <c r="J13">
        <f t="shared" ca="1" si="27"/>
        <v>0</v>
      </c>
      <c r="K13">
        <f t="shared" ca="1" si="27"/>
        <v>0</v>
      </c>
      <c r="L13" t="e">
        <f t="shared" ca="1" si="27"/>
        <v>#N/A</v>
      </c>
      <c r="M13" t="e">
        <f t="shared" ca="1" si="27"/>
        <v>#N/A</v>
      </c>
      <c r="N13">
        <f t="shared" ca="1" si="27"/>
        <v>0</v>
      </c>
      <c r="O13">
        <f t="shared" ca="1" si="27"/>
        <v>0</v>
      </c>
      <c r="P13">
        <f t="shared" ca="1" si="27"/>
        <v>0</v>
      </c>
      <c r="Q13">
        <f t="shared" ca="1" si="27"/>
        <v>0</v>
      </c>
      <c r="R13">
        <f t="shared" ca="1" si="27"/>
        <v>0</v>
      </c>
      <c r="S13" t="e">
        <f t="shared" ca="1" si="27"/>
        <v>#N/A</v>
      </c>
      <c r="T13" t="e">
        <f t="shared" ca="1" si="27"/>
        <v>#N/A</v>
      </c>
      <c r="U13">
        <f t="shared" ca="1" si="27"/>
        <v>0</v>
      </c>
      <c r="V13">
        <f t="shared" ca="1" si="27"/>
        <v>0</v>
      </c>
      <c r="W13">
        <f t="shared" ca="1" si="27"/>
        <v>0</v>
      </c>
      <c r="X13">
        <f t="shared" ca="1" si="27"/>
        <v>0</v>
      </c>
      <c r="Y13">
        <f t="shared" ca="1" si="27"/>
        <v>0</v>
      </c>
      <c r="Z13" t="e">
        <f t="shared" ca="1" si="27"/>
        <v>#N/A</v>
      </c>
      <c r="AA13" t="e">
        <f t="shared" ca="1" si="27"/>
        <v>#N/A</v>
      </c>
      <c r="AB13">
        <f t="shared" ca="1" si="27"/>
        <v>0</v>
      </c>
      <c r="AC13">
        <f t="shared" ca="1" si="27"/>
        <v>0</v>
      </c>
      <c r="AD13">
        <f t="shared" ca="1" si="27"/>
        <v>0</v>
      </c>
      <c r="AE13">
        <f t="shared" ca="1" si="27"/>
        <v>0</v>
      </c>
      <c r="AF13">
        <f t="shared" ca="1" si="27"/>
        <v>0</v>
      </c>
      <c r="AG13" t="e">
        <f t="shared" ca="1" si="27"/>
        <v>#N/A</v>
      </c>
      <c r="AH13" t="e">
        <f t="shared" ca="1" si="27"/>
        <v>#N/A</v>
      </c>
      <c r="AI13">
        <f t="shared" ca="1" si="27"/>
        <v>0</v>
      </c>
      <c r="AJ13">
        <f t="shared" ca="1" si="27"/>
        <v>0</v>
      </c>
      <c r="AK13">
        <f t="shared" ca="1" si="27"/>
        <v>0</v>
      </c>
      <c r="AL13">
        <f t="shared" ca="1" si="27"/>
        <v>0</v>
      </c>
      <c r="AM13">
        <f t="shared" ca="1" si="27"/>
        <v>0</v>
      </c>
      <c r="AN13" t="e">
        <f t="shared" ca="1" si="27"/>
        <v>#N/A</v>
      </c>
      <c r="AO13" t="e">
        <f t="shared" ca="1" si="27"/>
        <v>#N/A</v>
      </c>
      <c r="AP13" t="e">
        <f t="shared" ca="1" si="27"/>
        <v>#N/A</v>
      </c>
      <c r="AQ13">
        <f t="shared" ca="1" si="27"/>
        <v>0</v>
      </c>
      <c r="AR13">
        <f t="shared" ca="1" si="27"/>
        <v>0</v>
      </c>
      <c r="AS13">
        <f t="shared" ca="1" si="27"/>
        <v>0</v>
      </c>
      <c r="AT13">
        <f t="shared" ca="1" si="27"/>
        <v>0</v>
      </c>
      <c r="AU13" t="e">
        <f t="shared" ca="1" si="27"/>
        <v>#N/A</v>
      </c>
      <c r="AV13" t="e">
        <f t="shared" ca="1" si="27"/>
        <v>#N/A</v>
      </c>
      <c r="AW13">
        <f t="shared" ca="1" si="27"/>
        <v>0</v>
      </c>
      <c r="AX13">
        <f t="shared" ca="1" si="27"/>
        <v>0</v>
      </c>
      <c r="AY13">
        <f t="shared" ca="1" si="27"/>
        <v>0</v>
      </c>
      <c r="AZ13">
        <f t="shared" ca="1" si="27"/>
        <v>0</v>
      </c>
      <c r="BA13">
        <f t="shared" ca="1" si="27"/>
        <v>0</v>
      </c>
      <c r="BB13" t="e">
        <f t="shared" ca="1" si="27"/>
        <v>#N/A</v>
      </c>
      <c r="BC13" t="e">
        <f t="shared" ca="1" si="27"/>
        <v>#N/A</v>
      </c>
      <c r="BD13">
        <f t="shared" ca="1" si="27"/>
        <v>0</v>
      </c>
      <c r="BE13">
        <f t="shared" ca="1" si="27"/>
        <v>0</v>
      </c>
      <c r="BF13">
        <f t="shared" ca="1" si="27"/>
        <v>0</v>
      </c>
      <c r="BG13">
        <f t="shared" ca="1" si="27"/>
        <v>0</v>
      </c>
      <c r="BH13">
        <f t="shared" ca="1" si="27"/>
        <v>0</v>
      </c>
      <c r="BI13" t="e">
        <f t="shared" ca="1" si="27"/>
        <v>#N/A</v>
      </c>
      <c r="BJ13" t="e">
        <f t="shared" ca="1" si="27"/>
        <v>#N/A</v>
      </c>
      <c r="BK13">
        <f t="shared" ca="1" si="27"/>
        <v>0</v>
      </c>
      <c r="BL13">
        <f t="shared" ca="1" si="27"/>
        <v>0</v>
      </c>
      <c r="BM13">
        <f t="shared" ca="1" si="27"/>
        <v>0</v>
      </c>
      <c r="BN13" t="e">
        <f t="shared" ca="1" si="27"/>
        <v>#N/A</v>
      </c>
      <c r="BO13">
        <f t="shared" ca="1" si="27"/>
        <v>0</v>
      </c>
      <c r="BP13" t="e">
        <f t="shared" ca="1" si="27"/>
        <v>#N/A</v>
      </c>
      <c r="BQ13" t="e">
        <f t="shared" ca="1" si="27"/>
        <v>#N/A</v>
      </c>
      <c r="BR13">
        <f t="shared" ca="1" si="27"/>
        <v>0</v>
      </c>
      <c r="BS13">
        <f t="shared" ca="1" si="27"/>
        <v>0</v>
      </c>
      <c r="BT13">
        <f t="shared" ca="1" si="27"/>
        <v>0</v>
      </c>
      <c r="BU13">
        <f t="shared" ref="BU13:EF13" ca="1" si="28">_xlfn.XLOOKUP(BU$10,$G$58:$JG$58,$G$63:$JG$63)</f>
        <v>0</v>
      </c>
      <c r="BV13">
        <f t="shared" ca="1" si="28"/>
        <v>0</v>
      </c>
      <c r="BW13" t="e">
        <f t="shared" ca="1" si="28"/>
        <v>#N/A</v>
      </c>
      <c r="BX13" t="e">
        <f t="shared" ca="1" si="28"/>
        <v>#N/A</v>
      </c>
      <c r="BY13">
        <f t="shared" ca="1" si="28"/>
        <v>0</v>
      </c>
      <c r="BZ13">
        <f t="shared" ca="1" si="28"/>
        <v>0</v>
      </c>
      <c r="CA13">
        <f t="shared" ca="1" si="28"/>
        <v>0</v>
      </c>
      <c r="CB13">
        <f t="shared" ca="1" si="28"/>
        <v>0</v>
      </c>
      <c r="CC13" t="e">
        <f t="shared" ca="1" si="28"/>
        <v>#N/A</v>
      </c>
      <c r="CD13" t="e">
        <f t="shared" ca="1" si="28"/>
        <v>#N/A</v>
      </c>
      <c r="CE13" t="e">
        <f t="shared" ca="1" si="28"/>
        <v>#N/A</v>
      </c>
      <c r="CF13">
        <f t="shared" ca="1" si="28"/>
        <v>0</v>
      </c>
      <c r="CG13">
        <f t="shared" ca="1" si="28"/>
        <v>0</v>
      </c>
      <c r="CH13">
        <f t="shared" ca="1" si="28"/>
        <v>0</v>
      </c>
      <c r="CI13">
        <f t="shared" ca="1" si="28"/>
        <v>0</v>
      </c>
      <c r="CJ13">
        <f t="shared" ca="1" si="28"/>
        <v>0</v>
      </c>
      <c r="CK13" t="e">
        <f t="shared" ca="1" si="28"/>
        <v>#N/A</v>
      </c>
      <c r="CL13" t="e">
        <f t="shared" ca="1" si="28"/>
        <v>#N/A</v>
      </c>
      <c r="CM13">
        <f t="shared" ca="1" si="28"/>
        <v>0</v>
      </c>
      <c r="CN13">
        <f t="shared" ca="1" si="28"/>
        <v>0</v>
      </c>
      <c r="CO13">
        <f t="shared" ca="1" si="28"/>
        <v>0</v>
      </c>
      <c r="CP13">
        <f t="shared" ca="1" si="28"/>
        <v>0</v>
      </c>
      <c r="CQ13">
        <f t="shared" ca="1" si="28"/>
        <v>0</v>
      </c>
      <c r="CR13" t="e">
        <f t="shared" ca="1" si="28"/>
        <v>#N/A</v>
      </c>
      <c r="CS13" t="e">
        <f t="shared" ca="1" si="28"/>
        <v>#N/A</v>
      </c>
      <c r="CT13">
        <f t="shared" ca="1" si="28"/>
        <v>0</v>
      </c>
      <c r="CU13">
        <f t="shared" ca="1" si="28"/>
        <v>0</v>
      </c>
      <c r="CV13">
        <f t="shared" ca="1" si="28"/>
        <v>0</v>
      </c>
      <c r="CW13">
        <f t="shared" ca="1" si="28"/>
        <v>0</v>
      </c>
      <c r="CX13">
        <f t="shared" ca="1" si="28"/>
        <v>0</v>
      </c>
      <c r="CY13" t="e">
        <f t="shared" ca="1" si="28"/>
        <v>#N/A</v>
      </c>
      <c r="CZ13" t="e">
        <f t="shared" ca="1" si="28"/>
        <v>#N/A</v>
      </c>
      <c r="DA13">
        <f t="shared" ca="1" si="28"/>
        <v>0</v>
      </c>
      <c r="DB13">
        <f t="shared" ca="1" si="28"/>
        <v>0</v>
      </c>
      <c r="DC13">
        <f t="shared" ca="1" si="28"/>
        <v>0</v>
      </c>
      <c r="DD13">
        <f t="shared" ca="1" si="28"/>
        <v>0</v>
      </c>
      <c r="DE13">
        <f t="shared" ca="1" si="28"/>
        <v>0</v>
      </c>
      <c r="DF13" t="e">
        <f t="shared" ca="1" si="28"/>
        <v>#N/A</v>
      </c>
      <c r="DG13" t="e">
        <f t="shared" ca="1" si="28"/>
        <v>#N/A</v>
      </c>
      <c r="DH13">
        <f t="shared" ca="1" si="28"/>
        <v>0</v>
      </c>
      <c r="DI13">
        <f t="shared" ca="1" si="28"/>
        <v>0</v>
      </c>
      <c r="DJ13">
        <f t="shared" ca="1" si="28"/>
        <v>0</v>
      </c>
      <c r="DK13">
        <f t="shared" ca="1" si="28"/>
        <v>0</v>
      </c>
      <c r="DL13">
        <f t="shared" ca="1" si="28"/>
        <v>0</v>
      </c>
      <c r="DM13" t="e">
        <f t="shared" ca="1" si="28"/>
        <v>#N/A</v>
      </c>
      <c r="DN13" t="e">
        <f t="shared" ca="1" si="28"/>
        <v>#N/A</v>
      </c>
      <c r="DO13">
        <f t="shared" ca="1" si="28"/>
        <v>0</v>
      </c>
      <c r="DP13">
        <f t="shared" ca="1" si="28"/>
        <v>0</v>
      </c>
      <c r="DQ13">
        <f t="shared" ca="1" si="28"/>
        <v>0</v>
      </c>
      <c r="DR13">
        <f t="shared" ca="1" si="28"/>
        <v>0</v>
      </c>
      <c r="DS13">
        <f t="shared" ca="1" si="28"/>
        <v>0</v>
      </c>
      <c r="DT13" t="e">
        <f t="shared" ca="1" si="28"/>
        <v>#N/A</v>
      </c>
      <c r="DU13" t="e">
        <f t="shared" ca="1" si="28"/>
        <v>#N/A</v>
      </c>
      <c r="DV13">
        <f t="shared" ca="1" si="28"/>
        <v>0</v>
      </c>
      <c r="DW13">
        <f t="shared" ca="1" si="28"/>
        <v>0</v>
      </c>
      <c r="DX13">
        <f t="shared" ca="1" si="28"/>
        <v>0</v>
      </c>
      <c r="DY13">
        <f t="shared" ca="1" si="28"/>
        <v>0</v>
      </c>
      <c r="DZ13">
        <f t="shared" ca="1" si="28"/>
        <v>0</v>
      </c>
      <c r="EA13" t="e">
        <f t="shared" ca="1" si="28"/>
        <v>#N/A</v>
      </c>
      <c r="EB13" t="e">
        <f t="shared" ca="1" si="28"/>
        <v>#N/A</v>
      </c>
      <c r="EC13">
        <f t="shared" ca="1" si="28"/>
        <v>0</v>
      </c>
      <c r="ED13">
        <f t="shared" ca="1" si="28"/>
        <v>0</v>
      </c>
      <c r="EE13">
        <f t="shared" ca="1" si="28"/>
        <v>0</v>
      </c>
      <c r="EF13">
        <f t="shared" ca="1" si="28"/>
        <v>0</v>
      </c>
      <c r="EG13">
        <f t="shared" ref="EG13:GR13" ca="1" si="29">_xlfn.XLOOKUP(EG$10,$G$58:$JG$58,$G$63:$JG$63)</f>
        <v>0</v>
      </c>
      <c r="EH13" t="e">
        <f t="shared" ca="1" si="29"/>
        <v>#N/A</v>
      </c>
      <c r="EI13" t="e">
        <f t="shared" ca="1" si="29"/>
        <v>#N/A</v>
      </c>
      <c r="EJ13" t="e">
        <f t="shared" ca="1" si="29"/>
        <v>#N/A</v>
      </c>
      <c r="EK13">
        <f t="shared" ca="1" si="29"/>
        <v>0</v>
      </c>
      <c r="EL13">
        <f t="shared" ca="1" si="29"/>
        <v>0</v>
      </c>
      <c r="EM13">
        <f t="shared" ca="1" si="29"/>
        <v>0</v>
      </c>
      <c r="EN13">
        <f t="shared" ca="1" si="29"/>
        <v>0</v>
      </c>
      <c r="EO13" t="e">
        <f t="shared" ca="1" si="29"/>
        <v>#N/A</v>
      </c>
      <c r="EP13" t="e">
        <f t="shared" ca="1" si="29"/>
        <v>#N/A</v>
      </c>
      <c r="EQ13">
        <f t="shared" ca="1" si="29"/>
        <v>0</v>
      </c>
      <c r="ER13">
        <f t="shared" ca="1" si="29"/>
        <v>0</v>
      </c>
      <c r="ES13">
        <f t="shared" ca="1" si="29"/>
        <v>0</v>
      </c>
      <c r="ET13">
        <f t="shared" ca="1" si="29"/>
        <v>0</v>
      </c>
      <c r="EU13">
        <f t="shared" ca="1" si="29"/>
        <v>0</v>
      </c>
      <c r="EV13" t="e">
        <f t="shared" ca="1" si="29"/>
        <v>#N/A</v>
      </c>
      <c r="EW13" t="e">
        <f t="shared" ca="1" si="29"/>
        <v>#N/A</v>
      </c>
      <c r="EX13">
        <f t="shared" ca="1" si="29"/>
        <v>0</v>
      </c>
      <c r="EY13">
        <f t="shared" ca="1" si="29"/>
        <v>0</v>
      </c>
      <c r="EZ13">
        <f t="shared" ca="1" si="29"/>
        <v>0</v>
      </c>
      <c r="FA13">
        <f t="shared" ca="1" si="29"/>
        <v>0</v>
      </c>
      <c r="FB13">
        <f t="shared" ca="1" si="29"/>
        <v>0</v>
      </c>
      <c r="FC13" t="e">
        <f t="shared" ca="1" si="29"/>
        <v>#N/A</v>
      </c>
      <c r="FD13" t="e">
        <f t="shared" ca="1" si="29"/>
        <v>#N/A</v>
      </c>
      <c r="FE13">
        <f t="shared" ca="1" si="29"/>
        <v>0</v>
      </c>
      <c r="FF13">
        <f t="shared" ca="1" si="29"/>
        <v>0</v>
      </c>
      <c r="FG13">
        <f t="shared" ca="1" si="29"/>
        <v>0</v>
      </c>
      <c r="FH13">
        <f t="shared" ca="1" si="29"/>
        <v>0</v>
      </c>
      <c r="FI13">
        <f t="shared" ca="1" si="29"/>
        <v>0</v>
      </c>
      <c r="FJ13" t="e">
        <f t="shared" ca="1" si="29"/>
        <v>#N/A</v>
      </c>
      <c r="FK13" t="e">
        <f t="shared" ca="1" si="29"/>
        <v>#N/A</v>
      </c>
      <c r="FL13">
        <f t="shared" ca="1" si="29"/>
        <v>0</v>
      </c>
      <c r="FM13">
        <f t="shared" ca="1" si="29"/>
        <v>0</v>
      </c>
      <c r="FN13">
        <f t="shared" ca="1" si="29"/>
        <v>0</v>
      </c>
      <c r="FO13">
        <f t="shared" ca="1" si="29"/>
        <v>0</v>
      </c>
      <c r="FP13">
        <f t="shared" ca="1" si="29"/>
        <v>0</v>
      </c>
      <c r="FQ13" t="e">
        <f t="shared" ca="1" si="29"/>
        <v>#N/A</v>
      </c>
      <c r="FR13" t="e">
        <f t="shared" ca="1" si="29"/>
        <v>#N/A</v>
      </c>
      <c r="FS13">
        <f t="shared" ca="1" si="29"/>
        <v>0</v>
      </c>
      <c r="FT13">
        <f t="shared" ca="1" si="29"/>
        <v>0</v>
      </c>
      <c r="FU13">
        <f t="shared" ca="1" si="29"/>
        <v>0</v>
      </c>
      <c r="FV13">
        <f t="shared" ca="1" si="29"/>
        <v>0</v>
      </c>
      <c r="FW13">
        <f t="shared" ca="1" si="29"/>
        <v>0</v>
      </c>
      <c r="FX13" t="e">
        <f t="shared" ca="1" si="29"/>
        <v>#N/A</v>
      </c>
      <c r="FY13" t="e">
        <f t="shared" ca="1" si="29"/>
        <v>#N/A</v>
      </c>
      <c r="FZ13">
        <f t="shared" ca="1" si="29"/>
        <v>0</v>
      </c>
      <c r="GA13">
        <f t="shared" ca="1" si="29"/>
        <v>0</v>
      </c>
      <c r="GB13">
        <f t="shared" ca="1" si="29"/>
        <v>0</v>
      </c>
      <c r="GC13">
        <f t="shared" ca="1" si="29"/>
        <v>0</v>
      </c>
      <c r="GD13">
        <f t="shared" ca="1" si="29"/>
        <v>0</v>
      </c>
      <c r="GE13" t="e">
        <f t="shared" ca="1" si="29"/>
        <v>#N/A</v>
      </c>
      <c r="GF13" t="e">
        <f t="shared" ca="1" si="29"/>
        <v>#N/A</v>
      </c>
      <c r="GG13">
        <f t="shared" ca="1" si="29"/>
        <v>0</v>
      </c>
      <c r="GH13">
        <f t="shared" ca="1" si="29"/>
        <v>0</v>
      </c>
      <c r="GI13">
        <f t="shared" ca="1" si="29"/>
        <v>0</v>
      </c>
      <c r="GJ13">
        <f t="shared" ca="1" si="29"/>
        <v>0</v>
      </c>
      <c r="GK13">
        <f t="shared" ca="1" si="29"/>
        <v>0</v>
      </c>
      <c r="GL13" t="e">
        <f t="shared" ca="1" si="29"/>
        <v>#N/A</v>
      </c>
      <c r="GM13" t="e">
        <f t="shared" ca="1" si="29"/>
        <v>#N/A</v>
      </c>
      <c r="GN13">
        <f t="shared" ca="1" si="29"/>
        <v>0</v>
      </c>
      <c r="GO13">
        <f t="shared" ca="1" si="29"/>
        <v>0</v>
      </c>
      <c r="GP13">
        <f t="shared" ca="1" si="29"/>
        <v>0</v>
      </c>
      <c r="GQ13">
        <f t="shared" ca="1" si="29"/>
        <v>0</v>
      </c>
      <c r="GR13">
        <f t="shared" ca="1" si="29"/>
        <v>0</v>
      </c>
      <c r="GS13" t="e">
        <f t="shared" ref="GS13:IX13" ca="1" si="30">_xlfn.XLOOKUP(GS$10,$G$58:$JG$58,$G$63:$JG$63)</f>
        <v>#N/A</v>
      </c>
      <c r="GT13" t="e">
        <f t="shared" ca="1" si="30"/>
        <v>#N/A</v>
      </c>
      <c r="GU13">
        <f t="shared" ca="1" si="30"/>
        <v>0</v>
      </c>
      <c r="GV13">
        <f t="shared" ca="1" si="30"/>
        <v>0</v>
      </c>
      <c r="GW13">
        <f t="shared" ca="1" si="30"/>
        <v>0</v>
      </c>
      <c r="GX13">
        <f t="shared" ca="1" si="30"/>
        <v>0</v>
      </c>
      <c r="GY13">
        <f t="shared" ca="1" si="30"/>
        <v>0</v>
      </c>
      <c r="GZ13" t="e">
        <f t="shared" ca="1" si="30"/>
        <v>#N/A</v>
      </c>
      <c r="HA13" t="e">
        <f t="shared" ca="1" si="30"/>
        <v>#N/A</v>
      </c>
      <c r="HB13">
        <f t="shared" ca="1" si="30"/>
        <v>0</v>
      </c>
      <c r="HC13">
        <f t="shared" ca="1" si="30"/>
        <v>0</v>
      </c>
      <c r="HD13">
        <f t="shared" ca="1" si="30"/>
        <v>0</v>
      </c>
      <c r="HE13">
        <f t="shared" ca="1" si="30"/>
        <v>0</v>
      </c>
      <c r="HF13">
        <f t="shared" ca="1" si="30"/>
        <v>0</v>
      </c>
      <c r="HG13" t="e">
        <f t="shared" ca="1" si="30"/>
        <v>#N/A</v>
      </c>
      <c r="HH13" t="e">
        <f t="shared" ca="1" si="30"/>
        <v>#N/A</v>
      </c>
      <c r="HI13">
        <f t="shared" ca="1" si="30"/>
        <v>0</v>
      </c>
      <c r="HJ13">
        <f t="shared" ca="1" si="30"/>
        <v>0</v>
      </c>
      <c r="HK13">
        <f t="shared" ca="1" si="30"/>
        <v>0</v>
      </c>
      <c r="HL13">
        <f t="shared" ca="1" si="30"/>
        <v>0</v>
      </c>
      <c r="HM13">
        <f t="shared" ca="1" si="30"/>
        <v>0</v>
      </c>
      <c r="HN13" t="e">
        <f t="shared" ca="1" si="30"/>
        <v>#N/A</v>
      </c>
      <c r="HO13" t="e">
        <f t="shared" ca="1" si="30"/>
        <v>#N/A</v>
      </c>
      <c r="HP13">
        <f t="shared" ca="1" si="30"/>
        <v>0</v>
      </c>
      <c r="HQ13">
        <f t="shared" ca="1" si="30"/>
        <v>0</v>
      </c>
      <c r="HR13">
        <f t="shared" ca="1" si="30"/>
        <v>0</v>
      </c>
      <c r="HS13" t="e">
        <f t="shared" ca="1" si="30"/>
        <v>#N/A</v>
      </c>
      <c r="HT13">
        <f t="shared" ca="1" si="30"/>
        <v>0</v>
      </c>
      <c r="HU13" t="e">
        <f t="shared" ca="1" si="30"/>
        <v>#N/A</v>
      </c>
      <c r="HV13" t="e">
        <f t="shared" ca="1" si="30"/>
        <v>#N/A</v>
      </c>
      <c r="HW13">
        <f t="shared" ca="1" si="30"/>
        <v>0</v>
      </c>
      <c r="HX13">
        <f t="shared" ca="1" si="30"/>
        <v>0</v>
      </c>
      <c r="HY13">
        <f t="shared" ca="1" si="30"/>
        <v>0</v>
      </c>
      <c r="HZ13">
        <f t="shared" ca="1" si="30"/>
        <v>0</v>
      </c>
      <c r="IA13">
        <f t="shared" ca="1" si="30"/>
        <v>0</v>
      </c>
      <c r="IB13" t="e">
        <f t="shared" ca="1" si="30"/>
        <v>#N/A</v>
      </c>
      <c r="IC13" t="e">
        <f t="shared" ca="1" si="30"/>
        <v>#N/A</v>
      </c>
      <c r="ID13">
        <f t="shared" ca="1" si="30"/>
        <v>0</v>
      </c>
      <c r="IE13">
        <f t="shared" ca="1" si="30"/>
        <v>0</v>
      </c>
      <c r="IF13">
        <f t="shared" ca="1" si="30"/>
        <v>0</v>
      </c>
      <c r="IG13">
        <f t="shared" ca="1" si="30"/>
        <v>0</v>
      </c>
      <c r="IH13">
        <f t="shared" ca="1" si="30"/>
        <v>0</v>
      </c>
      <c r="II13" t="e">
        <f t="shared" ca="1" si="30"/>
        <v>#N/A</v>
      </c>
      <c r="IJ13" t="e">
        <f t="shared" ca="1" si="30"/>
        <v>#N/A</v>
      </c>
      <c r="IK13">
        <f t="shared" ca="1" si="30"/>
        <v>0</v>
      </c>
      <c r="IL13">
        <f t="shared" ca="1" si="30"/>
        <v>0</v>
      </c>
      <c r="IM13">
        <f t="shared" ca="1" si="30"/>
        <v>0</v>
      </c>
      <c r="IN13">
        <f t="shared" ca="1" si="30"/>
        <v>0</v>
      </c>
      <c r="IO13">
        <f t="shared" ca="1" si="30"/>
        <v>0</v>
      </c>
      <c r="IP13" t="e">
        <f t="shared" ca="1" si="30"/>
        <v>#N/A</v>
      </c>
      <c r="IQ13" t="e">
        <f t="shared" ca="1" si="30"/>
        <v>#N/A</v>
      </c>
      <c r="IR13">
        <f t="shared" ca="1" si="30"/>
        <v>0</v>
      </c>
      <c r="IS13">
        <f t="shared" ca="1" si="30"/>
        <v>0</v>
      </c>
      <c r="IT13">
        <f t="shared" ca="1" si="30"/>
        <v>0</v>
      </c>
      <c r="IU13" t="e">
        <f t="shared" ca="1" si="30"/>
        <v>#N/A</v>
      </c>
      <c r="IV13">
        <f t="shared" ca="1" si="30"/>
        <v>0</v>
      </c>
      <c r="IW13" t="e">
        <f t="shared" ca="1" si="30"/>
        <v>#N/A</v>
      </c>
      <c r="IX13" t="e">
        <f t="shared" ca="1" si="30"/>
        <v>#N/A</v>
      </c>
      <c r="IY13">
        <f ca="1">_xlfn.XLOOKUP(IY$10,$G$58:$JG$58,$G$63:$JG$63)</f>
        <v>0</v>
      </c>
      <c r="IZ13">
        <f t="shared" ref="IZ13:JG13" ca="1" si="31">_xlfn.XLOOKUP(IZ$10,$G$58:$JG$58,$G$63:$JG$63)</f>
        <v>0</v>
      </c>
      <c r="JA13">
        <f t="shared" ca="1" si="31"/>
        <v>0</v>
      </c>
      <c r="JB13" t="e">
        <f t="shared" ca="1" si="31"/>
        <v>#N/A</v>
      </c>
      <c r="JC13">
        <f t="shared" ca="1" si="31"/>
        <v>0</v>
      </c>
      <c r="JD13" t="e">
        <f t="shared" ca="1" si="31"/>
        <v>#N/A</v>
      </c>
      <c r="JE13" t="e">
        <f t="shared" ca="1" si="31"/>
        <v>#N/A</v>
      </c>
      <c r="JF13">
        <f t="shared" ca="1" si="31"/>
        <v>0</v>
      </c>
      <c r="JG13">
        <f t="shared" ca="1" si="31"/>
        <v>0</v>
      </c>
      <c r="JH13">
        <f ca="1">_xlfn.XLOOKUP(JH$10,$G$58:$JG$58,$G$63:$JG$63)</f>
        <v>0</v>
      </c>
      <c r="JI13">
        <f t="shared" ref="JI13:KC13" ca="1" si="32">_xlfn.XLOOKUP(JI$10,$G$58:$JG$58,$G$63:$JG$63)</f>
        <v>0</v>
      </c>
      <c r="JJ13">
        <f t="shared" ca="1" si="32"/>
        <v>0</v>
      </c>
      <c r="JK13" t="e">
        <f t="shared" ca="1" si="32"/>
        <v>#N/A</v>
      </c>
      <c r="JL13" t="e">
        <f t="shared" ca="1" si="32"/>
        <v>#N/A</v>
      </c>
      <c r="JM13">
        <f t="shared" ca="1" si="32"/>
        <v>0</v>
      </c>
      <c r="JN13">
        <f t="shared" ca="1" si="32"/>
        <v>0</v>
      </c>
      <c r="JO13">
        <f t="shared" ca="1" si="32"/>
        <v>0</v>
      </c>
      <c r="JP13">
        <f t="shared" ca="1" si="32"/>
        <v>0</v>
      </c>
      <c r="JQ13">
        <f t="shared" ca="1" si="32"/>
        <v>0</v>
      </c>
      <c r="JR13" t="e">
        <f t="shared" ca="1" si="32"/>
        <v>#N/A</v>
      </c>
      <c r="JS13" t="e">
        <f t="shared" ca="1" si="32"/>
        <v>#N/A</v>
      </c>
      <c r="JT13" t="e">
        <f t="shared" ca="1" si="32"/>
        <v>#N/A</v>
      </c>
      <c r="JU13">
        <f t="shared" ca="1" si="32"/>
        <v>0</v>
      </c>
      <c r="JV13">
        <f t="shared" ca="1" si="32"/>
        <v>0</v>
      </c>
      <c r="JW13">
        <f t="shared" ca="1" si="32"/>
        <v>0</v>
      </c>
      <c r="JX13">
        <f t="shared" ca="1" si="32"/>
        <v>0</v>
      </c>
      <c r="JY13" t="e">
        <f t="shared" ca="1" si="32"/>
        <v>#N/A</v>
      </c>
      <c r="JZ13" t="e">
        <f t="shared" ca="1" si="32"/>
        <v>#N/A</v>
      </c>
      <c r="KA13">
        <f t="shared" ca="1" si="32"/>
        <v>0</v>
      </c>
      <c r="KB13">
        <f t="shared" ca="1" si="32"/>
        <v>0</v>
      </c>
      <c r="KC13">
        <f t="shared" ca="1" si="32"/>
        <v>0</v>
      </c>
      <c r="KD13">
        <f ca="1">_xlfn.XLOOKUP(KD$10,$G$58:$JG$58,$G$63:$JG$63)</f>
        <v>0</v>
      </c>
      <c r="KE13">
        <f t="shared" ref="KE13:LO13" ca="1" si="33">_xlfn.XLOOKUP(KE$10,$G$58:$JG$58,$G$63:$JG$63)</f>
        <v>0</v>
      </c>
      <c r="KF13" t="e">
        <f t="shared" ca="1" si="33"/>
        <v>#N/A</v>
      </c>
      <c r="KG13" t="e">
        <f t="shared" ca="1" si="33"/>
        <v>#N/A</v>
      </c>
      <c r="KH13">
        <f t="shared" ca="1" si="33"/>
        <v>0</v>
      </c>
      <c r="KI13">
        <f t="shared" ca="1" si="33"/>
        <v>0</v>
      </c>
      <c r="KJ13">
        <f t="shared" ca="1" si="33"/>
        <v>0</v>
      </c>
      <c r="KK13">
        <f t="shared" ca="1" si="33"/>
        <v>0</v>
      </c>
      <c r="KL13">
        <f t="shared" ca="1" si="33"/>
        <v>0</v>
      </c>
      <c r="KM13" t="e">
        <f t="shared" ca="1" si="33"/>
        <v>#N/A</v>
      </c>
      <c r="KN13" t="e">
        <f t="shared" ca="1" si="33"/>
        <v>#N/A</v>
      </c>
      <c r="KO13">
        <f t="shared" ca="1" si="33"/>
        <v>0</v>
      </c>
      <c r="KP13">
        <f t="shared" ca="1" si="33"/>
        <v>0</v>
      </c>
      <c r="KQ13">
        <f t="shared" ca="1" si="33"/>
        <v>0</v>
      </c>
      <c r="KR13">
        <f t="shared" ca="1" si="33"/>
        <v>0</v>
      </c>
      <c r="KS13">
        <f t="shared" ca="1" si="33"/>
        <v>0</v>
      </c>
      <c r="KT13" t="e">
        <f t="shared" ca="1" si="33"/>
        <v>#N/A</v>
      </c>
      <c r="KU13" t="e">
        <f t="shared" ca="1" si="33"/>
        <v>#N/A</v>
      </c>
      <c r="KV13" t="e">
        <f t="shared" ca="1" si="33"/>
        <v>#N/A</v>
      </c>
      <c r="KW13">
        <f t="shared" ca="1" si="33"/>
        <v>0</v>
      </c>
      <c r="KX13">
        <f t="shared" ca="1" si="33"/>
        <v>0</v>
      </c>
      <c r="KY13">
        <f t="shared" ca="1" si="33"/>
        <v>0</v>
      </c>
      <c r="KZ13">
        <f t="shared" ca="1" si="33"/>
        <v>0</v>
      </c>
      <c r="LA13" t="e">
        <f t="shared" ca="1" si="33"/>
        <v>#N/A</v>
      </c>
      <c r="LB13" t="e">
        <f t="shared" ca="1" si="33"/>
        <v>#N/A</v>
      </c>
      <c r="LC13">
        <f t="shared" ca="1" si="33"/>
        <v>0</v>
      </c>
      <c r="LD13">
        <f t="shared" ca="1" si="33"/>
        <v>0</v>
      </c>
      <c r="LE13">
        <f t="shared" ca="1" si="33"/>
        <v>0</v>
      </c>
      <c r="LF13">
        <f t="shared" ca="1" si="33"/>
        <v>0</v>
      </c>
      <c r="LG13">
        <f t="shared" ca="1" si="33"/>
        <v>0</v>
      </c>
      <c r="LH13" t="e">
        <f t="shared" ca="1" si="33"/>
        <v>#N/A</v>
      </c>
      <c r="LI13" t="e">
        <f t="shared" ca="1" si="33"/>
        <v>#N/A</v>
      </c>
      <c r="LJ13">
        <f t="shared" ca="1" si="33"/>
        <v>0</v>
      </c>
      <c r="LK13">
        <f t="shared" ca="1" si="33"/>
        <v>0</v>
      </c>
      <c r="LL13">
        <f t="shared" ca="1" si="33"/>
        <v>0</v>
      </c>
      <c r="LM13">
        <f t="shared" ca="1" si="33"/>
        <v>0</v>
      </c>
      <c r="LN13">
        <f t="shared" ca="1" si="33"/>
        <v>0</v>
      </c>
      <c r="LO13" t="e">
        <f t="shared" ca="1" si="33"/>
        <v>#N/A</v>
      </c>
      <c r="LP13" t="e">
        <f ca="1">_xlfn.XLOOKUP(LP$10,$G$58:$JG$58,$G$63:$JG$63)</f>
        <v>#N/A</v>
      </c>
      <c r="LQ13">
        <f t="shared" ref="LQ13:MH13" ca="1" si="34">_xlfn.XLOOKUP(LQ$10,$G$58:$JG$58,$G$63:$JG$63)</f>
        <v>0</v>
      </c>
      <c r="LR13">
        <f t="shared" ca="1" si="34"/>
        <v>0</v>
      </c>
      <c r="LS13">
        <f t="shared" ca="1" si="34"/>
        <v>0</v>
      </c>
      <c r="LT13">
        <f t="shared" ca="1" si="34"/>
        <v>0</v>
      </c>
      <c r="LU13">
        <f t="shared" ca="1" si="34"/>
        <v>0</v>
      </c>
      <c r="LV13" t="e">
        <f t="shared" ca="1" si="34"/>
        <v>#N/A</v>
      </c>
      <c r="LW13" t="e">
        <f t="shared" ca="1" si="34"/>
        <v>#N/A</v>
      </c>
      <c r="LX13">
        <f t="shared" ca="1" si="34"/>
        <v>0</v>
      </c>
      <c r="LY13">
        <f t="shared" ca="1" si="34"/>
        <v>0</v>
      </c>
      <c r="LZ13">
        <f t="shared" ca="1" si="34"/>
        <v>0</v>
      </c>
      <c r="MA13">
        <f t="shared" ca="1" si="34"/>
        <v>0</v>
      </c>
      <c r="MB13">
        <f t="shared" ca="1" si="34"/>
        <v>0</v>
      </c>
      <c r="MC13" t="e">
        <f t="shared" ca="1" si="34"/>
        <v>#N/A</v>
      </c>
      <c r="MD13" t="e">
        <f t="shared" ca="1" si="34"/>
        <v>#N/A</v>
      </c>
      <c r="ME13">
        <f t="shared" ca="1" si="34"/>
        <v>0</v>
      </c>
      <c r="MF13">
        <f t="shared" ca="1" si="34"/>
        <v>0</v>
      </c>
      <c r="MG13">
        <f t="shared" ca="1" si="34"/>
        <v>0</v>
      </c>
      <c r="MH13">
        <f t="shared" ca="1" si="34"/>
        <v>0</v>
      </c>
      <c r="MI13">
        <f ca="1">_xlfn.XLOOKUP(MI$10,$G$58:$JG$58,$G$63:$JG$63)</f>
        <v>0</v>
      </c>
      <c r="MJ13" t="e">
        <f t="shared" ref="MJ13:NF13" ca="1" si="35">_xlfn.XLOOKUP(MJ$10,$G$58:$JG$58,$G$63:$JG$63)</f>
        <v>#N/A</v>
      </c>
      <c r="MK13" t="e">
        <f t="shared" ca="1" si="35"/>
        <v>#N/A</v>
      </c>
      <c r="ML13">
        <f t="shared" ca="1" si="35"/>
        <v>0</v>
      </c>
      <c r="MM13">
        <f t="shared" ca="1" si="35"/>
        <v>0</v>
      </c>
      <c r="MN13">
        <f t="shared" ca="1" si="35"/>
        <v>0</v>
      </c>
      <c r="MO13">
        <f t="shared" ca="1" si="35"/>
        <v>0</v>
      </c>
      <c r="MP13" t="e">
        <f t="shared" ca="1" si="35"/>
        <v>#N/A</v>
      </c>
      <c r="MQ13" t="e">
        <f t="shared" ca="1" si="35"/>
        <v>#N/A</v>
      </c>
      <c r="MR13" t="e">
        <f t="shared" ca="1" si="35"/>
        <v>#N/A</v>
      </c>
      <c r="MS13">
        <f t="shared" ca="1" si="35"/>
        <v>0</v>
      </c>
      <c r="MT13">
        <f t="shared" ca="1" si="35"/>
        <v>0</v>
      </c>
      <c r="MU13">
        <f t="shared" ca="1" si="35"/>
        <v>0</v>
      </c>
      <c r="MV13">
        <f t="shared" ca="1" si="35"/>
        <v>0</v>
      </c>
      <c r="MW13">
        <f t="shared" ca="1" si="35"/>
        <v>0</v>
      </c>
      <c r="MX13" t="e">
        <f t="shared" ca="1" si="35"/>
        <v>#N/A</v>
      </c>
      <c r="MY13" t="e">
        <f t="shared" ca="1" si="35"/>
        <v>#N/A</v>
      </c>
      <c r="MZ13">
        <f t="shared" ca="1" si="35"/>
        <v>0</v>
      </c>
      <c r="NA13">
        <f t="shared" ca="1" si="35"/>
        <v>0</v>
      </c>
      <c r="NB13">
        <f t="shared" ca="1" si="35"/>
        <v>0</v>
      </c>
      <c r="NC13">
        <f t="shared" ca="1" si="35"/>
        <v>0</v>
      </c>
      <c r="ND13">
        <f t="shared" ca="1" si="35"/>
        <v>0</v>
      </c>
      <c r="NE13" t="e">
        <f t="shared" ca="1" si="35"/>
        <v>#N/A</v>
      </c>
      <c r="NF13" t="e">
        <f t="shared" ca="1" si="35"/>
        <v>#N/A</v>
      </c>
      <c r="NG13">
        <f ca="1">_xlfn.XLOOKUP(NG$10,$G$58:$JG$58,$G$63:$JG$63)</f>
        <v>0</v>
      </c>
    </row>
    <row r="14" spans="1:371" x14ac:dyDescent="0.25">
      <c r="F14" t="s">
        <v>162</v>
      </c>
      <c r="G14">
        <f ca="1">_xlfn.XLOOKUP(G$10,$G$65:$JG$65,$G$88:$JG$88)</f>
        <v>71856.239999999991</v>
      </c>
      <c r="H14">
        <f ca="1">_xlfn.XLOOKUP(H$10,$G$65:$JG$65,$G$88:$JG$88)</f>
        <v>73366.42</v>
      </c>
      <c r="I14">
        <f t="shared" ref="I14:BT14" ca="1" si="36">_xlfn.XLOOKUP(I$10,$G$65:$JG$65,$G$88:$JG$88)</f>
        <v>73399.969999999987</v>
      </c>
      <c r="J14">
        <f t="shared" ca="1" si="36"/>
        <v>73695.12</v>
      </c>
      <c r="K14">
        <f t="shared" ca="1" si="36"/>
        <v>73464.490000000005</v>
      </c>
      <c r="L14" t="e">
        <f t="shared" ca="1" si="36"/>
        <v>#N/A</v>
      </c>
      <c r="M14" t="e">
        <f t="shared" ca="1" si="36"/>
        <v>#N/A</v>
      </c>
      <c r="N14">
        <f t="shared" ca="1" si="36"/>
        <v>73551.42</v>
      </c>
      <c r="O14">
        <f t="shared" ca="1" si="36"/>
        <v>73673.350000000006</v>
      </c>
      <c r="P14">
        <f t="shared" ca="1" si="36"/>
        <v>73826.53</v>
      </c>
      <c r="Q14">
        <f t="shared" ca="1" si="36"/>
        <v>74040.920000000013</v>
      </c>
      <c r="R14">
        <f t="shared" ca="1" si="36"/>
        <v>74718.679999999993</v>
      </c>
      <c r="S14" t="e">
        <f t="shared" ca="1" si="36"/>
        <v>#N/A</v>
      </c>
      <c r="T14" t="e">
        <f t="shared" ca="1" si="36"/>
        <v>#N/A</v>
      </c>
      <c r="U14">
        <f t="shared" ca="1" si="36"/>
        <v>74549.989999999991</v>
      </c>
      <c r="V14">
        <f t="shared" ca="1" si="36"/>
        <v>74288.450000000012</v>
      </c>
      <c r="W14">
        <f t="shared" ca="1" si="36"/>
        <v>74448.039999999994</v>
      </c>
      <c r="X14">
        <f t="shared" ca="1" si="36"/>
        <v>74455.10000000002</v>
      </c>
      <c r="Y14">
        <f t="shared" ca="1" si="36"/>
        <v>74515.189999999988</v>
      </c>
      <c r="Z14" t="e">
        <f t="shared" ca="1" si="36"/>
        <v>#N/A</v>
      </c>
      <c r="AA14" t="e">
        <f t="shared" ca="1" si="36"/>
        <v>#N/A</v>
      </c>
      <c r="AB14">
        <f t="shared" ca="1" si="36"/>
        <v>74989.58</v>
      </c>
      <c r="AC14">
        <f t="shared" ca="1" si="36"/>
        <v>74627.23000000001</v>
      </c>
      <c r="AD14">
        <f t="shared" ca="1" si="36"/>
        <v>74381.099999999991</v>
      </c>
      <c r="AE14">
        <f t="shared" ca="1" si="36"/>
        <v>75303.189999999988</v>
      </c>
      <c r="AF14">
        <f t="shared" ca="1" si="36"/>
        <v>76004.440000000017</v>
      </c>
      <c r="AG14" t="e">
        <f t="shared" ca="1" si="36"/>
        <v>#N/A</v>
      </c>
      <c r="AH14" t="e">
        <f t="shared" ca="1" si="36"/>
        <v>#N/A</v>
      </c>
      <c r="AI14">
        <f t="shared" ca="1" si="36"/>
        <v>76176.330000000016</v>
      </c>
      <c r="AJ14">
        <f t="shared" ca="1" si="36"/>
        <v>76163.230000000025</v>
      </c>
      <c r="AK14">
        <f t="shared" ca="1" si="36"/>
        <v>75103.64</v>
      </c>
      <c r="AL14">
        <f t="shared" ca="1" si="36"/>
        <v>74871.570000000007</v>
      </c>
      <c r="AM14">
        <f t="shared" ca="1" si="36"/>
        <v>74815.539999999994</v>
      </c>
      <c r="AN14" t="e">
        <f t="shared" ca="1" si="36"/>
        <v>#N/A</v>
      </c>
      <c r="AO14" t="e">
        <f t="shared" ca="1" si="36"/>
        <v>#N/A</v>
      </c>
      <c r="AP14" t="e">
        <f t="shared" ca="1" si="36"/>
        <v>#N/A</v>
      </c>
      <c r="AQ14">
        <f t="shared" ca="1" si="36"/>
        <v>75788.12</v>
      </c>
      <c r="AR14">
        <f t="shared" ca="1" si="36"/>
        <v>75374.349999999977</v>
      </c>
      <c r="AS14">
        <f t="shared" ca="1" si="36"/>
        <v>75730.62999999999</v>
      </c>
      <c r="AT14">
        <f t="shared" ca="1" si="36"/>
        <v>76108.51999999999</v>
      </c>
      <c r="AU14" t="e">
        <f t="shared" ca="1" si="36"/>
        <v>#N/A</v>
      </c>
      <c r="AV14" t="e">
        <f t="shared" ca="1" si="36"/>
        <v>#N/A</v>
      </c>
      <c r="AW14">
        <f t="shared" ca="1" si="36"/>
        <v>76458.86</v>
      </c>
      <c r="AX14">
        <f t="shared" ca="1" si="36"/>
        <v>76433.359999999986</v>
      </c>
      <c r="AY14">
        <f t="shared" ca="1" si="36"/>
        <v>76047.289999999994</v>
      </c>
      <c r="AZ14">
        <f t="shared" ca="1" si="36"/>
        <v>75979.799999999988</v>
      </c>
      <c r="BA14">
        <f t="shared" ca="1" si="36"/>
        <v>76269.859999999986</v>
      </c>
      <c r="BB14" t="e">
        <f t="shared" ca="1" si="36"/>
        <v>#N/A</v>
      </c>
      <c r="BC14" t="e">
        <f t="shared" ca="1" si="36"/>
        <v>#N/A</v>
      </c>
      <c r="BD14">
        <f t="shared" ca="1" si="36"/>
        <v>76245.759999999995</v>
      </c>
      <c r="BE14">
        <f t="shared" ca="1" si="36"/>
        <v>76705.740000000005</v>
      </c>
      <c r="BF14">
        <f t="shared" ca="1" si="36"/>
        <v>76577.470000000016</v>
      </c>
      <c r="BG14">
        <f t="shared" ca="1" si="36"/>
        <v>77007.410000000018</v>
      </c>
      <c r="BH14">
        <f t="shared" ca="1" si="36"/>
        <v>76222.520000000019</v>
      </c>
      <c r="BI14" t="e">
        <f t="shared" ca="1" si="36"/>
        <v>#N/A</v>
      </c>
      <c r="BJ14" t="e">
        <f t="shared" ca="1" si="36"/>
        <v>#N/A</v>
      </c>
      <c r="BK14">
        <f t="shared" ca="1" si="36"/>
        <v>76038.240000000005</v>
      </c>
      <c r="BL14">
        <f t="shared" ca="1" si="36"/>
        <v>75766.83</v>
      </c>
      <c r="BM14">
        <f t="shared" ca="1" si="36"/>
        <v>75642.17</v>
      </c>
      <c r="BN14" t="e">
        <f t="shared" ca="1" si="36"/>
        <v>#N/A</v>
      </c>
      <c r="BO14">
        <f t="shared" ca="1" si="36"/>
        <v>75728.75</v>
      </c>
      <c r="BP14" t="e">
        <f t="shared" ca="1" si="36"/>
        <v>#N/A</v>
      </c>
      <c r="BQ14" t="e">
        <f t="shared" ca="1" si="36"/>
        <v>#N/A</v>
      </c>
      <c r="BR14">
        <f t="shared" ca="1" si="36"/>
        <v>76354.970000000016</v>
      </c>
      <c r="BS14">
        <f t="shared" ca="1" si="36"/>
        <v>76618.34</v>
      </c>
      <c r="BT14">
        <f t="shared" ca="1" si="36"/>
        <v>75971.28</v>
      </c>
      <c r="BU14">
        <f t="shared" ref="BU14:EF14" ca="1" si="37">_xlfn.XLOOKUP(BU$10,$G$65:$JG$65,$G$88:$JG$88)</f>
        <v>76182.55</v>
      </c>
      <c r="BV14">
        <f t="shared" ca="1" si="37"/>
        <v>76446.559999999998</v>
      </c>
      <c r="BW14" t="e">
        <f t="shared" ca="1" si="37"/>
        <v>#N/A</v>
      </c>
      <c r="BX14" t="e">
        <f t="shared" ca="1" si="37"/>
        <v>#N/A</v>
      </c>
      <c r="BY14">
        <f t="shared" ca="1" si="37"/>
        <v>76853.090000000011</v>
      </c>
      <c r="BZ14">
        <f t="shared" ca="1" si="37"/>
        <v>77556.179999999993</v>
      </c>
      <c r="CA14">
        <f t="shared" ca="1" si="37"/>
        <v>77692.510000000009</v>
      </c>
      <c r="CB14">
        <f t="shared" ca="1" si="37"/>
        <v>77818.649999999994</v>
      </c>
      <c r="CC14" t="e">
        <f t="shared" ca="1" si="37"/>
        <v>#N/A</v>
      </c>
      <c r="CD14" t="e">
        <f t="shared" ca="1" si="37"/>
        <v>#N/A</v>
      </c>
      <c r="CE14" t="e">
        <f t="shared" ca="1" si="37"/>
        <v>#N/A</v>
      </c>
      <c r="CF14">
        <f t="shared" ca="1" si="37"/>
        <v>77211.599999999991</v>
      </c>
      <c r="CG14">
        <f t="shared" ca="1" si="37"/>
        <v>77176.009999999995</v>
      </c>
      <c r="CH14">
        <f t="shared" ca="1" si="37"/>
        <v>77108.59</v>
      </c>
      <c r="CI14">
        <f t="shared" ca="1" si="37"/>
        <v>77238.2</v>
      </c>
      <c r="CJ14">
        <f t="shared" ca="1" si="37"/>
        <v>77011.55</v>
      </c>
      <c r="CK14" t="e">
        <f t="shared" ca="1" si="37"/>
        <v>#N/A</v>
      </c>
      <c r="CL14" t="e">
        <f t="shared" ca="1" si="37"/>
        <v>#N/A</v>
      </c>
      <c r="CM14">
        <f t="shared" ca="1" si="37"/>
        <v>76977.040000000008</v>
      </c>
      <c r="CN14">
        <f t="shared" ca="1" si="37"/>
        <v>76425.38</v>
      </c>
      <c r="CO14">
        <f t="shared" ca="1" si="37"/>
        <v>76650.070000000007</v>
      </c>
      <c r="CP14">
        <f t="shared" ca="1" si="37"/>
        <v>77013.809999999983</v>
      </c>
      <c r="CQ14">
        <f t="shared" ca="1" si="37"/>
        <v>76877.48000000001</v>
      </c>
      <c r="CR14" t="e">
        <f t="shared" ca="1" si="37"/>
        <v>#N/A</v>
      </c>
      <c r="CS14" t="e">
        <f t="shared" ca="1" si="37"/>
        <v>#N/A</v>
      </c>
      <c r="CT14">
        <f t="shared" ca="1" si="37"/>
        <v>76849.570000000022</v>
      </c>
      <c r="CU14">
        <f t="shared" ca="1" si="37"/>
        <v>77613.009999999995</v>
      </c>
      <c r="CV14">
        <f t="shared" ca="1" si="37"/>
        <v>78027.630000000019</v>
      </c>
      <c r="CW14">
        <f t="shared" ca="1" si="37"/>
        <v>77835.63</v>
      </c>
      <c r="CX14">
        <f t="shared" ca="1" si="37"/>
        <v>77736.309999999983</v>
      </c>
      <c r="CY14" t="e">
        <f t="shared" ca="1" si="37"/>
        <v>#N/A</v>
      </c>
      <c r="CZ14" t="e">
        <f t="shared" ca="1" si="37"/>
        <v>#N/A</v>
      </c>
      <c r="DA14">
        <f t="shared" ca="1" si="37"/>
        <v>77197.97</v>
      </c>
      <c r="DB14">
        <f t="shared" ca="1" si="37"/>
        <v>77504.27</v>
      </c>
      <c r="DC14">
        <f t="shared" ca="1" si="37"/>
        <v>77168.289999999994</v>
      </c>
      <c r="DD14">
        <f t="shared" ca="1" si="37"/>
        <v>76769.87999999999</v>
      </c>
      <c r="DE14">
        <f t="shared" ca="1" si="37"/>
        <v>76457.959999999992</v>
      </c>
      <c r="DF14" t="e">
        <f t="shared" ca="1" si="37"/>
        <v>#N/A</v>
      </c>
      <c r="DG14" t="e">
        <f t="shared" ca="1" si="37"/>
        <v>#N/A</v>
      </c>
      <c r="DH14">
        <f t="shared" ca="1" si="37"/>
        <v>76955.94</v>
      </c>
      <c r="DI14">
        <f t="shared" ca="1" si="37"/>
        <v>76884.69</v>
      </c>
      <c r="DJ14">
        <f t="shared" ca="1" si="37"/>
        <v>77353.460000000006</v>
      </c>
      <c r="DK14">
        <f t="shared" ca="1" si="37"/>
        <v>77620.67</v>
      </c>
      <c r="DL14">
        <f t="shared" ca="1" si="37"/>
        <v>78043.649999999994</v>
      </c>
      <c r="DM14" t="e">
        <f t="shared" ca="1" si="37"/>
        <v>#N/A</v>
      </c>
      <c r="DN14" t="e">
        <f t="shared" ca="1" si="37"/>
        <v>#N/A</v>
      </c>
      <c r="DO14">
        <f t="shared" ca="1" si="37"/>
        <v>78138.87000000001</v>
      </c>
      <c r="DP14">
        <f t="shared" ca="1" si="37"/>
        <v>78842.650000000009</v>
      </c>
      <c r="DQ14">
        <f t="shared" ca="1" si="37"/>
        <v>78748.41</v>
      </c>
      <c r="DR14">
        <f t="shared" ca="1" si="37"/>
        <v>79037.61</v>
      </c>
      <c r="DS14">
        <f t="shared" ca="1" si="37"/>
        <v>79159.14999999998</v>
      </c>
      <c r="DT14" t="e">
        <f t="shared" ca="1" si="37"/>
        <v>#N/A</v>
      </c>
      <c r="DU14" t="e">
        <f t="shared" ca="1" si="37"/>
        <v>#N/A</v>
      </c>
      <c r="DV14">
        <f t="shared" ca="1" si="37"/>
        <v>78939.929999999993</v>
      </c>
      <c r="DW14">
        <f t="shared" ca="1" si="37"/>
        <v>79583.080000000016</v>
      </c>
      <c r="DX14">
        <f t="shared" ca="1" si="37"/>
        <v>79680.689999999988</v>
      </c>
      <c r="DY14">
        <f t="shared" ca="1" si="37"/>
        <v>79393.03</v>
      </c>
      <c r="DZ14">
        <f t="shared" ca="1" si="37"/>
        <v>79868.679999999993</v>
      </c>
      <c r="EA14" t="e">
        <f t="shared" ca="1" si="37"/>
        <v>#N/A</v>
      </c>
      <c r="EB14" t="e">
        <f t="shared" ca="1" si="37"/>
        <v>#N/A</v>
      </c>
      <c r="EC14">
        <f t="shared" ca="1" si="37"/>
        <v>79106.06</v>
      </c>
      <c r="ED14">
        <f t="shared" ca="1" si="37"/>
        <v>78932.710000000006</v>
      </c>
      <c r="EE14">
        <f t="shared" ca="1" si="37"/>
        <v>79285.37999999999</v>
      </c>
      <c r="EF14">
        <f t="shared" ca="1" si="37"/>
        <v>79112.580000000016</v>
      </c>
      <c r="EG14">
        <f t="shared" ref="EG14:GR14" ca="1" si="38">_xlfn.XLOOKUP(EG$10,$G$65:$JG$65,$G$88:$JG$88)</f>
        <v>79583.209999999992</v>
      </c>
      <c r="EH14" t="e">
        <f t="shared" ca="1" si="38"/>
        <v>#N/A</v>
      </c>
      <c r="EI14" t="e">
        <f t="shared" ca="1" si="38"/>
        <v>#N/A</v>
      </c>
      <c r="EJ14" t="e">
        <f t="shared" ca="1" si="38"/>
        <v>#N/A</v>
      </c>
      <c r="EK14">
        <f t="shared" ca="1" si="38"/>
        <v>79374.569999999992</v>
      </c>
      <c r="EL14">
        <f t="shared" ca="1" si="38"/>
        <v>79363.209999999992</v>
      </c>
      <c r="EM14">
        <f t="shared" ca="1" si="38"/>
        <v>79755.09</v>
      </c>
      <c r="EN14">
        <f t="shared" ca="1" si="38"/>
        <v>79394.350000000006</v>
      </c>
      <c r="EO14" t="e">
        <f t="shared" ca="1" si="38"/>
        <v>#N/A</v>
      </c>
      <c r="EP14" t="e">
        <f t="shared" ca="1" si="38"/>
        <v>#N/A</v>
      </c>
      <c r="EQ14">
        <f t="shared" ca="1" si="38"/>
        <v>79104.53</v>
      </c>
      <c r="ER14">
        <f t="shared" ca="1" si="38"/>
        <v>79487.140000000014</v>
      </c>
      <c r="ES14">
        <f t="shared" ca="1" si="38"/>
        <v>79300.98</v>
      </c>
      <c r="ET14">
        <f t="shared" ca="1" si="38"/>
        <v>79820.600000000006</v>
      </c>
      <c r="EU14">
        <f t="shared" ca="1" si="38"/>
        <v>79665.659999999989</v>
      </c>
      <c r="EV14" t="e">
        <f t="shared" ca="1" si="38"/>
        <v>#N/A</v>
      </c>
      <c r="EW14" t="e">
        <f t="shared" ca="1" si="38"/>
        <v>#N/A</v>
      </c>
      <c r="EX14">
        <f t="shared" ca="1" si="38"/>
        <v>79520.299999999988</v>
      </c>
      <c r="EY14">
        <f t="shared" ca="1" si="38"/>
        <v>79527.660000000018</v>
      </c>
      <c r="EZ14">
        <f t="shared" ca="1" si="38"/>
        <v>79721.03</v>
      </c>
      <c r="FA14">
        <f t="shared" ca="1" si="38"/>
        <v>80333.66</v>
      </c>
      <c r="FB14">
        <f t="shared" ca="1" si="38"/>
        <v>80391.34</v>
      </c>
      <c r="FC14" t="e">
        <f t="shared" ca="1" si="38"/>
        <v>#N/A</v>
      </c>
      <c r="FD14" t="e">
        <f t="shared" ca="1" si="38"/>
        <v>#N/A</v>
      </c>
      <c r="FE14">
        <f t="shared" ca="1" si="38"/>
        <v>79944.990000000005</v>
      </c>
      <c r="FF14">
        <f t="shared" ca="1" si="38"/>
        <v>80203.88</v>
      </c>
      <c r="FG14">
        <f t="shared" ca="1" si="38"/>
        <v>80657.37999999999</v>
      </c>
      <c r="FH14">
        <f t="shared" ca="1" si="38"/>
        <v>80547.8</v>
      </c>
      <c r="FI14">
        <f t="shared" ca="1" si="38"/>
        <v>81247.250000000015</v>
      </c>
      <c r="FJ14" t="e">
        <f t="shared" ca="1" si="38"/>
        <v>#N/A</v>
      </c>
      <c r="FK14" t="e">
        <f t="shared" ca="1" si="38"/>
        <v>#N/A</v>
      </c>
      <c r="FL14">
        <f t="shared" ca="1" si="38"/>
        <v>80978.930000000008</v>
      </c>
      <c r="FM14">
        <f t="shared" ca="1" si="38"/>
        <v>81007.12</v>
      </c>
      <c r="FN14">
        <f t="shared" ca="1" si="38"/>
        <v>81436.899999999994</v>
      </c>
      <c r="FO14">
        <f t="shared" ca="1" si="38"/>
        <v>80927.299999999988</v>
      </c>
      <c r="FP14">
        <f t="shared" ca="1" si="38"/>
        <v>81027.31</v>
      </c>
      <c r="FQ14" t="e">
        <f t="shared" ca="1" si="38"/>
        <v>#N/A</v>
      </c>
      <c r="FR14" t="e">
        <f t="shared" ca="1" si="38"/>
        <v>#N/A</v>
      </c>
      <c r="FS14">
        <f t="shared" ca="1" si="38"/>
        <v>80788.02</v>
      </c>
      <c r="FT14">
        <f t="shared" ca="1" si="38"/>
        <v>81153.919999999998</v>
      </c>
      <c r="FU14">
        <f t="shared" ca="1" si="38"/>
        <v>80686.299999999988</v>
      </c>
      <c r="FV14">
        <f t="shared" ca="1" si="38"/>
        <v>80547.55</v>
      </c>
      <c r="FW14">
        <f t="shared" ca="1" si="38"/>
        <v>79891.56</v>
      </c>
      <c r="FX14" t="e">
        <f t="shared" ca="1" si="38"/>
        <v>#N/A</v>
      </c>
      <c r="FY14" t="e">
        <f t="shared" ca="1" si="38"/>
        <v>#N/A</v>
      </c>
      <c r="FZ14">
        <f t="shared" ca="1" si="38"/>
        <v>79900.159999999989</v>
      </c>
      <c r="GA14">
        <f t="shared" ca="1" si="38"/>
        <v>80772.570000000007</v>
      </c>
      <c r="GB14">
        <f t="shared" ca="1" si="38"/>
        <v>81467.44</v>
      </c>
      <c r="GC14">
        <f t="shared" ca="1" si="38"/>
        <v>81006.289999999979</v>
      </c>
      <c r="GD14">
        <f t="shared" ca="1" si="38"/>
        <v>81860.639999999985</v>
      </c>
      <c r="GE14" t="e">
        <f t="shared" ca="1" si="38"/>
        <v>#N/A</v>
      </c>
      <c r="GF14" t="e">
        <f t="shared" ca="1" si="38"/>
        <v>#N/A</v>
      </c>
      <c r="GG14">
        <f t="shared" ca="1" si="38"/>
        <v>82121.89</v>
      </c>
      <c r="GH14">
        <f t="shared" ca="1" si="38"/>
        <v>81958.809999999983</v>
      </c>
      <c r="GI14">
        <f t="shared" ca="1" si="38"/>
        <v>82176.260000000009</v>
      </c>
      <c r="GJ14">
        <f t="shared" ca="1" si="38"/>
        <v>82211.73000000001</v>
      </c>
      <c r="GK14">
        <f t="shared" ca="1" si="38"/>
        <v>81995.66</v>
      </c>
      <c r="GL14" t="e">
        <f t="shared" ca="1" si="38"/>
        <v>#N/A</v>
      </c>
      <c r="GM14" t="e">
        <f t="shared" ca="1" si="38"/>
        <v>#N/A</v>
      </c>
      <c r="GN14">
        <f t="shared" ca="1" si="38"/>
        <v>82597.429999999978</v>
      </c>
      <c r="GO14">
        <f t="shared" ca="1" si="38"/>
        <v>82656.61</v>
      </c>
      <c r="GP14">
        <f t="shared" ca="1" si="38"/>
        <v>82024.409999999989</v>
      </c>
      <c r="GQ14">
        <f t="shared" ca="1" si="38"/>
        <v>81408.899999999994</v>
      </c>
      <c r="GR14">
        <f t="shared" ca="1" si="38"/>
        <v>81206.69</v>
      </c>
      <c r="GS14" t="e">
        <f t="shared" ref="GS14:IX14" ca="1" si="39">_xlfn.XLOOKUP(GS$10,$G$65:$JG$65,$G$88:$JG$88)</f>
        <v>#N/A</v>
      </c>
      <c r="GT14" t="e">
        <f t="shared" ca="1" si="39"/>
        <v>#N/A</v>
      </c>
      <c r="GU14">
        <f t="shared" ca="1" si="39"/>
        <v>80676.249999999985</v>
      </c>
      <c r="GV14">
        <f t="shared" ca="1" si="39"/>
        <v>80366.720000000001</v>
      </c>
      <c r="GW14">
        <f t="shared" ca="1" si="39"/>
        <v>80188.09</v>
      </c>
      <c r="GX14">
        <f t="shared" ca="1" si="39"/>
        <v>79901.220000000016</v>
      </c>
      <c r="GY14">
        <f t="shared" ca="1" si="39"/>
        <v>80597.199999999983</v>
      </c>
      <c r="GZ14" t="e">
        <f t="shared" ca="1" si="39"/>
        <v>#N/A</v>
      </c>
      <c r="HA14" t="e">
        <f t="shared" ca="1" si="39"/>
        <v>#N/A</v>
      </c>
      <c r="HB14">
        <f t="shared" ca="1" si="39"/>
        <v>80921.710000000006</v>
      </c>
      <c r="HC14">
        <f t="shared" ca="1" si="39"/>
        <v>81813.890000000014</v>
      </c>
      <c r="HD14">
        <f t="shared" ca="1" si="39"/>
        <v>81847.09</v>
      </c>
      <c r="HE14">
        <f t="shared" ca="1" si="39"/>
        <v>81443.210000000006</v>
      </c>
      <c r="HF14">
        <f t="shared" ca="1" si="39"/>
        <v>81483.5</v>
      </c>
      <c r="HG14" t="e">
        <f t="shared" ca="1" si="39"/>
        <v>#N/A</v>
      </c>
      <c r="HH14" t="e">
        <f t="shared" ca="1" si="39"/>
        <v>#N/A</v>
      </c>
      <c r="HI14">
        <f t="shared" ca="1" si="39"/>
        <v>81028.299999999988</v>
      </c>
      <c r="HJ14">
        <f t="shared" ca="1" si="39"/>
        <v>80838.78</v>
      </c>
      <c r="HK14">
        <f t="shared" ca="1" si="39"/>
        <v>80519.95</v>
      </c>
      <c r="HL14">
        <f t="shared" ca="1" si="39"/>
        <v>80353.77</v>
      </c>
      <c r="HM14">
        <f t="shared" ca="1" si="39"/>
        <v>80965.099999999991</v>
      </c>
      <c r="HN14" t="e">
        <f t="shared" ca="1" si="39"/>
        <v>#N/A</v>
      </c>
      <c r="HO14" t="e">
        <f t="shared" ca="1" si="39"/>
        <v>#N/A</v>
      </c>
      <c r="HP14">
        <f t="shared" ca="1" si="39"/>
        <v>80683.479999999981</v>
      </c>
      <c r="HQ14">
        <f t="shared" ca="1" si="39"/>
        <v>81440.63</v>
      </c>
      <c r="HR14">
        <f t="shared" ca="1" si="39"/>
        <v>82238.52</v>
      </c>
      <c r="HS14" t="e">
        <f t="shared" ca="1" si="39"/>
        <v>#N/A</v>
      </c>
      <c r="HT14">
        <f t="shared" ca="1" si="39"/>
        <v>83206.61</v>
      </c>
      <c r="HU14" t="e">
        <f t="shared" ca="1" si="39"/>
        <v>#N/A</v>
      </c>
      <c r="HV14" t="e">
        <f t="shared" ca="1" si="39"/>
        <v>#N/A</v>
      </c>
      <c r="HW14">
        <f t="shared" ca="1" si="39"/>
        <v>82668.3</v>
      </c>
      <c r="HX14">
        <f t="shared" ca="1" si="39"/>
        <v>82947.700000000012</v>
      </c>
      <c r="HY14">
        <f t="shared" ca="1" si="39"/>
        <v>83323.03</v>
      </c>
      <c r="HZ14">
        <f t="shared" ca="1" si="39"/>
        <v>82760.349999999977</v>
      </c>
      <c r="IA14">
        <f t="shared" ca="1" si="39"/>
        <v>82467.98</v>
      </c>
      <c r="IB14" t="e">
        <f t="shared" ca="1" si="39"/>
        <v>#N/A</v>
      </c>
      <c r="IC14" t="e">
        <f t="shared" ca="1" si="39"/>
        <v>#N/A</v>
      </c>
      <c r="ID14">
        <f t="shared" ca="1" si="39"/>
        <v>73413.279999999999</v>
      </c>
      <c r="IE14">
        <f t="shared" ca="1" si="39"/>
        <v>73308.459999999992</v>
      </c>
      <c r="IF14">
        <f t="shared" ca="1" si="39"/>
        <v>73454.38</v>
      </c>
      <c r="IG14">
        <f t="shared" ca="1" si="39"/>
        <v>73768.040000000008</v>
      </c>
      <c r="IH14">
        <f t="shared" ca="1" si="39"/>
        <v>74023.999999999985</v>
      </c>
      <c r="II14" t="e">
        <f t="shared" ca="1" si="39"/>
        <v>#N/A</v>
      </c>
      <c r="IJ14" t="e">
        <f t="shared" ca="1" si="39"/>
        <v>#N/A</v>
      </c>
      <c r="IK14">
        <f t="shared" ca="1" si="39"/>
        <v>74231.44</v>
      </c>
      <c r="IL14">
        <f t="shared" ca="1" si="39"/>
        <v>73759.710000000006</v>
      </c>
      <c r="IM14">
        <f t="shared" ca="1" si="39"/>
        <v>73928</v>
      </c>
      <c r="IN14">
        <f t="shared" ca="1" si="39"/>
        <v>73813.139999999985</v>
      </c>
      <c r="IO14">
        <f t="shared" ca="1" si="39"/>
        <v>73817.850000000006</v>
      </c>
      <c r="IP14" t="e">
        <f t="shared" ca="1" si="39"/>
        <v>#N/A</v>
      </c>
      <c r="IQ14" t="e">
        <f t="shared" ca="1" si="39"/>
        <v>#N/A</v>
      </c>
      <c r="IR14">
        <f t="shared" ca="1" si="39"/>
        <v>73734.52</v>
      </c>
      <c r="IS14">
        <f t="shared" ca="1" si="39"/>
        <v>73460.649999999994</v>
      </c>
      <c r="IT14">
        <f t="shared" ca="1" si="39"/>
        <v>73799.53</v>
      </c>
      <c r="IU14" t="e">
        <f t="shared" ca="1" si="39"/>
        <v>#N/A</v>
      </c>
      <c r="IV14">
        <f t="shared" ca="1" si="39"/>
        <v>73663.429999999993</v>
      </c>
      <c r="IW14" t="e">
        <f t="shared" ca="1" si="39"/>
        <v>#N/A</v>
      </c>
      <c r="IX14" t="e">
        <f t="shared" ca="1" si="39"/>
        <v>#N/A</v>
      </c>
      <c r="IY14">
        <f ca="1">_xlfn.XLOOKUP(IY$10,$G$65:$JG$65,$G$88:$JG$88)</f>
        <v>73634.600000000006</v>
      </c>
      <c r="IZ14">
        <f t="shared" ref="IZ14:JG14" ca="1" si="40">_xlfn.XLOOKUP(IZ$10,$G$65:$JG$65,$G$88:$JG$88)</f>
        <v>73666.73</v>
      </c>
      <c r="JA14">
        <f t="shared" ca="1" si="40"/>
        <v>73295.200000000012</v>
      </c>
      <c r="JB14" t="e">
        <f t="shared" ca="1" si="40"/>
        <v>#N/A</v>
      </c>
      <c r="JC14">
        <f t="shared" ca="1" si="40"/>
        <v>73538.2</v>
      </c>
      <c r="JD14" t="e">
        <f t="shared" ca="1" si="40"/>
        <v>#N/A</v>
      </c>
      <c r="JE14" t="e">
        <f t="shared" ca="1" si="40"/>
        <v>#N/A</v>
      </c>
      <c r="JF14">
        <f t="shared" ca="1" si="40"/>
        <v>73242.460000000006</v>
      </c>
      <c r="JG14">
        <f t="shared" ca="1" si="40"/>
        <v>73505.389999999985</v>
      </c>
      <c r="JH14">
        <f ca="1">_xlfn.XLOOKUP(JH$10,$G$65:$JG$65,$G$88:$JG$88)</f>
        <v>73300.140000000014</v>
      </c>
      <c r="JI14">
        <f t="shared" ref="JI14:KC14" ca="1" si="41">_xlfn.XLOOKUP(JI$10,$G$65:$JG$65,$G$88:$JG$88)</f>
        <v>73610.080000000002</v>
      </c>
      <c r="JJ14">
        <f t="shared" ca="1" si="41"/>
        <v>74586.509999999995</v>
      </c>
      <c r="JK14" t="e">
        <f t="shared" ca="1" si="41"/>
        <v>#N/A</v>
      </c>
      <c r="JL14" t="e">
        <f t="shared" ca="1" si="41"/>
        <v>#N/A</v>
      </c>
      <c r="JM14">
        <f t="shared" ca="1" si="41"/>
        <v>74542.959999999992</v>
      </c>
      <c r="JN14">
        <f t="shared" ca="1" si="41"/>
        <v>75321.680000000008</v>
      </c>
      <c r="JO14">
        <f t="shared" ca="1" si="41"/>
        <v>75623.510000000009</v>
      </c>
      <c r="JP14">
        <f t="shared" ca="1" si="41"/>
        <v>75278.39999999998</v>
      </c>
      <c r="JQ14">
        <f t="shared" ca="1" si="41"/>
        <v>74950.459999999992</v>
      </c>
      <c r="JR14" t="e">
        <f t="shared" ca="1" si="41"/>
        <v>#N/A</v>
      </c>
      <c r="JS14" t="e">
        <f t="shared" ca="1" si="41"/>
        <v>#N/A</v>
      </c>
      <c r="JT14" t="e">
        <f t="shared" ca="1" si="41"/>
        <v>#N/A</v>
      </c>
      <c r="JU14">
        <f t="shared" ca="1" si="41"/>
        <v>74797.989999999991</v>
      </c>
      <c r="JV14">
        <f t="shared" ca="1" si="41"/>
        <v>75342.05</v>
      </c>
      <c r="JW14">
        <f t="shared" ca="1" si="41"/>
        <v>75530.97</v>
      </c>
      <c r="JX14">
        <f t="shared" ca="1" si="41"/>
        <v>74708.88</v>
      </c>
      <c r="JY14" t="e">
        <f t="shared" ca="1" si="41"/>
        <v>#N/A</v>
      </c>
      <c r="JZ14" t="e">
        <f t="shared" ca="1" si="41"/>
        <v>#N/A</v>
      </c>
      <c r="KA14">
        <f t="shared" ca="1" si="41"/>
        <v>74705.939999999988</v>
      </c>
      <c r="KB14">
        <f t="shared" ca="1" si="41"/>
        <v>75316.37</v>
      </c>
      <c r="KC14">
        <f t="shared" ca="1" si="41"/>
        <v>75841.459999999992</v>
      </c>
      <c r="KD14">
        <f ca="1">_xlfn.XLOOKUP(KD$10,$G$65:$JG$65,$G$88:$JG$88)</f>
        <v>75228.53</v>
      </c>
      <c r="KE14">
        <f t="shared" ref="KE14:LO14" ca="1" si="42">_xlfn.XLOOKUP(KE$10,$G$65:$JG$65,$G$88:$JG$88)</f>
        <v>76064.39</v>
      </c>
      <c r="KF14" t="e">
        <f t="shared" ca="1" si="42"/>
        <v>#N/A</v>
      </c>
      <c r="KG14" t="e">
        <f t="shared" ca="1" si="42"/>
        <v>#N/A</v>
      </c>
      <c r="KH14">
        <f t="shared" ca="1" si="42"/>
        <v>76943.079999999987</v>
      </c>
      <c r="KI14">
        <f t="shared" ca="1" si="42"/>
        <v>77864.84</v>
      </c>
      <c r="KJ14">
        <f t="shared" ca="1" si="42"/>
        <v>79015.450000000012</v>
      </c>
      <c r="KK14">
        <f t="shared" ca="1" si="42"/>
        <v>78721.140000000014</v>
      </c>
      <c r="KL14">
        <f t="shared" ca="1" si="42"/>
        <v>80046.350000000006</v>
      </c>
      <c r="KM14" t="e">
        <f t="shared" ca="1" si="42"/>
        <v>#N/A</v>
      </c>
      <c r="KN14" t="e">
        <f t="shared" ca="1" si="42"/>
        <v>#N/A</v>
      </c>
      <c r="KO14">
        <f t="shared" ca="1" si="42"/>
        <v>79709.930000000008</v>
      </c>
      <c r="KP14">
        <f t="shared" ca="1" si="42"/>
        <v>79087.189999999988</v>
      </c>
      <c r="KQ14">
        <f t="shared" ca="1" si="42"/>
        <v>79455.890000000014</v>
      </c>
      <c r="KR14">
        <f t="shared" ca="1" si="42"/>
        <v>79471.460000000006</v>
      </c>
      <c r="KS14">
        <f t="shared" ca="1" si="42"/>
        <v>79481.78</v>
      </c>
      <c r="KT14" t="e">
        <f t="shared" ca="1" si="42"/>
        <v>#N/A</v>
      </c>
      <c r="KU14" t="e">
        <f t="shared" ca="1" si="42"/>
        <v>#N/A</v>
      </c>
      <c r="KV14" t="e">
        <f t="shared" ca="1" si="42"/>
        <v>#N/A</v>
      </c>
      <c r="KW14">
        <f t="shared" ca="1" si="42"/>
        <v>78519.329999999987</v>
      </c>
      <c r="KX14">
        <f t="shared" ca="1" si="42"/>
        <v>78488.069999999992</v>
      </c>
      <c r="KY14">
        <f t="shared" ca="1" si="42"/>
        <v>78157.989999999991</v>
      </c>
      <c r="KZ14">
        <f t="shared" ca="1" si="42"/>
        <v>77976.209999999992</v>
      </c>
      <c r="LA14" t="e">
        <f t="shared" ca="1" si="42"/>
        <v>#N/A</v>
      </c>
      <c r="LB14" t="e">
        <f t="shared" ca="1" si="42"/>
        <v>#N/A</v>
      </c>
      <c r="LC14">
        <f t="shared" ca="1" si="42"/>
        <v>78140.28</v>
      </c>
      <c r="LD14">
        <f t="shared" ca="1" si="42"/>
        <v>78650.309999999983</v>
      </c>
      <c r="LE14">
        <f t="shared" ca="1" si="42"/>
        <v>78768.959999999992</v>
      </c>
      <c r="LF14">
        <f t="shared" ca="1" si="42"/>
        <v>78460.680000000022</v>
      </c>
      <c r="LG14">
        <f t="shared" ca="1" si="42"/>
        <v>78790.75</v>
      </c>
      <c r="LH14" t="e">
        <f t="shared" ca="1" si="42"/>
        <v>#N/A</v>
      </c>
      <c r="LI14" t="e">
        <f t="shared" ca="1" si="42"/>
        <v>#N/A</v>
      </c>
      <c r="LJ14">
        <f t="shared" ca="1" si="42"/>
        <v>78451.05</v>
      </c>
      <c r="LK14">
        <f t="shared" ca="1" si="42"/>
        <v>77820.010000000009</v>
      </c>
      <c r="LL14">
        <f t="shared" ca="1" si="42"/>
        <v>77915.56</v>
      </c>
      <c r="LM14">
        <f t="shared" ca="1" si="42"/>
        <v>77030.479999999981</v>
      </c>
      <c r="LN14">
        <f t="shared" ca="1" si="42"/>
        <v>76469.56</v>
      </c>
      <c r="LO14" t="e">
        <f t="shared" ca="1" si="42"/>
        <v>#N/A</v>
      </c>
      <c r="LP14" t="e">
        <f ca="1">_xlfn.XLOOKUP(LP$10,$G$65:$JG$65,$G$88:$JG$88)</f>
        <v>#N/A</v>
      </c>
      <c r="LQ14">
        <f t="shared" ref="LQ14:MH14" ca="1" si="43">_xlfn.XLOOKUP(LQ$10,$G$65:$JG$65,$G$88:$JG$88)</f>
        <v>76713.399999999994</v>
      </c>
      <c r="LR14">
        <f t="shared" ca="1" si="43"/>
        <v>76717.710000000006</v>
      </c>
      <c r="LS14">
        <f t="shared" ca="1" si="43"/>
        <v>76200.89</v>
      </c>
      <c r="LT14">
        <f t="shared" ca="1" si="43"/>
        <v>75285.429999999993</v>
      </c>
      <c r="LU14">
        <f t="shared" ca="1" si="43"/>
        <v>75262.45</v>
      </c>
      <c r="LV14" t="e">
        <f t="shared" ca="1" si="43"/>
        <v>#N/A</v>
      </c>
      <c r="LW14" t="e">
        <f t="shared" ca="1" si="43"/>
        <v>#N/A</v>
      </c>
      <c r="LX14">
        <f t="shared" ca="1" si="43"/>
        <v>75485.539999999994</v>
      </c>
      <c r="LY14">
        <f t="shared" ca="1" si="43"/>
        <v>74998.00999999998</v>
      </c>
      <c r="LZ14">
        <f t="shared" ca="1" si="43"/>
        <v>73727.87999999999</v>
      </c>
      <c r="MA14">
        <f t="shared" ca="1" si="43"/>
        <v>73600.48000000001</v>
      </c>
      <c r="MB14">
        <f t="shared" ca="1" si="43"/>
        <v>72719.760000000009</v>
      </c>
      <c r="MC14" t="e">
        <f t="shared" ca="1" si="43"/>
        <v>#N/A</v>
      </c>
      <c r="MD14" t="e">
        <f t="shared" ca="1" si="43"/>
        <v>#N/A</v>
      </c>
      <c r="ME14">
        <f t="shared" ca="1" si="43"/>
        <v>73091.86</v>
      </c>
      <c r="MF14">
        <f t="shared" ca="1" si="43"/>
        <v>73029.56</v>
      </c>
      <c r="MG14">
        <f t="shared" ca="1" si="43"/>
        <v>73874.649999999994</v>
      </c>
      <c r="MH14">
        <f t="shared" ca="1" si="43"/>
        <v>73007.060000000012</v>
      </c>
      <c r="MI14">
        <f ca="1">_xlfn.XLOOKUP(MI$10,$G$65:$JG$65,$G$88:$JG$88)</f>
        <v>72878.009999999995</v>
      </c>
      <c r="MJ14" t="e">
        <f t="shared" ref="MJ14:NF14" ca="1" si="44">_xlfn.XLOOKUP(MJ$10,$G$65:$JG$65,$G$88:$JG$88)</f>
        <v>#N/A</v>
      </c>
      <c r="MK14" t="e">
        <f t="shared" ca="1" si="44"/>
        <v>#N/A</v>
      </c>
      <c r="ML14">
        <f t="shared" ca="1" si="44"/>
        <v>73068.5</v>
      </c>
      <c r="MM14">
        <f t="shared" ca="1" si="44"/>
        <v>74094.44</v>
      </c>
      <c r="MN14">
        <f t="shared" ca="1" si="44"/>
        <v>74532.55</v>
      </c>
      <c r="MO14">
        <f t="shared" ca="1" si="44"/>
        <v>75140.44</v>
      </c>
      <c r="MP14" t="e">
        <f t="shared" ca="1" si="44"/>
        <v>#N/A</v>
      </c>
      <c r="MQ14" t="e">
        <f t="shared" ca="1" si="44"/>
        <v>#N/A</v>
      </c>
      <c r="MR14" t="e">
        <f t="shared" ca="1" si="44"/>
        <v>#N/A</v>
      </c>
      <c r="MS14">
        <f t="shared" ca="1" si="44"/>
        <v>75513.05</v>
      </c>
      <c r="MT14">
        <f t="shared" ca="1" si="44"/>
        <v>75016</v>
      </c>
      <c r="MU14">
        <f t="shared" ca="1" si="44"/>
        <v>76841.39</v>
      </c>
      <c r="MV14">
        <f t="shared" ca="1" si="44"/>
        <v>77734.44</v>
      </c>
      <c r="MW14">
        <f t="shared" ca="1" si="44"/>
        <v>77075.459999999992</v>
      </c>
      <c r="MX14" t="e">
        <f t="shared" ca="1" si="44"/>
        <v>#N/A</v>
      </c>
      <c r="MY14" t="e">
        <f t="shared" ca="1" si="44"/>
        <v>#N/A</v>
      </c>
      <c r="MZ14">
        <f t="shared" ca="1" si="44"/>
        <v>77359.31</v>
      </c>
      <c r="NA14">
        <f t="shared" ca="1" si="44"/>
        <v>77305.12000000001</v>
      </c>
      <c r="NB14">
        <f t="shared" ca="1" si="44"/>
        <v>77586.05</v>
      </c>
      <c r="NC14">
        <f t="shared" ca="1" si="44"/>
        <v>78325.16</v>
      </c>
      <c r="ND14">
        <f t="shared" ca="1" si="44"/>
        <v>78898.400000000009</v>
      </c>
      <c r="NE14" t="e">
        <f t="shared" ca="1" si="44"/>
        <v>#N/A</v>
      </c>
      <c r="NF14" t="e">
        <f t="shared" ca="1" si="44"/>
        <v>#N/A</v>
      </c>
      <c r="NG14">
        <f ca="1">_xlfn.XLOOKUP(NG$10,$G$65:$JG$65,$G$88:$JG$88)</f>
        <v>78028.840000000011</v>
      </c>
    </row>
    <row r="15" spans="1:371" ht="15.75" thickBot="1" x14ac:dyDescent="0.3">
      <c r="F15" s="10" t="s">
        <v>12</v>
      </c>
      <c r="G15" s="10">
        <f ca="1">SUM(G11:G14)</f>
        <v>379698.49</v>
      </c>
      <c r="H15" s="10">
        <f t="shared" ref="H15" ca="1" si="45">SUM(H11:H14)</f>
        <v>385933.08999999991</v>
      </c>
      <c r="I15" s="10">
        <f t="shared" ref="I15" ca="1" si="46">SUM(I11:I14)</f>
        <v>388370.51</v>
      </c>
      <c r="J15" s="10">
        <f t="shared" ref="J15" ca="1" si="47">SUM(J11:J14)</f>
        <v>391614.14</v>
      </c>
      <c r="K15" s="10">
        <f t="shared" ref="K15" ca="1" si="48">SUM(K11:K14)</f>
        <v>392073.39</v>
      </c>
      <c r="L15" s="10" t="e">
        <f t="shared" ref="L15" ca="1" si="49">SUM(L11:L14)</f>
        <v>#N/A</v>
      </c>
      <c r="M15" s="10" t="e">
        <f t="shared" ref="M15" ca="1" si="50">SUM(M11:M14)</f>
        <v>#N/A</v>
      </c>
      <c r="N15" s="10">
        <f t="shared" ref="N15" ca="1" si="51">SUM(N11:N14)</f>
        <v>393076.27999999997</v>
      </c>
      <c r="O15" s="10">
        <f t="shared" ref="O15" ca="1" si="52">SUM(O11:O14)</f>
        <v>394955.66000000003</v>
      </c>
      <c r="P15" s="10">
        <f t="shared" ref="P15" ca="1" si="53">SUM(P11:P14)</f>
        <v>395671.92000000004</v>
      </c>
      <c r="Q15" s="10">
        <f t="shared" ref="Q15" ca="1" si="54">SUM(Q11:Q14)</f>
        <v>396061.19000000006</v>
      </c>
      <c r="R15" s="10">
        <f t="shared" ref="R15" ca="1" si="55">SUM(R11:R14)</f>
        <v>399209.93</v>
      </c>
      <c r="S15" s="10" t="e">
        <f t="shared" ref="S15" ca="1" si="56">SUM(S11:S14)</f>
        <v>#N/A</v>
      </c>
      <c r="T15" s="10" t="e">
        <f t="shared" ref="T15" ca="1" si="57">SUM(T11:T14)</f>
        <v>#N/A</v>
      </c>
      <c r="U15" s="10">
        <f t="shared" ref="U15" ca="1" si="58">SUM(U11:U14)</f>
        <v>397766.83999999997</v>
      </c>
      <c r="V15" s="10">
        <f t="shared" ref="V15" ca="1" si="59">SUM(V11:V14)</f>
        <v>396666.74000000005</v>
      </c>
      <c r="W15" s="10">
        <f t="shared" ref="W15" ca="1" si="60">SUM(W11:W14)</f>
        <v>398140.57</v>
      </c>
      <c r="X15" s="10">
        <f t="shared" ref="X15" ca="1" si="61">SUM(X11:X14)</f>
        <v>399128.00000000006</v>
      </c>
      <c r="Y15" s="10">
        <f t="shared" ref="Y15" ca="1" si="62">SUM(Y11:Y14)</f>
        <v>399941.91</v>
      </c>
      <c r="Z15" s="10" t="e">
        <f t="shared" ref="Z15" ca="1" si="63">SUM(Z11:Z14)</f>
        <v>#N/A</v>
      </c>
      <c r="AA15" s="10" t="e">
        <f t="shared" ref="AA15" ca="1" si="64">SUM(AA11:AA14)</f>
        <v>#N/A</v>
      </c>
      <c r="AB15" s="10">
        <f t="shared" ref="AB15" ca="1" si="65">SUM(AB11:AB14)</f>
        <v>403322.6</v>
      </c>
      <c r="AC15" s="10">
        <f t="shared" ref="AC15" ca="1" si="66">SUM(AC11:AC14)</f>
        <v>403770.19999999995</v>
      </c>
      <c r="AD15" s="10">
        <f t="shared" ref="AD15" ca="1" si="67">SUM(AD11:AD14)</f>
        <v>404145.74</v>
      </c>
      <c r="AE15" s="10">
        <f t="shared" ref="AE15" ca="1" si="68">SUM(AE11:AE14)</f>
        <v>407881.10000000003</v>
      </c>
      <c r="AF15" s="10">
        <f t="shared" ref="AF15" ca="1" si="69">SUM(AF11:AF14)</f>
        <v>409925.32</v>
      </c>
      <c r="AG15" s="10" t="e">
        <f t="shared" ref="AG15" ca="1" si="70">SUM(AG11:AG14)</f>
        <v>#N/A</v>
      </c>
      <c r="AH15" s="10" t="e">
        <f t="shared" ref="AH15" ca="1" si="71">SUM(AH11:AH14)</f>
        <v>#N/A</v>
      </c>
      <c r="AI15" s="10" t="e">
        <f t="shared" ref="AI15" ca="1" si="72">SUM(AI11:AI14)</f>
        <v>#N/A</v>
      </c>
      <c r="AJ15" s="10">
        <f t="shared" ref="AJ15" ca="1" si="73">SUM(AJ11:AJ14)</f>
        <v>410555.97000000003</v>
      </c>
      <c r="AK15" s="10">
        <f t="shared" ref="AK15" ca="1" si="74">SUM(AK11:AK14)</f>
        <v>407062.94000000006</v>
      </c>
      <c r="AL15" s="10">
        <f t="shared" ref="AL15" ca="1" si="75">SUM(AL11:AL14)</f>
        <v>406457.45</v>
      </c>
      <c r="AM15" s="10">
        <f t="shared" ref="AM15" ca="1" si="76">SUM(AM11:AM14)</f>
        <v>405771.18</v>
      </c>
      <c r="AN15" s="10" t="e">
        <f t="shared" ref="AN15" ca="1" si="77">SUM(AN11:AN14)</f>
        <v>#N/A</v>
      </c>
      <c r="AO15" s="10" t="e">
        <f t="shared" ref="AO15" ca="1" si="78">SUM(AO11:AO14)</f>
        <v>#N/A</v>
      </c>
      <c r="AP15" s="10" t="e">
        <f t="shared" ref="AP15" ca="1" si="79">SUM(AP11:AP14)</f>
        <v>#N/A</v>
      </c>
      <c r="AQ15" s="10">
        <f t="shared" ref="AQ15" ca="1" si="80">SUM(AQ11:AQ14)</f>
        <v>411631.4</v>
      </c>
      <c r="AR15" s="10">
        <f t="shared" ref="AR15" ca="1" si="81">SUM(AR11:AR14)</f>
        <v>411940.48</v>
      </c>
      <c r="AS15" s="10">
        <f t="shared" ref="AS15" ca="1" si="82">SUM(AS11:AS14)</f>
        <v>411938.61</v>
      </c>
      <c r="AT15" s="10">
        <f t="shared" ref="AT15" ca="1" si="83">SUM(AT11:AT14)</f>
        <v>411966.44999999995</v>
      </c>
      <c r="AU15" s="10" t="e">
        <f t="shared" ref="AU15" ca="1" si="84">SUM(AU11:AU14)</f>
        <v>#N/A</v>
      </c>
      <c r="AV15" s="10" t="e">
        <f t="shared" ref="AV15" ca="1" si="85">SUM(AV11:AV14)</f>
        <v>#N/A</v>
      </c>
      <c r="AW15" s="10">
        <f t="shared" ref="AW15" ca="1" si="86">SUM(AW11:AW14)</f>
        <v>413787.06999999995</v>
      </c>
      <c r="AX15" s="10">
        <f t="shared" ref="AX15" ca="1" si="87">SUM(AX11:AX14)</f>
        <v>414501.32999999996</v>
      </c>
      <c r="AY15" s="10">
        <f t="shared" ref="AY15" ca="1" si="88">SUM(AY11:AY14)</f>
        <v>412474.43999999994</v>
      </c>
      <c r="AZ15" s="10">
        <f t="shared" ref="AZ15" ca="1" si="89">SUM(AZ11:AZ14)</f>
        <v>411853.39999999997</v>
      </c>
      <c r="BA15" s="10">
        <f t="shared" ref="BA15" ca="1" si="90">SUM(BA11:BA14)</f>
        <v>413679.27</v>
      </c>
      <c r="BB15" s="10" t="e">
        <f t="shared" ref="BB15" ca="1" si="91">SUM(BB11:BB14)</f>
        <v>#N/A</v>
      </c>
      <c r="BC15" s="10" t="e">
        <f t="shared" ref="BC15" ca="1" si="92">SUM(BC11:BC14)</f>
        <v>#N/A</v>
      </c>
      <c r="BD15" s="10">
        <f t="shared" ref="BD15" ca="1" si="93">SUM(BD11:BD14)</f>
        <v>413325.85</v>
      </c>
      <c r="BE15" s="10">
        <f t="shared" ref="BE15" ca="1" si="94">SUM(BE11:BE14)</f>
        <v>414205.67000000004</v>
      </c>
      <c r="BF15" s="10">
        <f t="shared" ref="BF15" ca="1" si="95">SUM(BF11:BF14)</f>
        <v>414148.00000000006</v>
      </c>
      <c r="BG15" s="10">
        <f t="shared" ref="BG15" ca="1" si="96">SUM(BG11:BG14)</f>
        <v>415650.95</v>
      </c>
      <c r="BH15" s="10">
        <f t="shared" ref="BH15" ca="1" si="97">SUM(BH11:BH14)</f>
        <v>414037.03</v>
      </c>
      <c r="BI15" s="10" t="e">
        <f t="shared" ref="BI15" ca="1" si="98">SUM(BI11:BI14)</f>
        <v>#N/A</v>
      </c>
      <c r="BJ15" s="10" t="e">
        <f t="shared" ref="BJ15" ca="1" si="99">SUM(BJ11:BJ14)</f>
        <v>#N/A</v>
      </c>
      <c r="BK15" s="10">
        <f t="shared" ref="BK15" ca="1" si="100">SUM(BK11:BK14)</f>
        <v>415076.91</v>
      </c>
      <c r="BL15" s="10">
        <f t="shared" ref="BL15" ca="1" si="101">SUM(BL11:BL14)</f>
        <v>413743.52999999997</v>
      </c>
      <c r="BM15" s="10">
        <f t="shared" ref="BM15" ca="1" si="102">SUM(BM11:BM14)</f>
        <v>413393.93</v>
      </c>
      <c r="BN15" s="10" t="e">
        <f t="shared" ref="BN15" ca="1" si="103">SUM(BN11:BN14)</f>
        <v>#N/A</v>
      </c>
      <c r="BO15" s="10">
        <f t="shared" ref="BO15" ca="1" si="104">SUM(BO11:BO14)</f>
        <v>412592.55000000005</v>
      </c>
      <c r="BP15" s="10" t="e">
        <f t="shared" ref="BP15" ca="1" si="105">SUM(BP11:BP14)</f>
        <v>#N/A</v>
      </c>
      <c r="BQ15" s="10" t="e">
        <f t="shared" ref="BQ15" ca="1" si="106">SUM(BQ11:BQ14)</f>
        <v>#N/A</v>
      </c>
      <c r="BR15" s="10">
        <f t="shared" ref="BR15" ca="1" si="107">SUM(BR11:BR14)</f>
        <v>414977.5400000001</v>
      </c>
      <c r="BS15" s="10">
        <f t="shared" ref="BS15" ca="1" si="108">SUM(BS11:BS14)</f>
        <v>416944.52</v>
      </c>
      <c r="BT15" s="10">
        <f t="shared" ref="BT15" ca="1" si="109">SUM(BT11:BT14)</f>
        <v>414991.29000000004</v>
      </c>
      <c r="BU15" s="10">
        <f t="shared" ref="BU15" ca="1" si="110">SUM(BU11:BU14)</f>
        <v>416288.54</v>
      </c>
      <c r="BV15" s="10">
        <f t="shared" ref="BV15" ca="1" si="111">SUM(BV11:BV14)</f>
        <v>417451.17</v>
      </c>
      <c r="BW15" s="10" t="e">
        <f t="shared" ref="BW15" ca="1" si="112">SUM(BW11:BW14)</f>
        <v>#N/A</v>
      </c>
      <c r="BX15" s="10" t="e">
        <f t="shared" ref="BX15" ca="1" si="113">SUM(BX11:BX14)</f>
        <v>#N/A</v>
      </c>
      <c r="BY15" s="10">
        <f t="shared" ref="BY15" ca="1" si="114">SUM(BY11:BY14)</f>
        <v>418776.72000000003</v>
      </c>
      <c r="BZ15" s="10" t="e">
        <f t="shared" ref="BZ15" ca="1" si="115">SUM(BZ11:BZ14)</f>
        <v>#N/A</v>
      </c>
      <c r="CA15" s="10">
        <f t="shared" ref="CA15" ca="1" si="116">SUM(CA11:CA14)</f>
        <v>418620.48</v>
      </c>
      <c r="CB15" s="10">
        <f t="shared" ref="CB15" ca="1" si="117">SUM(CB11:CB14)</f>
        <v>420847.04000000004</v>
      </c>
      <c r="CC15" s="10" t="e">
        <f t="shared" ref="CC15" ca="1" si="118">SUM(CC11:CC14)</f>
        <v>#N/A</v>
      </c>
      <c r="CD15" s="10" t="e">
        <f t="shared" ref="CD15" ca="1" si="119">SUM(CD11:CD14)</f>
        <v>#N/A</v>
      </c>
      <c r="CE15" s="10" t="e">
        <f t="shared" ref="CE15" ca="1" si="120">SUM(CE11:CE14)</f>
        <v>#N/A</v>
      </c>
      <c r="CF15" s="10">
        <f t="shared" ref="CF15" ca="1" si="121">SUM(CF11:CF14)</f>
        <v>420242.39999999997</v>
      </c>
      <c r="CG15" s="10">
        <f t="shared" ref="CG15" ca="1" si="122">SUM(CG11:CG14)</f>
        <v>419764.42000000004</v>
      </c>
      <c r="CH15" s="10">
        <f t="shared" ref="CH15" ca="1" si="123">SUM(CH11:CH14)</f>
        <v>420707.15</v>
      </c>
      <c r="CI15" s="10">
        <f t="shared" ref="CI15" ca="1" si="124">SUM(CI11:CI14)</f>
        <v>422043.47000000003</v>
      </c>
      <c r="CJ15" s="10">
        <f t="shared" ref="CJ15" ca="1" si="125">SUM(CJ11:CJ14)</f>
        <v>421401.34</v>
      </c>
      <c r="CK15" s="10" t="e">
        <f t="shared" ref="CK15" ca="1" si="126">SUM(CK11:CK14)</f>
        <v>#N/A</v>
      </c>
      <c r="CL15" s="10" t="e">
        <f t="shared" ref="CL15" ca="1" si="127">SUM(CL11:CL14)</f>
        <v>#N/A</v>
      </c>
      <c r="CM15" s="10">
        <f t="shared" ref="CM15" ca="1" si="128">SUM(CM11:CM14)</f>
        <v>422723.44000000006</v>
      </c>
      <c r="CN15" s="10">
        <f t="shared" ref="CN15" ca="1" si="129">SUM(CN11:CN14)</f>
        <v>420986.75</v>
      </c>
      <c r="CO15" s="10">
        <f t="shared" ref="CO15" ca="1" si="130">SUM(CO11:CO14)</f>
        <v>421791.2</v>
      </c>
      <c r="CP15" s="10">
        <f t="shared" ref="CP15" ca="1" si="131">SUM(CP11:CP14)</f>
        <v>424289.16</v>
      </c>
      <c r="CQ15" s="10">
        <f t="shared" ref="CQ15" ca="1" si="132">SUM(CQ11:CQ14)</f>
        <v>424355.22</v>
      </c>
      <c r="CR15" s="10" t="e">
        <f t="shared" ref="CR15" ca="1" si="133">SUM(CR11:CR14)</f>
        <v>#N/A</v>
      </c>
      <c r="CS15" s="10" t="e">
        <f t="shared" ref="CS15" ca="1" si="134">SUM(CS11:CS14)</f>
        <v>#N/A</v>
      </c>
      <c r="CT15" s="10">
        <f t="shared" ref="CT15" ca="1" si="135">SUM(CT11:CT14)</f>
        <v>423588.87</v>
      </c>
      <c r="CU15" s="10">
        <f t="shared" ref="CU15" ca="1" si="136">SUM(CU11:CU14)</f>
        <v>424849.48</v>
      </c>
      <c r="CV15" s="10">
        <f t="shared" ref="CV15" ca="1" si="137">SUM(CV11:CV14)</f>
        <v>426421.91000000003</v>
      </c>
      <c r="CW15" s="10">
        <f t="shared" ref="CW15" ca="1" si="138">SUM(CW11:CW14)</f>
        <v>426597.27</v>
      </c>
      <c r="CX15" s="10">
        <f t="shared" ref="CX15" ca="1" si="139">SUM(CX11:CX14)</f>
        <v>428070.91</v>
      </c>
      <c r="CY15" s="10" t="e">
        <f t="shared" ref="CY15" ca="1" si="140">SUM(CY11:CY14)</f>
        <v>#N/A</v>
      </c>
      <c r="CZ15" s="10" t="e">
        <f t="shared" ref="CZ15" ca="1" si="141">SUM(CZ11:CZ14)</f>
        <v>#N/A</v>
      </c>
      <c r="DA15" s="10">
        <f t="shared" ref="DA15" ca="1" si="142">SUM(DA11:DA14)</f>
        <v>427003.59000000008</v>
      </c>
      <c r="DB15" s="10">
        <f t="shared" ref="DB15" ca="1" si="143">SUM(DB11:DB14)</f>
        <v>428096.20999999996</v>
      </c>
      <c r="DC15" s="10">
        <f t="shared" ref="DC15" ca="1" si="144">SUM(DC11:DC14)</f>
        <v>425868.55999999994</v>
      </c>
      <c r="DD15" s="10">
        <f t="shared" ref="DD15" ca="1" si="145">SUM(DD11:DD14)</f>
        <v>424815.94000000006</v>
      </c>
      <c r="DE15" s="10">
        <f t="shared" ref="DE15" ca="1" si="146">SUM(DE11:DE14)</f>
        <v>421207.41000000003</v>
      </c>
      <c r="DF15" s="10" t="e">
        <f t="shared" ref="DF15" ca="1" si="147">SUM(DF11:DF14)</f>
        <v>#N/A</v>
      </c>
      <c r="DG15" s="10" t="e">
        <f t="shared" ref="DG15" ca="1" si="148">SUM(DG11:DG14)</f>
        <v>#N/A</v>
      </c>
      <c r="DH15" s="10" t="e">
        <f t="shared" ref="DH15" ca="1" si="149">SUM(DH11:DH14)</f>
        <v>#N/A</v>
      </c>
      <c r="DI15" s="10">
        <f t="shared" ref="DI15" ca="1" si="150">SUM(DI11:DI14)</f>
        <v>425770.22</v>
      </c>
      <c r="DJ15" s="10">
        <f t="shared" ref="DJ15" ca="1" si="151">SUM(DJ11:DJ14)</f>
        <v>428878.22000000003</v>
      </c>
      <c r="DK15" s="10">
        <f t="shared" ref="DK15" ca="1" si="152">SUM(DK11:DK14)</f>
        <v>428046.6</v>
      </c>
      <c r="DL15" s="10">
        <f t="shared" ref="DL15" ca="1" si="153">SUM(DL11:DL14)</f>
        <v>428429.24</v>
      </c>
      <c r="DM15" s="10" t="e">
        <f t="shared" ref="DM15" ca="1" si="154">SUM(DM11:DM14)</f>
        <v>#N/A</v>
      </c>
      <c r="DN15" s="10" t="e">
        <f t="shared" ref="DN15" ca="1" si="155">SUM(DN11:DN14)</f>
        <v>#N/A</v>
      </c>
      <c r="DO15" s="10">
        <f t="shared" ref="DO15" ca="1" si="156">SUM(DO11:DO14)</f>
        <v>428676.80999999994</v>
      </c>
      <c r="DP15" s="10">
        <f t="shared" ref="DP15" ca="1" si="157">SUM(DP11:DP14)</f>
        <v>431308.44000000006</v>
      </c>
      <c r="DQ15" s="10">
        <f t="shared" ref="DQ15" ca="1" si="158">SUM(DQ11:DQ14)</f>
        <v>432064.78999999992</v>
      </c>
      <c r="DR15" s="10">
        <f t="shared" ref="DR15" ca="1" si="159">SUM(DR11:DR14)</f>
        <v>433376</v>
      </c>
      <c r="DS15" s="10">
        <f t="shared" ref="DS15" ca="1" si="160">SUM(DS11:DS14)</f>
        <v>433449.56999999989</v>
      </c>
      <c r="DT15" s="10" t="e">
        <f t="shared" ref="DT15" ca="1" si="161">SUM(DT11:DT14)</f>
        <v>#N/A</v>
      </c>
      <c r="DU15" s="10" t="e">
        <f t="shared" ref="DU15" ca="1" si="162">SUM(DU11:DU14)</f>
        <v>#N/A</v>
      </c>
      <c r="DV15" s="10">
        <f t="shared" ref="DV15" ca="1" si="163">SUM(DV11:DV14)</f>
        <v>433478.72999999992</v>
      </c>
      <c r="DW15" s="10">
        <f t="shared" ref="DW15" ca="1" si="164">SUM(DW11:DW14)</f>
        <v>434239.2</v>
      </c>
      <c r="DX15" s="10">
        <f t="shared" ref="DX15" ca="1" si="165">SUM(DX11:DX14)</f>
        <v>434880.99000000005</v>
      </c>
      <c r="DY15" s="10">
        <f t="shared" ref="DY15" ca="1" si="166">SUM(DY11:DY14)</f>
        <v>435797.44000000006</v>
      </c>
      <c r="DZ15" s="10">
        <f t="shared" ref="DZ15" ca="1" si="167">SUM(DZ11:DZ14)</f>
        <v>438288.70999999996</v>
      </c>
      <c r="EA15" s="10" t="e">
        <f t="shared" ref="EA15" ca="1" si="168">SUM(EA11:EA14)</f>
        <v>#N/A</v>
      </c>
      <c r="EB15" s="10" t="e">
        <f t="shared" ref="EB15" ca="1" si="169">SUM(EB11:EB14)</f>
        <v>#N/A</v>
      </c>
      <c r="EC15" s="10">
        <f t="shared" ref="EC15" ca="1" si="170">SUM(EC11:EC14)</f>
        <v>435876.12</v>
      </c>
      <c r="ED15" s="10">
        <f t="shared" ref="ED15" ca="1" si="171">SUM(ED11:ED14)</f>
        <v>437019.57</v>
      </c>
      <c r="EE15" s="10">
        <f t="shared" ref="EE15" ca="1" si="172">SUM(EE11:EE14)</f>
        <v>438372.89</v>
      </c>
      <c r="EF15" s="10">
        <f t="shared" ref="EF15" ca="1" si="173">SUM(EF11:EF14)</f>
        <v>438666.75000000006</v>
      </c>
      <c r="EG15" s="10">
        <f t="shared" ref="EG15" ca="1" si="174">SUM(EG11:EG14)</f>
        <v>439152.80999999994</v>
      </c>
      <c r="EH15" s="10" t="e">
        <f t="shared" ref="EH15" ca="1" si="175">SUM(EH11:EH14)</f>
        <v>#N/A</v>
      </c>
      <c r="EI15" s="10" t="e">
        <f t="shared" ref="EI15" ca="1" si="176">SUM(EI11:EI14)</f>
        <v>#N/A</v>
      </c>
      <c r="EJ15" s="10" t="e">
        <f t="shared" ref="EJ15" ca="1" si="177">SUM(EJ11:EJ14)</f>
        <v>#N/A</v>
      </c>
      <c r="EK15" s="10">
        <f t="shared" ref="EK15" ca="1" si="178">SUM(EK11:EK14)</f>
        <v>439003.3</v>
      </c>
      <c r="EL15" s="10">
        <f t="shared" ref="EL15" ca="1" si="179">SUM(EL11:EL14)</f>
        <v>440449.51</v>
      </c>
      <c r="EM15" s="10">
        <f t="shared" ref="EM15" ca="1" si="180">SUM(EM11:EM14)</f>
        <v>442960.01</v>
      </c>
      <c r="EN15" s="10">
        <f t="shared" ref="EN15" ca="1" si="181">SUM(EN11:EN14)</f>
        <v>442618.26</v>
      </c>
      <c r="EO15" s="10" t="e">
        <f t="shared" ref="EO15" ca="1" si="182">SUM(EO11:EO14)</f>
        <v>#N/A</v>
      </c>
      <c r="EP15" s="10" t="e">
        <f t="shared" ref="EP15" ca="1" si="183">SUM(EP11:EP14)</f>
        <v>#N/A</v>
      </c>
      <c r="EQ15" s="10">
        <f t="shared" ref="EQ15" ca="1" si="184">SUM(EQ11:EQ14)</f>
        <v>441973.02</v>
      </c>
      <c r="ER15" s="10">
        <f t="shared" ref="ER15" ca="1" si="185">SUM(ER11:ER14)</f>
        <v>443638.32</v>
      </c>
      <c r="ES15" s="10">
        <f t="shared" ref="ES15" ca="1" si="186">SUM(ES11:ES14)</f>
        <v>444538.42999999993</v>
      </c>
      <c r="ET15" s="10">
        <f t="shared" ref="ET15" ca="1" si="187">SUM(ET11:ET14)</f>
        <v>447511.69999999995</v>
      </c>
      <c r="EU15" s="10">
        <f t="shared" ref="EU15" ca="1" si="188">SUM(EU11:EU14)</f>
        <v>446486.08999999991</v>
      </c>
      <c r="EV15" s="10" t="e">
        <f t="shared" ref="EV15" ca="1" si="189">SUM(EV11:EV14)</f>
        <v>#N/A</v>
      </c>
      <c r="EW15" s="10" t="e">
        <f t="shared" ref="EW15" ca="1" si="190">SUM(EW11:EW14)</f>
        <v>#N/A</v>
      </c>
      <c r="EX15" s="10">
        <f t="shared" ref="EX15" ca="1" si="191">SUM(EX11:EX14)</f>
        <v>446652.8</v>
      </c>
      <c r="EY15" s="10">
        <f t="shared" ref="EY15" ca="1" si="192">SUM(EY11:EY14)</f>
        <v>445215.85000000003</v>
      </c>
      <c r="EZ15" s="10">
        <f t="shared" ref="EZ15" ca="1" si="193">SUM(EZ11:EZ14)</f>
        <v>445816.62</v>
      </c>
      <c r="FA15" s="10">
        <f t="shared" ref="FA15" ca="1" si="194">SUM(FA11:FA14)</f>
        <v>447950.81000000006</v>
      </c>
      <c r="FB15" s="10">
        <f t="shared" ref="FB15" ca="1" si="195">SUM(FB11:FB14)</f>
        <v>449695.22</v>
      </c>
      <c r="FC15" s="10" t="e">
        <f t="shared" ref="FC15" ca="1" si="196">SUM(FC11:FC14)</f>
        <v>#N/A</v>
      </c>
      <c r="FD15" s="10" t="e">
        <f t="shared" ref="FD15" ca="1" si="197">SUM(FD11:FD14)</f>
        <v>#N/A</v>
      </c>
      <c r="FE15" s="10">
        <f t="shared" ref="FE15" ca="1" si="198">SUM(FE11:FE14)</f>
        <v>449913.24</v>
      </c>
      <c r="FF15" s="10">
        <f t="shared" ref="FF15" ca="1" si="199">SUM(FF11:FF14)</f>
        <v>449953.58999999997</v>
      </c>
      <c r="FG15" s="10">
        <f t="shared" ref="FG15" ca="1" si="200">SUM(FG11:FG14)</f>
        <v>450119.98000000004</v>
      </c>
      <c r="FH15" s="10">
        <f t="shared" ref="FH15" ca="1" si="201">SUM(FH11:FH14)</f>
        <v>449758.05999999994</v>
      </c>
      <c r="FI15" s="10">
        <f t="shared" ref="FI15" ca="1" si="202">SUM(FI11:FI14)</f>
        <v>451166.58999999997</v>
      </c>
      <c r="FJ15" s="10" t="e">
        <f t="shared" ref="FJ15" ca="1" si="203">SUM(FJ11:FJ14)</f>
        <v>#N/A</v>
      </c>
      <c r="FK15" s="10" t="e">
        <f t="shared" ref="FK15" ca="1" si="204">SUM(FK11:FK14)</f>
        <v>#N/A</v>
      </c>
      <c r="FL15" s="10">
        <f t="shared" ref="FL15" ca="1" si="205">SUM(FL11:FL14)</f>
        <v>452100.9</v>
      </c>
      <c r="FM15" s="10">
        <f t="shared" ref="FM15" ca="1" si="206">SUM(FM11:FM14)</f>
        <v>452970.91000000003</v>
      </c>
      <c r="FN15" s="10">
        <f t="shared" ref="FN15" ca="1" si="207">SUM(FN11:FN14)</f>
        <v>454276.1</v>
      </c>
      <c r="FO15" s="10">
        <f t="shared" ref="FO15" ca="1" si="208">SUM(FO11:FO14)</f>
        <v>454723.07000000007</v>
      </c>
      <c r="FP15" s="10">
        <f t="shared" ref="FP15" ca="1" si="209">SUM(FP11:FP14)</f>
        <v>456881.73000000004</v>
      </c>
      <c r="FQ15" s="10" t="e">
        <f t="shared" ref="FQ15" ca="1" si="210">SUM(FQ11:FQ14)</f>
        <v>#N/A</v>
      </c>
      <c r="FR15" s="10" t="e">
        <f t="shared" ref="FR15" ca="1" si="211">SUM(FR11:FR14)</f>
        <v>#N/A</v>
      </c>
      <c r="FS15" s="10">
        <f t="shared" ref="FS15" ca="1" si="212">SUM(FS11:FS14)</f>
        <v>457373.91000000003</v>
      </c>
      <c r="FT15" s="10">
        <f t="shared" ref="FT15" ca="1" si="213">SUM(FT11:FT14)</f>
        <v>456519.39999999997</v>
      </c>
      <c r="FU15" s="10">
        <f t="shared" ref="FU15" ca="1" si="214">SUM(FU11:FU14)</f>
        <v>456536.81</v>
      </c>
      <c r="FV15" s="10">
        <f t="shared" ref="FV15" ca="1" si="215">SUM(FV11:FV14)</f>
        <v>455305.26999999996</v>
      </c>
      <c r="FW15" s="10">
        <f t="shared" ref="FW15" ca="1" si="216">SUM(FW11:FW14)</f>
        <v>450704.48000000004</v>
      </c>
      <c r="FX15" s="10" t="e">
        <f t="shared" ref="FX15" ca="1" si="217">SUM(FX11:FX14)</f>
        <v>#N/A</v>
      </c>
      <c r="FY15" s="10" t="e">
        <f t="shared" ref="FY15" ca="1" si="218">SUM(FY11:FY14)</f>
        <v>#N/A</v>
      </c>
      <c r="FZ15" s="10" t="e">
        <f t="shared" ref="FZ15" ca="1" si="219">SUM(FZ11:FZ14)</f>
        <v>#N/A</v>
      </c>
      <c r="GA15" s="10">
        <f t="shared" ref="GA15" ca="1" si="220">SUM(GA11:GA14)</f>
        <v>455746.75000000006</v>
      </c>
      <c r="GB15" s="10">
        <f t="shared" ref="GB15" ca="1" si="221">SUM(GB11:GB14)</f>
        <v>458370.81</v>
      </c>
      <c r="GC15" s="10">
        <f t="shared" ref="GC15" ca="1" si="222">SUM(GC11:GC14)</f>
        <v>455348.49</v>
      </c>
      <c r="GD15" s="10">
        <f t="shared" ref="GD15" ca="1" si="223">SUM(GD11:GD14)</f>
        <v>454641.72</v>
      </c>
      <c r="GE15" s="10" t="e">
        <f t="shared" ref="GE15" ca="1" si="224">SUM(GE11:GE14)</f>
        <v>#N/A</v>
      </c>
      <c r="GF15" s="10" t="e">
        <f t="shared" ref="GF15" ca="1" si="225">SUM(GF11:GF14)</f>
        <v>#N/A</v>
      </c>
      <c r="GG15" s="10">
        <f t="shared" ref="GG15" ca="1" si="226">SUM(GG11:GG14)</f>
        <v>457509.39</v>
      </c>
      <c r="GH15" s="10">
        <f t="shared" ref="GH15" ca="1" si="227">SUM(GH11:GH14)</f>
        <v>455511.65</v>
      </c>
      <c r="GI15" s="10">
        <f t="shared" ref="GI15" ca="1" si="228">SUM(GI11:GI14)</f>
        <v>456505.43000000005</v>
      </c>
      <c r="GJ15" s="10">
        <f t="shared" ref="GJ15" ca="1" si="229">SUM(GJ11:GJ14)</f>
        <v>458608.94000000006</v>
      </c>
      <c r="GK15" s="10">
        <f t="shared" ref="GK15" ca="1" si="230">SUM(GK11:GK14)</f>
        <v>460655.83000000007</v>
      </c>
      <c r="GL15" s="10" t="e">
        <f t="shared" ref="GL15" ca="1" si="231">SUM(GL11:GL14)</f>
        <v>#N/A</v>
      </c>
      <c r="GM15" s="10" t="e">
        <f t="shared" ref="GM15" ca="1" si="232">SUM(GM11:GM14)</f>
        <v>#N/A</v>
      </c>
      <c r="GN15" s="10">
        <f t="shared" ref="GN15" ca="1" si="233">SUM(GN11:GN14)</f>
        <v>462525.18</v>
      </c>
      <c r="GO15" s="10">
        <f t="shared" ref="GO15" ca="1" si="234">SUM(GO11:GO14)</f>
        <v>463245.17</v>
      </c>
      <c r="GP15" s="10">
        <f t="shared" ref="GP15" ca="1" si="235">SUM(GP11:GP14)</f>
        <v>459381.95</v>
      </c>
      <c r="GQ15" s="10">
        <f t="shared" ref="GQ15" ca="1" si="236">SUM(GQ11:GQ14)</f>
        <v>458413.34000000008</v>
      </c>
      <c r="GR15" s="10">
        <f t="shared" ref="GR15" ca="1" si="237">SUM(GR11:GR14)</f>
        <v>459918.72000000003</v>
      </c>
      <c r="GS15" s="10" t="e">
        <f t="shared" ref="GS15" ca="1" si="238">SUM(GS11:GS14)</f>
        <v>#N/A</v>
      </c>
      <c r="GT15" s="10" t="e">
        <f t="shared" ref="GT15" ca="1" si="239">SUM(GT11:GT14)</f>
        <v>#N/A</v>
      </c>
      <c r="GU15" s="10">
        <f t="shared" ref="GU15" ca="1" si="240">SUM(GU11:GU14)</f>
        <v>460852.91000000003</v>
      </c>
      <c r="GV15" s="10">
        <f t="shared" ref="GV15" ca="1" si="241">SUM(GV11:GV14)</f>
        <v>457538.27</v>
      </c>
      <c r="GW15" s="10">
        <f t="shared" ref="GW15" ca="1" si="242">SUM(GW11:GW14)</f>
        <v>459812.14999999991</v>
      </c>
      <c r="GX15" s="10">
        <f t="shared" ref="GX15" ca="1" si="243">SUM(GX11:GX14)</f>
        <v>458538.80000000005</v>
      </c>
      <c r="GY15" s="10">
        <f t="shared" ref="GY15" ca="1" si="244">SUM(GY11:GY14)</f>
        <v>459880.61</v>
      </c>
      <c r="GZ15" s="10" t="e">
        <f t="shared" ref="GZ15" ca="1" si="245">SUM(GZ11:GZ14)</f>
        <v>#N/A</v>
      </c>
      <c r="HA15" s="10" t="e">
        <f t="shared" ref="HA15" ca="1" si="246">SUM(HA11:HA14)</f>
        <v>#N/A</v>
      </c>
      <c r="HB15" s="10">
        <f t="shared" ref="HB15" ca="1" si="247">SUM(HB11:HB14)</f>
        <v>464217.00000000006</v>
      </c>
      <c r="HC15" s="10">
        <f t="shared" ref="HC15" ca="1" si="248">SUM(HC11:HC14)</f>
        <v>466141.06999999995</v>
      </c>
      <c r="HD15" s="10">
        <f t="shared" ref="HD15" ca="1" si="249">SUM(HD11:HD14)</f>
        <v>470630.5</v>
      </c>
      <c r="HE15" s="10">
        <f t="shared" ref="HE15" ca="1" si="250">SUM(HE11:HE14)</f>
        <v>466052.84</v>
      </c>
      <c r="HF15" s="10">
        <f t="shared" ref="HF15" ca="1" si="251">SUM(HF11:HF14)</f>
        <v>466610.04</v>
      </c>
      <c r="HG15" s="10" t="e">
        <f t="shared" ref="HG15" ca="1" si="252">SUM(HG11:HG14)</f>
        <v>#N/A</v>
      </c>
      <c r="HH15" s="10" t="e">
        <f t="shared" ref="HH15" ca="1" si="253">SUM(HH11:HH14)</f>
        <v>#N/A</v>
      </c>
      <c r="HI15" s="10">
        <f t="shared" ref="HI15" ca="1" si="254">SUM(HI11:HI14)</f>
        <v>464712.05</v>
      </c>
      <c r="HJ15" s="10">
        <f t="shared" ref="HJ15" ca="1" si="255">SUM(HJ11:HJ14)</f>
        <v>463055.97</v>
      </c>
      <c r="HK15" s="10">
        <f t="shared" ref="HK15" ca="1" si="256">SUM(HK11:HK14)</f>
        <v>464317.43</v>
      </c>
      <c r="HL15" s="10">
        <f t="shared" ref="HL15" ca="1" si="257">SUM(HL11:HL14)</f>
        <v>461812.08</v>
      </c>
      <c r="HM15" s="10">
        <f t="shared" ref="HM15" ca="1" si="258">SUM(HM11:HM14)</f>
        <v>465646.33999999997</v>
      </c>
      <c r="HN15" s="10" t="e">
        <f t="shared" ref="HN15" ca="1" si="259">SUM(HN11:HN14)</f>
        <v>#N/A</v>
      </c>
      <c r="HO15" s="10" t="e">
        <f t="shared" ref="HO15" ca="1" si="260">SUM(HO11:HO14)</f>
        <v>#N/A</v>
      </c>
      <c r="HP15" s="10">
        <f t="shared" ref="HP15" ca="1" si="261">SUM(HP11:HP14)</f>
        <v>468492.74</v>
      </c>
      <c r="HQ15" s="10">
        <f t="shared" ref="HQ15" ca="1" si="262">SUM(HQ11:HQ14)</f>
        <v>472885.03</v>
      </c>
      <c r="HR15" s="10">
        <f t="shared" ref="HR15" ca="1" si="263">SUM(HR11:HR14)</f>
        <v>474930.9</v>
      </c>
      <c r="HS15" s="10" t="e">
        <f t="shared" ref="HS15" ca="1" si="264">SUM(HS11:HS14)</f>
        <v>#N/A</v>
      </c>
      <c r="HT15" s="10">
        <f t="shared" ref="HT15" ca="1" si="265">SUM(HT11:HT14)</f>
        <v>476804.42000000004</v>
      </c>
      <c r="HU15" s="10" t="e">
        <f t="shared" ref="HU15" ca="1" si="266">SUM(HU11:HU14)</f>
        <v>#N/A</v>
      </c>
      <c r="HV15" s="10" t="e">
        <f t="shared" ref="HV15" ca="1" si="267">SUM(HV11:HV14)</f>
        <v>#N/A</v>
      </c>
      <c r="HW15" s="10">
        <f t="shared" ref="HW15" ca="1" si="268">SUM(HW11:HW14)</f>
        <v>473993.53</v>
      </c>
      <c r="HX15" s="10">
        <f t="shared" ref="HX15" ca="1" si="269">SUM(HX11:HX14)</f>
        <v>473799.49</v>
      </c>
      <c r="HY15" s="10">
        <f t="shared" ref="HY15" ca="1" si="270">SUM(HY11:HY14)</f>
        <v>474342.97000000009</v>
      </c>
      <c r="HZ15" s="10">
        <f t="shared" ref="HZ15" ca="1" si="271">SUM(HZ11:HZ14)</f>
        <v>476622.08000000007</v>
      </c>
      <c r="IA15" s="10">
        <f t="shared" ref="IA15" ca="1" si="272">SUM(IA11:IA14)</f>
        <v>474638.66000000003</v>
      </c>
      <c r="IB15" s="10" t="e">
        <f t="shared" ref="IB15" ca="1" si="273">SUM(IB11:IB14)</f>
        <v>#N/A</v>
      </c>
      <c r="IC15" s="10" t="e">
        <f t="shared" ref="IC15" ca="1" si="274">SUM(IC11:IC14)</f>
        <v>#N/A</v>
      </c>
      <c r="ID15" s="10">
        <f t="shared" ref="ID15" ca="1" si="275">SUM(ID11:ID14)</f>
        <v>464907</v>
      </c>
      <c r="IE15" s="10">
        <f t="shared" ref="IE15" ca="1" si="276">SUM(IE11:IE14)</f>
        <v>465424.06999999995</v>
      </c>
      <c r="IF15" s="10">
        <f t="shared" ref="IF15" ca="1" si="277">SUM(IF11:IF14)</f>
        <v>467487.43</v>
      </c>
      <c r="IG15" s="10">
        <f t="shared" ref="IG15" ca="1" si="278">SUM(IG11:IG14)</f>
        <v>469936.26000000013</v>
      </c>
      <c r="IH15" s="10">
        <f t="shared" ref="IH15" ca="1" si="279">SUM(IH11:IH14)</f>
        <v>469598.45</v>
      </c>
      <c r="II15" s="10" t="e">
        <f t="shared" ref="II15" ca="1" si="280">SUM(II11:II14)</f>
        <v>#N/A</v>
      </c>
      <c r="IJ15" s="10" t="e">
        <f t="shared" ref="IJ15" ca="1" si="281">SUM(IJ11:IJ14)</f>
        <v>#N/A</v>
      </c>
      <c r="IK15" s="10">
        <f t="shared" ref="IK15" ca="1" si="282">SUM(IK11:IK14)</f>
        <v>470489.05</v>
      </c>
      <c r="IL15" s="10">
        <f t="shared" ref="IL15" ca="1" si="283">SUM(IL11:IL14)</f>
        <v>467734.94</v>
      </c>
      <c r="IM15" s="10">
        <f t="shared" ref="IM15" ca="1" si="284">SUM(IM11:IM14)</f>
        <v>466544.48</v>
      </c>
      <c r="IN15" s="10">
        <f t="shared" ref="IN15" ca="1" si="285">SUM(IN11:IN14)</f>
        <v>468690.75</v>
      </c>
      <c r="IO15" s="10">
        <f t="shared" ref="IO15" ca="1" si="286">SUM(IO11:IO14)</f>
        <v>470704.27</v>
      </c>
      <c r="IP15" s="10" t="e">
        <f t="shared" ref="IP15" ca="1" si="287">SUM(IP11:IP14)</f>
        <v>#N/A</v>
      </c>
      <c r="IQ15" s="10" t="e">
        <f t="shared" ref="IQ15" ca="1" si="288">SUM(IQ11:IQ14)</f>
        <v>#N/A</v>
      </c>
      <c r="IR15" s="10">
        <f t="shared" ref="IR15" ca="1" si="289">SUM(IR11:IR14)</f>
        <v>472519.61</v>
      </c>
      <c r="IS15" s="10">
        <f t="shared" ref="IS15" ca="1" si="290">SUM(IS11:IS14)</f>
        <v>472847.58000000007</v>
      </c>
      <c r="IT15" s="10">
        <f t="shared" ref="IT15" ca="1" si="291">SUM(IT11:IT14)</f>
        <v>473099.4</v>
      </c>
      <c r="IU15" s="10" t="e">
        <f t="shared" ref="IU15" ca="1" si="292">SUM(IU11:IU14)</f>
        <v>#N/A</v>
      </c>
      <c r="IV15" s="10" t="e">
        <f t="shared" ref="IV15" ca="1" si="293">SUM(IV11:IV14)</f>
        <v>#N/A</v>
      </c>
      <c r="IW15" s="10" t="e">
        <f t="shared" ref="IW15" ca="1" si="294">SUM(IW11:IW14)</f>
        <v>#N/A</v>
      </c>
      <c r="IX15" s="10" t="e">
        <f t="shared" ref="IX15" ca="1" si="295">SUM(IX11:IX14)</f>
        <v>#N/A</v>
      </c>
      <c r="IY15" s="10">
        <f t="shared" ref="IY15" ca="1" si="296">SUM(IY11:IY14)</f>
        <v>473031.79000000004</v>
      </c>
      <c r="IZ15" s="10">
        <f t="shared" ref="IZ15" ca="1" si="297">SUM(IZ11:IZ14)</f>
        <v>471828.55999999994</v>
      </c>
      <c r="JA15" s="10">
        <f t="shared" ref="JA15" ca="1" si="298">SUM(JA11:JA14)</f>
        <v>469950.76000000007</v>
      </c>
      <c r="JB15" s="10" t="e">
        <f t="shared" ref="JB15" ca="1" si="299">SUM(JB11:JB14)</f>
        <v>#N/A</v>
      </c>
      <c r="JC15" s="10">
        <f t="shared" ref="JC15" ca="1" si="300">SUM(JC11:JC14)</f>
        <v>472281.36000000004</v>
      </c>
      <c r="JD15" s="10" t="e">
        <f t="shared" ref="JD15" ca="1" si="301">SUM(JD11:JD14)</f>
        <v>#N/A</v>
      </c>
      <c r="JE15" s="10" t="e">
        <f t="shared" ref="JE15" ca="1" si="302">SUM(JE11:JE14)</f>
        <v>#N/A</v>
      </c>
      <c r="JF15" s="10">
        <f t="shared" ref="JF15" ca="1" si="303">SUM(JF11:JF14)</f>
        <v>474624.7</v>
      </c>
      <c r="JG15" s="10">
        <f t="shared" ref="JG15" ca="1" si="304">SUM(JG11:JG14)</f>
        <v>475741.85</v>
      </c>
      <c r="JH15" s="10">
        <f t="shared" ref="JH15" ca="1" si="305">SUM(JH11:JH14)</f>
        <v>473548.65</v>
      </c>
      <c r="JI15" s="10">
        <f t="shared" ref="JI15" ca="1" si="306">SUM(JI11:JI14)</f>
        <v>474973.56</v>
      </c>
      <c r="JJ15" s="10">
        <f t="shared" ref="JJ15" ca="1" si="307">SUM(JJ11:JJ14)</f>
        <v>478460.26</v>
      </c>
      <c r="JK15" s="10" t="e">
        <f t="shared" ref="JK15" ca="1" si="308">SUM(JK11:JK14)</f>
        <v>#N/A</v>
      </c>
      <c r="JL15" s="10" t="e">
        <f t="shared" ref="JL15" ca="1" si="309">SUM(JL11:JL14)</f>
        <v>#N/A</v>
      </c>
      <c r="JM15" s="10">
        <f t="shared" ref="JM15" ca="1" si="310">SUM(JM11:JM14)</f>
        <v>479377.27999999991</v>
      </c>
      <c r="JN15" s="10">
        <f t="shared" ref="JN15" ca="1" si="311">SUM(JN11:JN14)</f>
        <v>479396.66</v>
      </c>
      <c r="JO15" s="10">
        <f t="shared" ref="JO15" ca="1" si="312">SUM(JO11:JO14)</f>
        <v>481301.68</v>
      </c>
      <c r="JP15" s="10">
        <f t="shared" ref="JP15" ca="1" si="313">SUM(JP11:JP14)</f>
        <v>482318.85</v>
      </c>
      <c r="JQ15" s="10">
        <f t="shared" ref="JQ15" ca="1" si="314">SUM(JQ11:JQ14)</f>
        <v>481790.02</v>
      </c>
      <c r="JR15" s="10" t="e">
        <f t="shared" ref="JR15" ca="1" si="315">SUM(JR11:JR14)</f>
        <v>#N/A</v>
      </c>
      <c r="JS15" s="10" t="e">
        <f t="shared" ref="JS15" ca="1" si="316">SUM(JS11:JS14)</f>
        <v>#N/A</v>
      </c>
      <c r="JT15" s="10" t="e">
        <f t="shared" ref="JT15" ca="1" si="317">SUM(JT11:JT14)</f>
        <v>#N/A</v>
      </c>
      <c r="JU15" s="10">
        <f t="shared" ref="JU15" ca="1" si="318">SUM(JU11:JU14)</f>
        <v>475783.63</v>
      </c>
      <c r="JV15" s="10">
        <f t="shared" ref="JV15" ca="1" si="319">SUM(JV11:JV14)</f>
        <v>478565.06999999995</v>
      </c>
      <c r="JW15" s="10">
        <f t="shared" ref="JW15" ca="1" si="320">SUM(JW11:JW14)</f>
        <v>478784</v>
      </c>
      <c r="JX15" s="10">
        <f t="shared" ref="JX15" ca="1" si="321">SUM(JX11:JX14)</f>
        <v>478039.66000000003</v>
      </c>
      <c r="JY15" s="10" t="e">
        <f t="shared" ref="JY15" ca="1" si="322">SUM(JY11:JY14)</f>
        <v>#N/A</v>
      </c>
      <c r="JZ15" s="10" t="e">
        <f t="shared" ref="JZ15" ca="1" si="323">SUM(JZ11:JZ14)</f>
        <v>#N/A</v>
      </c>
      <c r="KA15" s="10">
        <f t="shared" ref="KA15" ca="1" si="324">SUM(KA11:KA14)</f>
        <v>477682.46</v>
      </c>
      <c r="KB15" s="10">
        <f t="shared" ref="KB15" ca="1" si="325">SUM(KB11:KB14)</f>
        <v>477349.16000000003</v>
      </c>
      <c r="KC15" s="10">
        <f t="shared" ref="KC15" ca="1" si="326">SUM(KC11:KC14)</f>
        <v>477435.24</v>
      </c>
      <c r="KD15" s="10">
        <f t="shared" ref="KD15" ca="1" si="327">SUM(KD11:KD14)</f>
        <v>476909.31000000006</v>
      </c>
      <c r="KE15" s="10">
        <f t="shared" ref="KE15" ca="1" si="328">SUM(KE11:KE14)</f>
        <v>473393.10000000009</v>
      </c>
      <c r="KF15" s="10" t="e">
        <f t="shared" ref="KF15" ca="1" si="329">SUM(KF11:KF14)</f>
        <v>#N/A</v>
      </c>
      <c r="KG15" s="10" t="e">
        <f t="shared" ref="KG15" ca="1" si="330">SUM(KG11:KG14)</f>
        <v>#N/A</v>
      </c>
      <c r="KH15" s="10">
        <f t="shared" ref="KH15" ca="1" si="331">SUM(KH11:KH14)</f>
        <v>478322.63</v>
      </c>
      <c r="KI15" s="10">
        <f t="shared" ref="KI15" ca="1" si="332">SUM(KI11:KI14)</f>
        <v>480433.71000000008</v>
      </c>
      <c r="KJ15" s="10">
        <f t="shared" ref="KJ15" ca="1" si="333">SUM(KJ11:KJ14)</f>
        <v>482196.01000000007</v>
      </c>
      <c r="KK15" s="10">
        <f t="shared" ref="KK15" ca="1" si="334">SUM(KK11:KK14)</f>
        <v>479878.31</v>
      </c>
      <c r="KL15" s="10">
        <f t="shared" ref="KL15" ca="1" si="335">SUM(KL11:KL14)</f>
        <v>483964.44999999995</v>
      </c>
      <c r="KM15" s="10" t="e">
        <f t="shared" ref="KM15" ca="1" si="336">SUM(KM11:KM14)</f>
        <v>#N/A</v>
      </c>
      <c r="KN15" s="10" t="e">
        <f t="shared" ref="KN15" ca="1" si="337">SUM(KN11:KN14)</f>
        <v>#N/A</v>
      </c>
      <c r="KO15" s="10">
        <f t="shared" ref="KO15" ca="1" si="338">SUM(KO11:KO14)</f>
        <v>486544.14</v>
      </c>
      <c r="KP15" s="10">
        <f t="shared" ref="KP15" ca="1" si="339">SUM(KP11:KP14)</f>
        <v>487216.8</v>
      </c>
      <c r="KQ15" s="10">
        <f t="shared" ref="KQ15" ca="1" si="340">SUM(KQ11:KQ14)</f>
        <v>486298.12</v>
      </c>
      <c r="KR15" s="10">
        <f t="shared" ref="KR15" ca="1" si="341">SUM(KR11:KR14)</f>
        <v>482630.22</v>
      </c>
      <c r="KS15" s="10">
        <f t="shared" ref="KS15" ca="1" si="342">SUM(KS11:KS14)</f>
        <v>487558.31000000006</v>
      </c>
      <c r="KT15" s="10" t="e">
        <f t="shared" ref="KT15" ca="1" si="343">SUM(KT11:KT14)</f>
        <v>#N/A</v>
      </c>
      <c r="KU15" s="10" t="e">
        <f t="shared" ref="KU15" ca="1" si="344">SUM(KU11:KU14)</f>
        <v>#N/A</v>
      </c>
      <c r="KV15" s="10" t="e">
        <f t="shared" ref="KV15" ca="1" si="345">SUM(KV11:KV14)</f>
        <v>#N/A</v>
      </c>
      <c r="KW15" s="10">
        <f t="shared" ref="KW15" ca="1" si="346">SUM(KW11:KW14)</f>
        <v>486729.18999999994</v>
      </c>
      <c r="KX15" s="10">
        <f t="shared" ref="KX15" ca="1" si="347">SUM(KX11:KX14)</f>
        <v>488890.56</v>
      </c>
      <c r="KY15" s="10">
        <f t="shared" ref="KY15" ca="1" si="348">SUM(KY11:KY14)</f>
        <v>489638.68999999994</v>
      </c>
      <c r="KZ15" s="10">
        <f t="shared" ref="KZ15" ca="1" si="349">SUM(KZ11:KZ14)</f>
        <v>491684.25</v>
      </c>
      <c r="LA15" s="10" t="e">
        <f t="shared" ref="LA15" ca="1" si="350">SUM(LA11:LA14)</f>
        <v>#N/A</v>
      </c>
      <c r="LB15" s="10" t="e">
        <f t="shared" ref="LB15" ca="1" si="351">SUM(LB11:LB14)</f>
        <v>#N/A</v>
      </c>
      <c r="LC15" s="10">
        <f t="shared" ref="LC15" ca="1" si="352">SUM(LC11:LC14)</f>
        <v>491207.51</v>
      </c>
      <c r="LD15" s="10">
        <f t="shared" ref="LD15" ca="1" si="353">SUM(LD11:LD14)</f>
        <v>492434.16</v>
      </c>
      <c r="LE15" s="10">
        <f t="shared" ref="LE15" ca="1" si="354">SUM(LE11:LE14)</f>
        <v>495535.25</v>
      </c>
      <c r="LF15" s="10">
        <f t="shared" ref="LF15" ca="1" si="355">SUM(LF11:LF14)</f>
        <v>497568.64</v>
      </c>
      <c r="LG15" s="10">
        <f t="shared" ref="LG15" ca="1" si="356">SUM(LG11:LG14)</f>
        <v>495293.32</v>
      </c>
      <c r="LH15" s="10" t="e">
        <f t="shared" ref="LH15" ca="1" si="357">SUM(LH11:LH14)</f>
        <v>#N/A</v>
      </c>
      <c r="LI15" s="10" t="e">
        <f t="shared" ref="LI15" ca="1" si="358">SUM(LI11:LI14)</f>
        <v>#N/A</v>
      </c>
      <c r="LJ15" s="10">
        <f t="shared" ref="LJ15" ca="1" si="359">SUM(LJ11:LJ14)</f>
        <v>496972.77999999997</v>
      </c>
      <c r="LK15" s="10">
        <f t="shared" ref="LK15" ca="1" si="360">SUM(LK11:LK14)</f>
        <v>490917.99</v>
      </c>
      <c r="LL15" s="10">
        <f t="shared" ref="LL15" ca="1" si="361">SUM(LL11:LL14)</f>
        <v>492258.08</v>
      </c>
      <c r="LM15" s="10">
        <f t="shared" ref="LM15" ca="1" si="362">SUM(LM11:LM14)</f>
        <v>489411.51</v>
      </c>
      <c r="LN15" s="10">
        <f t="shared" ref="LN15" ca="1" si="363">SUM(LN11:LN14)</f>
        <v>482059.21</v>
      </c>
      <c r="LO15" s="10" t="e">
        <f t="shared" ref="LO15" ca="1" si="364">SUM(LO11:LO14)</f>
        <v>#N/A</v>
      </c>
      <c r="LP15" s="10" t="e">
        <f t="shared" ref="LP15" ca="1" si="365">SUM(LP11:LP14)</f>
        <v>#N/A</v>
      </c>
      <c r="LQ15" s="10">
        <f t="shared" ref="LQ15" ca="1" si="366">SUM(LQ11:LQ14)</f>
        <v>482707.71000000008</v>
      </c>
      <c r="LR15" s="10">
        <f t="shared" ref="LR15" ca="1" si="367">SUM(LR11:LR14)</f>
        <v>483654.54</v>
      </c>
      <c r="LS15" s="10">
        <f t="shared" ref="LS15" ca="1" si="368">SUM(LS11:LS14)</f>
        <v>482364.98</v>
      </c>
      <c r="LT15" s="10">
        <f t="shared" ref="LT15" ca="1" si="369">SUM(LT11:LT14)</f>
        <v>479640.89999999997</v>
      </c>
      <c r="LU15" s="10">
        <f t="shared" ref="LU15" ca="1" si="370">SUM(LU11:LU14)</f>
        <v>479479.61000000004</v>
      </c>
      <c r="LV15" s="10" t="e">
        <f t="shared" ref="LV15" ca="1" si="371">SUM(LV11:LV14)</f>
        <v>#N/A</v>
      </c>
      <c r="LW15" s="10" t="e">
        <f t="shared" ref="LW15" ca="1" si="372">SUM(LW11:LW14)</f>
        <v>#N/A</v>
      </c>
      <c r="LX15" s="10">
        <f t="shared" ref="LX15" ca="1" si="373">SUM(LX11:LX14)</f>
        <v>483683.44</v>
      </c>
      <c r="LY15" s="10">
        <f t="shared" ref="LY15" ca="1" si="374">SUM(LY11:LY14)</f>
        <v>484566.5</v>
      </c>
      <c r="LZ15" s="10">
        <f t="shared" ref="LZ15" ca="1" si="375">SUM(LZ11:LZ14)</f>
        <v>479268.88</v>
      </c>
      <c r="MA15" s="10">
        <f t="shared" ref="MA15" ca="1" si="376">SUM(MA11:MA14)</f>
        <v>474824.48</v>
      </c>
      <c r="MB15" s="10">
        <f t="shared" ref="MB15" ca="1" si="377">SUM(MB11:MB14)</f>
        <v>468519.80000000005</v>
      </c>
      <c r="MC15" s="10" t="e">
        <f t="shared" ref="MC15" ca="1" si="378">SUM(MC11:MC14)</f>
        <v>#N/A</v>
      </c>
      <c r="MD15" s="10" t="e">
        <f t="shared" ref="MD15" ca="1" si="379">SUM(MD11:MD14)</f>
        <v>#N/A</v>
      </c>
      <c r="ME15" s="10">
        <f t="shared" ref="ME15" ca="1" si="380">SUM(ME11:ME14)</f>
        <v>474402.31</v>
      </c>
      <c r="MF15" s="10">
        <f t="shared" ref="MF15" ca="1" si="381">SUM(MF11:MF14)</f>
        <v>475523.00999999995</v>
      </c>
      <c r="MG15" s="10">
        <f t="shared" ref="MG15" ca="1" si="382">SUM(MG11:MG14)</f>
        <v>480734.56999999995</v>
      </c>
      <c r="MH15" s="10">
        <f t="shared" ref="MH15" ca="1" si="383">SUM(MH11:MH14)</f>
        <v>475474.83</v>
      </c>
      <c r="MI15" s="10">
        <f t="shared" ref="MI15" ca="1" si="384">SUM(MI11:MI14)</f>
        <v>473976.67000000004</v>
      </c>
      <c r="MJ15" s="10" t="e">
        <f t="shared" ref="MJ15" ca="1" si="385">SUM(MJ11:MJ14)</f>
        <v>#N/A</v>
      </c>
      <c r="MK15" s="10" t="e">
        <f t="shared" ref="MK15" ca="1" si="386">SUM(MK11:MK14)</f>
        <v>#N/A</v>
      </c>
      <c r="ML15" s="10">
        <f t="shared" ref="ML15" ca="1" si="387">SUM(ML11:ML14)</f>
        <v>474346.7</v>
      </c>
      <c r="MM15" s="10">
        <f t="shared" ref="MM15" ca="1" si="388">SUM(MM11:MM14)</f>
        <v>482893.68</v>
      </c>
      <c r="MN15" s="10">
        <f t="shared" ref="MN15" ca="1" si="389">SUM(MN11:MN14)</f>
        <v>485111.48</v>
      </c>
      <c r="MO15" s="10">
        <f t="shared" ref="MO15" ca="1" si="390">SUM(MO11:MO14)</f>
        <v>487867.82000000012</v>
      </c>
      <c r="MP15" s="10" t="e">
        <f t="shared" ref="MP15" ca="1" si="391">SUM(MP11:MP14)</f>
        <v>#N/A</v>
      </c>
      <c r="MQ15" s="10" t="e">
        <f t="shared" ref="MQ15" ca="1" si="392">SUM(MQ11:MQ14)</f>
        <v>#N/A</v>
      </c>
      <c r="MR15" s="10" t="e">
        <f t="shared" ref="MR15" ca="1" si="393">SUM(MR11:MR14)</f>
        <v>#N/A</v>
      </c>
      <c r="MS15" s="10">
        <f t="shared" ref="MS15" ca="1" si="394">SUM(MS11:MS14)</f>
        <v>489124.22000000003</v>
      </c>
      <c r="MT15" s="10">
        <f t="shared" ref="MT15" ca="1" si="395">SUM(MT11:MT14)</f>
        <v>489242.64</v>
      </c>
      <c r="MU15" s="10">
        <f t="shared" ref="MU15" ca="1" si="396">SUM(MU11:MU14)</f>
        <v>495566.26000000007</v>
      </c>
      <c r="MV15" s="10">
        <f t="shared" ref="MV15" ca="1" si="397">SUM(MV11:MV14)</f>
        <v>496783.99</v>
      </c>
      <c r="MW15" s="10">
        <f t="shared" ref="MW15" ca="1" si="398">SUM(MW11:MW14)</f>
        <v>498380.3899999999</v>
      </c>
      <c r="MX15" s="10" t="e">
        <f t="shared" ref="MX15" ca="1" si="399">SUM(MX11:MX14)</f>
        <v>#N/A</v>
      </c>
      <c r="MY15" s="10" t="e">
        <f t="shared" ref="MY15" ca="1" si="400">SUM(MY11:MY14)</f>
        <v>#N/A</v>
      </c>
      <c r="MZ15" s="10">
        <f t="shared" ref="MZ15" ca="1" si="401">SUM(MZ11:MZ14)</f>
        <v>500762.60000000003</v>
      </c>
      <c r="NA15" s="10">
        <f t="shared" ref="NA15" ca="1" si="402">SUM(NA11:NA14)</f>
        <v>503155.13999999996</v>
      </c>
      <c r="NB15" s="10">
        <f t="shared" ref="NB15" ca="1" si="403">SUM(NB11:NB14)</f>
        <v>505204.86</v>
      </c>
      <c r="NC15" s="10">
        <f t="shared" ref="NC15" ca="1" si="404">SUM(NC11:NC14)</f>
        <v>504384.36</v>
      </c>
      <c r="ND15" s="10">
        <f t="shared" ref="ND15" ca="1" si="405">SUM(ND11:ND14)</f>
        <v>507499.76</v>
      </c>
      <c r="NE15" s="10" t="e">
        <f t="shared" ref="NE15" ca="1" si="406">SUM(NE11:NE14)</f>
        <v>#N/A</v>
      </c>
      <c r="NF15" s="10" t="e">
        <f t="shared" ref="NF15:NG15" ca="1" si="407">SUM(NF11:NF14)</f>
        <v>#N/A</v>
      </c>
      <c r="NG15" s="10">
        <f t="shared" ca="1" si="407"/>
        <v>506311.82</v>
      </c>
    </row>
    <row r="16" spans="1:371" ht="15.75" thickTop="1" x14ac:dyDescent="0.25">
      <c r="G16"/>
      <c r="H16"/>
    </row>
    <row r="17" spans="2:257" x14ac:dyDescent="0.25">
      <c r="G17" cm="1" vm="649">
        <f t="array" aca="1" ref="G17:IW18" ca="1">TRANSPOSE(_xlfn.STOCKHISTORY(D19,TODAY()-365,TODAY(),0,0,0,5))</f>
        <v>45768</v>
      </c>
      <c r="H17" vm="650">
        <f ca="1"/>
        <v>45769</v>
      </c>
      <c r="I17" vm="651">
        <f ca="1"/>
        <v>45770</v>
      </c>
      <c r="J17" vm="652">
        <f ca="1"/>
        <v>45771</v>
      </c>
      <c r="K17" vm="653">
        <f ca="1"/>
        <v>45772</v>
      </c>
      <c r="L17" vm="654">
        <f ca="1"/>
        <v>45775</v>
      </c>
      <c r="M17" vm="655">
        <f ca="1"/>
        <v>45776</v>
      </c>
      <c r="N17" vm="656">
        <f ca="1"/>
        <v>45777</v>
      </c>
      <c r="O17" vm="657">
        <f ca="1"/>
        <v>45778</v>
      </c>
      <c r="P17" vm="658">
        <f ca="1"/>
        <v>45779</v>
      </c>
      <c r="Q17" vm="659">
        <f ca="1"/>
        <v>45782</v>
      </c>
      <c r="R17" vm="660">
        <f ca="1"/>
        <v>45783</v>
      </c>
      <c r="S17" vm="661">
        <f ca="1"/>
        <v>45784</v>
      </c>
      <c r="T17" vm="662">
        <f ca="1"/>
        <v>45785</v>
      </c>
      <c r="U17" vm="663">
        <f ca="1"/>
        <v>45786</v>
      </c>
      <c r="V17" vm="664">
        <f ca="1"/>
        <v>45789</v>
      </c>
      <c r="W17" vm="665">
        <f ca="1"/>
        <v>45790</v>
      </c>
      <c r="X17" vm="666">
        <f ca="1"/>
        <v>45791</v>
      </c>
      <c r="Y17" vm="667">
        <f ca="1"/>
        <v>45792</v>
      </c>
      <c r="Z17" vm="668">
        <f ca="1"/>
        <v>45793</v>
      </c>
      <c r="AA17" vm="669">
        <f ca="1"/>
        <v>45797</v>
      </c>
      <c r="AB17" vm="670">
        <f ca="1"/>
        <v>45798</v>
      </c>
      <c r="AC17" vm="671">
        <f ca="1"/>
        <v>45799</v>
      </c>
      <c r="AD17" vm="672">
        <f ca="1"/>
        <v>45800</v>
      </c>
      <c r="AE17" vm="673">
        <f ca="1"/>
        <v>45803</v>
      </c>
      <c r="AF17" vm="674">
        <f ca="1"/>
        <v>45804</v>
      </c>
      <c r="AG17" vm="675">
        <f ca="1"/>
        <v>45805</v>
      </c>
      <c r="AH17" vm="676">
        <f ca="1"/>
        <v>45806</v>
      </c>
      <c r="AI17" vm="677">
        <f ca="1"/>
        <v>45807</v>
      </c>
      <c r="AJ17" vm="678">
        <f ca="1"/>
        <v>45810</v>
      </c>
      <c r="AK17" vm="679">
        <f ca="1"/>
        <v>45811</v>
      </c>
      <c r="AL17" vm="680">
        <f ca="1"/>
        <v>45812</v>
      </c>
      <c r="AM17" vm="681">
        <f ca="1"/>
        <v>45813</v>
      </c>
      <c r="AN17" vm="682">
        <f ca="1"/>
        <v>45814</v>
      </c>
      <c r="AO17" vm="683">
        <f ca="1"/>
        <v>45817</v>
      </c>
      <c r="AP17" vm="684">
        <f ca="1"/>
        <v>45818</v>
      </c>
      <c r="AQ17" vm="685">
        <f ca="1"/>
        <v>45819</v>
      </c>
      <c r="AR17" vm="686">
        <f ca="1"/>
        <v>45820</v>
      </c>
      <c r="AS17" vm="687">
        <f ca="1"/>
        <v>45821</v>
      </c>
      <c r="AT17" vm="688">
        <f ca="1"/>
        <v>45824</v>
      </c>
      <c r="AU17" vm="689">
        <f ca="1"/>
        <v>45825</v>
      </c>
      <c r="AV17" vm="690">
        <f ca="1"/>
        <v>45826</v>
      </c>
      <c r="AW17" vm="691">
        <f ca="1"/>
        <v>45827</v>
      </c>
      <c r="AX17" vm="692">
        <f ca="1"/>
        <v>45828</v>
      </c>
      <c r="AY17" vm="693">
        <f ca="1"/>
        <v>45831</v>
      </c>
      <c r="AZ17" vm="694">
        <f ca="1"/>
        <v>45832</v>
      </c>
      <c r="BA17" vm="695">
        <f ca="1"/>
        <v>45833</v>
      </c>
      <c r="BB17" vm="696">
        <f ca="1"/>
        <v>45834</v>
      </c>
      <c r="BC17" vm="697">
        <f ca="1"/>
        <v>45835</v>
      </c>
      <c r="BD17" vm="698">
        <f ca="1"/>
        <v>45838</v>
      </c>
      <c r="BE17" vm="699">
        <f ca="1"/>
        <v>45840</v>
      </c>
      <c r="BF17" vm="700">
        <f ca="1"/>
        <v>45841</v>
      </c>
      <c r="BG17" vm="701">
        <f ca="1"/>
        <v>45842</v>
      </c>
      <c r="BH17" vm="702">
        <f ca="1"/>
        <v>45845</v>
      </c>
      <c r="BI17" vm="703">
        <f ca="1"/>
        <v>45846</v>
      </c>
      <c r="BJ17" vm="704">
        <f ca="1"/>
        <v>45847</v>
      </c>
      <c r="BK17" vm="705">
        <f ca="1"/>
        <v>45848</v>
      </c>
      <c r="BL17" vm="706">
        <f ca="1"/>
        <v>45849</v>
      </c>
      <c r="BM17" vm="707">
        <f ca="1"/>
        <v>45852</v>
      </c>
      <c r="BN17" vm="708">
        <f ca="1"/>
        <v>45853</v>
      </c>
      <c r="BO17" vm="709">
        <f ca="1"/>
        <v>45854</v>
      </c>
      <c r="BP17" vm="710">
        <f ca="1"/>
        <v>45855</v>
      </c>
      <c r="BQ17" vm="711">
        <f ca="1"/>
        <v>45856</v>
      </c>
      <c r="BR17" vm="712">
        <f ca="1"/>
        <v>45859</v>
      </c>
      <c r="BS17" vm="713">
        <f ca="1"/>
        <v>45860</v>
      </c>
      <c r="BT17" vm="714">
        <f ca="1"/>
        <v>45861</v>
      </c>
      <c r="BU17" vm="715">
        <f ca="1"/>
        <v>45862</v>
      </c>
      <c r="BV17" vm="716">
        <f ca="1"/>
        <v>45863</v>
      </c>
      <c r="BW17" vm="717">
        <f ca="1"/>
        <v>45866</v>
      </c>
      <c r="BX17" vm="718">
        <f ca="1"/>
        <v>45867</v>
      </c>
      <c r="BY17" vm="719">
        <f ca="1"/>
        <v>45868</v>
      </c>
      <c r="BZ17" vm="720">
        <f ca="1"/>
        <v>45869</v>
      </c>
      <c r="CA17" vm="721">
        <f ca="1"/>
        <v>45870</v>
      </c>
      <c r="CB17" vm="722">
        <f ca="1"/>
        <v>45874</v>
      </c>
      <c r="CC17" vm="723">
        <f ca="1"/>
        <v>45875</v>
      </c>
      <c r="CD17" vm="724">
        <f ca="1"/>
        <v>45876</v>
      </c>
      <c r="CE17" vm="725">
        <f ca="1"/>
        <v>45877</v>
      </c>
      <c r="CF17" vm="726">
        <f ca="1"/>
        <v>45880</v>
      </c>
      <c r="CG17" vm="727">
        <f ca="1"/>
        <v>45881</v>
      </c>
      <c r="CH17" vm="728">
        <f ca="1"/>
        <v>45882</v>
      </c>
      <c r="CI17" vm="729">
        <f ca="1"/>
        <v>45883</v>
      </c>
      <c r="CJ17" vm="730">
        <f ca="1"/>
        <v>45884</v>
      </c>
      <c r="CK17" vm="731">
        <f ca="1"/>
        <v>45887</v>
      </c>
      <c r="CL17" vm="732">
        <f ca="1"/>
        <v>45888</v>
      </c>
      <c r="CM17" vm="733">
        <f ca="1"/>
        <v>45889</v>
      </c>
      <c r="CN17" vm="734">
        <f ca="1"/>
        <v>45890</v>
      </c>
      <c r="CO17" vm="735">
        <f ca="1"/>
        <v>45891</v>
      </c>
      <c r="CP17" vm="736">
        <f ca="1"/>
        <v>45894</v>
      </c>
      <c r="CQ17" vm="737">
        <f ca="1"/>
        <v>45895</v>
      </c>
      <c r="CR17" vm="738">
        <f ca="1"/>
        <v>45896</v>
      </c>
      <c r="CS17" vm="739">
        <f ca="1"/>
        <v>45897</v>
      </c>
      <c r="CT17" vm="740">
        <f ca="1"/>
        <v>45898</v>
      </c>
      <c r="CU17" vm="741">
        <f ca="1"/>
        <v>45902</v>
      </c>
      <c r="CV17" vm="742">
        <f ca="1"/>
        <v>45903</v>
      </c>
      <c r="CW17" vm="743">
        <f ca="1"/>
        <v>45904</v>
      </c>
      <c r="CX17" vm="744">
        <f ca="1"/>
        <v>45905</v>
      </c>
      <c r="CY17" vm="745">
        <f ca="1"/>
        <v>45908</v>
      </c>
      <c r="CZ17" vm="746">
        <f ca="1"/>
        <v>45909</v>
      </c>
      <c r="DA17" vm="747">
        <f ca="1"/>
        <v>45910</v>
      </c>
      <c r="DB17" vm="748">
        <f ca="1"/>
        <v>45911</v>
      </c>
      <c r="DC17" vm="749">
        <f ca="1"/>
        <v>45912</v>
      </c>
      <c r="DD17" vm="750">
        <f ca="1"/>
        <v>45915</v>
      </c>
      <c r="DE17" vm="751">
        <f ca="1"/>
        <v>45916</v>
      </c>
      <c r="DF17" vm="752">
        <f ca="1"/>
        <v>45917</v>
      </c>
      <c r="DG17" vm="753">
        <f ca="1"/>
        <v>45918</v>
      </c>
      <c r="DH17" vm="754">
        <f ca="1"/>
        <v>45919</v>
      </c>
      <c r="DI17" vm="755">
        <f ca="1"/>
        <v>45922</v>
      </c>
      <c r="DJ17" vm="756">
        <f ca="1"/>
        <v>45923</v>
      </c>
      <c r="DK17" vm="757">
        <f ca="1"/>
        <v>45924</v>
      </c>
      <c r="DL17" vm="758">
        <f ca="1"/>
        <v>45925</v>
      </c>
      <c r="DM17" vm="759">
        <f ca="1"/>
        <v>45926</v>
      </c>
      <c r="DN17" vm="760">
        <f ca="1"/>
        <v>45929</v>
      </c>
      <c r="DO17" vm="761">
        <f ca="1"/>
        <v>45930</v>
      </c>
      <c r="DP17" vm="762">
        <f ca="1"/>
        <v>45931</v>
      </c>
      <c r="DQ17" vm="763">
        <f ca="1"/>
        <v>45932</v>
      </c>
      <c r="DR17" vm="764">
        <f ca="1"/>
        <v>45933</v>
      </c>
      <c r="DS17" vm="765">
        <f ca="1"/>
        <v>45936</v>
      </c>
      <c r="DT17" vm="766">
        <f ca="1"/>
        <v>45937</v>
      </c>
      <c r="DU17" vm="767">
        <f ca="1"/>
        <v>45938</v>
      </c>
      <c r="DV17" vm="768">
        <f ca="1"/>
        <v>45939</v>
      </c>
      <c r="DW17" vm="769">
        <f ca="1"/>
        <v>45940</v>
      </c>
      <c r="DX17" vm="770">
        <f ca="1"/>
        <v>45944</v>
      </c>
      <c r="DY17" vm="771">
        <f ca="1"/>
        <v>45945</v>
      </c>
      <c r="DZ17" vm="772">
        <f ca="1"/>
        <v>45946</v>
      </c>
      <c r="EA17" vm="773">
        <f ca="1"/>
        <v>45947</v>
      </c>
      <c r="EB17" vm="774">
        <f ca="1"/>
        <v>45950</v>
      </c>
      <c r="EC17" vm="775">
        <f ca="1"/>
        <v>45951</v>
      </c>
      <c r="ED17" vm="776">
        <f ca="1"/>
        <v>45952</v>
      </c>
      <c r="EE17" vm="777">
        <f ca="1"/>
        <v>45953</v>
      </c>
      <c r="EF17" vm="778">
        <f ca="1"/>
        <v>45954</v>
      </c>
      <c r="EG17" vm="779">
        <f ca="1"/>
        <v>45957</v>
      </c>
      <c r="EH17" vm="780">
        <f ca="1"/>
        <v>45958</v>
      </c>
      <c r="EI17" vm="781">
        <f ca="1"/>
        <v>45959</v>
      </c>
      <c r="EJ17" vm="782">
        <f ca="1"/>
        <v>45960</v>
      </c>
      <c r="EK17" vm="783">
        <f ca="1"/>
        <v>45961</v>
      </c>
      <c r="EL17" vm="784">
        <f ca="1"/>
        <v>45964</v>
      </c>
      <c r="EM17" vm="785">
        <f ca="1"/>
        <v>45965</v>
      </c>
      <c r="EN17" vm="786">
        <f ca="1"/>
        <v>45966</v>
      </c>
      <c r="EO17" vm="787">
        <f ca="1"/>
        <v>45967</v>
      </c>
      <c r="EP17" vm="788">
        <f ca="1"/>
        <v>45968</v>
      </c>
      <c r="EQ17" vm="789">
        <f ca="1"/>
        <v>45971</v>
      </c>
      <c r="ER17" vm="790">
        <f ca="1"/>
        <v>45972</v>
      </c>
      <c r="ES17" vm="791">
        <f ca="1"/>
        <v>45973</v>
      </c>
      <c r="ET17" vm="792">
        <f ca="1"/>
        <v>45974</v>
      </c>
      <c r="EU17" vm="793">
        <f ca="1"/>
        <v>45975</v>
      </c>
      <c r="EV17" vm="794">
        <f ca="1"/>
        <v>45978</v>
      </c>
      <c r="EW17" vm="795">
        <f ca="1"/>
        <v>45979</v>
      </c>
      <c r="EX17" vm="796">
        <f ca="1"/>
        <v>45980</v>
      </c>
      <c r="EY17" vm="797">
        <f ca="1"/>
        <v>45981</v>
      </c>
      <c r="EZ17" vm="798">
        <f ca="1"/>
        <v>45982</v>
      </c>
      <c r="FA17" vm="799">
        <f ca="1"/>
        <v>45985</v>
      </c>
      <c r="FB17" vm="800">
        <f ca="1"/>
        <v>45986</v>
      </c>
      <c r="FC17" vm="801">
        <f ca="1"/>
        <v>45987</v>
      </c>
      <c r="FD17" vm="802">
        <f ca="1"/>
        <v>45988</v>
      </c>
      <c r="FE17" vm="803">
        <f ca="1"/>
        <v>45989</v>
      </c>
      <c r="FF17" vm="804">
        <f ca="1"/>
        <v>45992</v>
      </c>
      <c r="FG17" vm="805">
        <f ca="1"/>
        <v>45993</v>
      </c>
      <c r="FH17" vm="806">
        <f ca="1"/>
        <v>45994</v>
      </c>
      <c r="FI17" vm="807">
        <f ca="1"/>
        <v>45995</v>
      </c>
      <c r="FJ17" vm="808">
        <f ca="1"/>
        <v>45996</v>
      </c>
      <c r="FK17" vm="809">
        <f ca="1"/>
        <v>45999</v>
      </c>
      <c r="FL17" vm="810">
        <f ca="1"/>
        <v>46000</v>
      </c>
      <c r="FM17" vm="811">
        <f ca="1"/>
        <v>46001</v>
      </c>
      <c r="FN17" vm="812">
        <f ca="1"/>
        <v>46002</v>
      </c>
      <c r="FO17" vm="813">
        <f ca="1"/>
        <v>46003</v>
      </c>
      <c r="FP17" vm="814">
        <f ca="1"/>
        <v>46006</v>
      </c>
      <c r="FQ17" vm="815">
        <f ca="1"/>
        <v>46007</v>
      </c>
      <c r="FR17" vm="816">
        <f ca="1"/>
        <v>46008</v>
      </c>
      <c r="FS17" vm="817">
        <f ca="1"/>
        <v>46009</v>
      </c>
      <c r="FT17" vm="818">
        <f ca="1"/>
        <v>46010</v>
      </c>
      <c r="FU17" vm="819">
        <f ca="1"/>
        <v>46013</v>
      </c>
      <c r="FV17" vm="820">
        <f ca="1"/>
        <v>46014</v>
      </c>
      <c r="FW17" vm="821">
        <f ca="1"/>
        <v>46015</v>
      </c>
      <c r="FX17" vm="822">
        <f ca="1"/>
        <v>46020</v>
      </c>
      <c r="FY17" vm="823">
        <f ca="1"/>
        <v>46021</v>
      </c>
      <c r="FZ17" vm="824">
        <f ca="1"/>
        <v>46022</v>
      </c>
      <c r="GA17" vm="825">
        <f ca="1"/>
        <v>46024</v>
      </c>
      <c r="GB17" vm="826">
        <f ca="1"/>
        <v>46027</v>
      </c>
      <c r="GC17" vm="827">
        <f ca="1"/>
        <v>46028</v>
      </c>
      <c r="GD17" vm="828">
        <f ca="1"/>
        <v>46029</v>
      </c>
      <c r="GE17" vm="829">
        <f ca="1"/>
        <v>46030</v>
      </c>
      <c r="GF17" vm="830">
        <f ca="1"/>
        <v>46031</v>
      </c>
      <c r="GG17" vm="831">
        <f ca="1"/>
        <v>46034</v>
      </c>
      <c r="GH17" vm="832">
        <f ca="1"/>
        <v>46035</v>
      </c>
      <c r="GI17" vm="833">
        <f ca="1"/>
        <v>46036</v>
      </c>
      <c r="GJ17" vm="834">
        <f ca="1"/>
        <v>46037</v>
      </c>
      <c r="GK17" vm="835">
        <f ca="1"/>
        <v>46038</v>
      </c>
      <c r="GL17" vm="836">
        <f ca="1"/>
        <v>46041</v>
      </c>
      <c r="GM17" vm="837">
        <f ca="1"/>
        <v>46042</v>
      </c>
      <c r="GN17" vm="838">
        <f ca="1"/>
        <v>46043</v>
      </c>
      <c r="GO17" vm="839">
        <f ca="1"/>
        <v>46044</v>
      </c>
      <c r="GP17" vm="840">
        <f ca="1"/>
        <v>46045</v>
      </c>
      <c r="GQ17" vm="841">
        <f ca="1"/>
        <v>46048</v>
      </c>
      <c r="GR17" vm="842">
        <f ca="1"/>
        <v>46049</v>
      </c>
      <c r="GS17" vm="843">
        <f ca="1"/>
        <v>46050</v>
      </c>
      <c r="GT17" vm="844">
        <f ca="1"/>
        <v>46051</v>
      </c>
      <c r="GU17" vm="845">
        <f ca="1"/>
        <v>46052</v>
      </c>
      <c r="GV17" vm="846">
        <f ca="1"/>
        <v>46055</v>
      </c>
      <c r="GW17" vm="847">
        <f ca="1"/>
        <v>46056</v>
      </c>
      <c r="GX17" vm="848">
        <f ca="1"/>
        <v>46057</v>
      </c>
      <c r="GY17" vm="849">
        <f ca="1"/>
        <v>46058</v>
      </c>
      <c r="GZ17" vm="850">
        <f ca="1"/>
        <v>46059</v>
      </c>
      <c r="HA17" vm="851">
        <f ca="1"/>
        <v>46062</v>
      </c>
      <c r="HB17" vm="852">
        <f ca="1"/>
        <v>46063</v>
      </c>
      <c r="HC17" vm="853">
        <f ca="1"/>
        <v>46064</v>
      </c>
      <c r="HD17" vm="854">
        <f ca="1"/>
        <v>46065</v>
      </c>
      <c r="HE17" vm="855">
        <f ca="1"/>
        <v>46066</v>
      </c>
      <c r="HF17" vm="856">
        <f ca="1"/>
        <v>46070</v>
      </c>
      <c r="HG17" vm="857">
        <f ca="1"/>
        <v>46071</v>
      </c>
      <c r="HH17" vm="858">
        <f ca="1"/>
        <v>46072</v>
      </c>
      <c r="HI17" vm="859">
        <f ca="1"/>
        <v>46073</v>
      </c>
      <c r="HJ17" vm="860">
        <f ca="1"/>
        <v>46076</v>
      </c>
      <c r="HK17" vm="861">
        <f ca="1"/>
        <v>46077</v>
      </c>
      <c r="HL17" vm="862">
        <f ca="1"/>
        <v>46078</v>
      </c>
      <c r="HM17" vm="863">
        <f ca="1"/>
        <v>46079</v>
      </c>
      <c r="HN17" vm="864">
        <f ca="1"/>
        <v>46080</v>
      </c>
      <c r="HO17" vm="865">
        <f ca="1"/>
        <v>46083</v>
      </c>
      <c r="HP17" vm="866">
        <f ca="1"/>
        <v>46084</v>
      </c>
      <c r="HQ17" vm="867">
        <f ca="1"/>
        <v>46085</v>
      </c>
      <c r="HR17" vm="868">
        <f ca="1"/>
        <v>46086</v>
      </c>
      <c r="HS17" vm="869">
        <f ca="1"/>
        <v>46087</v>
      </c>
      <c r="HT17" vm="870">
        <f ca="1"/>
        <v>46090</v>
      </c>
      <c r="HU17" vm="871">
        <f ca="1"/>
        <v>46091</v>
      </c>
      <c r="HV17" vm="872">
        <f ca="1"/>
        <v>46092</v>
      </c>
      <c r="HW17" vm="873">
        <f ca="1"/>
        <v>46093</v>
      </c>
      <c r="HX17" vm="874">
        <f ca="1"/>
        <v>46094</v>
      </c>
      <c r="HY17" vm="875">
        <f ca="1"/>
        <v>46097</v>
      </c>
      <c r="HZ17" vm="876">
        <f ca="1"/>
        <v>46098</v>
      </c>
      <c r="IA17" vm="877">
        <f ca="1"/>
        <v>46099</v>
      </c>
      <c r="IB17" vm="878">
        <f ca="1"/>
        <v>46100</v>
      </c>
      <c r="IC17" vm="879">
        <f ca="1"/>
        <v>46101</v>
      </c>
      <c r="ID17" vm="880">
        <f ca="1"/>
        <v>46104</v>
      </c>
      <c r="IE17" vm="881">
        <f ca="1"/>
        <v>46105</v>
      </c>
      <c r="IF17" vm="882">
        <f ca="1"/>
        <v>46106</v>
      </c>
      <c r="IG17" vm="883">
        <f ca="1"/>
        <v>46107</v>
      </c>
      <c r="IH17" vm="884">
        <f ca="1"/>
        <v>46108</v>
      </c>
      <c r="II17" vm="885">
        <f ca="1"/>
        <v>46111</v>
      </c>
      <c r="IJ17" vm="886">
        <f ca="1"/>
        <v>46112</v>
      </c>
      <c r="IK17" vm="887">
        <f ca="1"/>
        <v>46113</v>
      </c>
      <c r="IL17" vm="888">
        <f ca="1"/>
        <v>46114</v>
      </c>
      <c r="IM17" vm="889">
        <f ca="1"/>
        <v>46118</v>
      </c>
      <c r="IN17" vm="890">
        <f ca="1"/>
        <v>46119</v>
      </c>
      <c r="IO17" vm="891">
        <f ca="1"/>
        <v>46120</v>
      </c>
      <c r="IP17" vm="892">
        <f ca="1"/>
        <v>46121</v>
      </c>
      <c r="IQ17" vm="893">
        <f ca="1"/>
        <v>46122</v>
      </c>
      <c r="IR17" vm="894">
        <f ca="1"/>
        <v>46125</v>
      </c>
      <c r="IS17" vm="895">
        <f ca="1"/>
        <v>46126</v>
      </c>
      <c r="IT17" vm="896">
        <f ca="1"/>
        <v>46127</v>
      </c>
      <c r="IU17" vm="897">
        <f ca="1"/>
        <v>46128</v>
      </c>
      <c r="IV17" vm="898">
        <f ca="1"/>
        <v>46129</v>
      </c>
      <c r="IW17" vm="899">
        <f ca="1"/>
        <v>46132</v>
      </c>
    </row>
    <row r="18" spans="2:257" ht="60" customHeight="1" x14ac:dyDescent="0.25">
      <c r="B18" t="s">
        <v>153</v>
      </c>
      <c r="C18" t="s">
        <v>0</v>
      </c>
      <c r="D18" t="s">
        <v>8</v>
      </c>
      <c r="E18" t="s">
        <v>1</v>
      </c>
      <c r="F18" s="12" t="s">
        <v>197</v>
      </c>
      <c r="G18" s="12" vm="900">
        <f ca="1"/>
        <v>494179</v>
      </c>
      <c r="H18" vm="901">
        <f ca="1"/>
        <v>496331</v>
      </c>
      <c r="I18" vm="902">
        <f ca="1"/>
        <v>701236</v>
      </c>
      <c r="J18" vm="903">
        <f ca="1"/>
        <v>584112</v>
      </c>
      <c r="K18" vm="904">
        <f ca="1"/>
        <v>576152</v>
      </c>
      <c r="L18" vm="905">
        <f ca="1"/>
        <v>724642</v>
      </c>
      <c r="M18" vm="906">
        <f ca="1"/>
        <v>711152</v>
      </c>
      <c r="N18" vm="907">
        <f ca="1"/>
        <v>833264</v>
      </c>
      <c r="O18" vm="908">
        <f ca="1"/>
        <v>972397</v>
      </c>
      <c r="P18" vm="909">
        <f ca="1"/>
        <v>832010</v>
      </c>
      <c r="Q18" vm="910">
        <f ca="1"/>
        <v>1244508</v>
      </c>
      <c r="R18" vm="911">
        <f ca="1"/>
        <v>1411085</v>
      </c>
      <c r="S18" vm="912">
        <f ca="1"/>
        <v>962264</v>
      </c>
      <c r="T18" vm="913">
        <f ca="1"/>
        <v>884113</v>
      </c>
      <c r="U18" vm="914">
        <f ca="1"/>
        <v>1232083</v>
      </c>
      <c r="V18" vm="915">
        <f ca="1"/>
        <v>1103322</v>
      </c>
      <c r="W18" vm="916">
        <f ca="1"/>
        <v>786679</v>
      </c>
      <c r="X18" vm="917">
        <f ca="1"/>
        <v>718767</v>
      </c>
      <c r="Y18" vm="918">
        <f ca="1"/>
        <v>818255</v>
      </c>
      <c r="Z18" vm="919">
        <f ca="1"/>
        <v>770576</v>
      </c>
      <c r="AA18" vm="920">
        <f ca="1"/>
        <v>708480</v>
      </c>
      <c r="AB18" vm="921">
        <f ca="1"/>
        <v>682690</v>
      </c>
      <c r="AC18" vm="922">
        <f ca="1"/>
        <v>1054790</v>
      </c>
      <c r="AD18" vm="923">
        <f ca="1"/>
        <v>380665</v>
      </c>
      <c r="AE18" vm="924">
        <f ca="1"/>
        <v>328977</v>
      </c>
      <c r="AF18" vm="925">
        <f ca="1"/>
        <v>991981</v>
      </c>
      <c r="AG18" vm="926">
        <f ca="1"/>
        <v>830788</v>
      </c>
      <c r="AH18" vm="927">
        <f ca="1"/>
        <v>783195</v>
      </c>
      <c r="AI18" vm="928">
        <f ca="1"/>
        <v>1429155</v>
      </c>
      <c r="AJ18" vm="929">
        <f ca="1"/>
        <v>619720</v>
      </c>
      <c r="AK18" vm="930">
        <f ca="1"/>
        <v>710034</v>
      </c>
      <c r="AL18" vm="931">
        <f ca="1"/>
        <v>844681</v>
      </c>
      <c r="AM18" vm="932">
        <f ca="1"/>
        <v>527398</v>
      </c>
      <c r="AN18" vm="933">
        <f ca="1"/>
        <v>676820</v>
      </c>
      <c r="AO18" vm="934">
        <f ca="1"/>
        <v>678118</v>
      </c>
      <c r="AP18" vm="935">
        <f ca="1"/>
        <v>391500</v>
      </c>
      <c r="AQ18" vm="936">
        <f ca="1"/>
        <v>396358</v>
      </c>
      <c r="AR18" vm="937">
        <f ca="1"/>
        <v>337241</v>
      </c>
      <c r="AS18" vm="938">
        <f ca="1"/>
        <v>523087</v>
      </c>
      <c r="AT18" vm="939">
        <f ca="1"/>
        <v>411193</v>
      </c>
      <c r="AU18" vm="940">
        <f ca="1"/>
        <v>425200</v>
      </c>
      <c r="AV18" vm="941">
        <f ca="1"/>
        <v>505192</v>
      </c>
      <c r="AW18" vm="942">
        <f ca="1"/>
        <v>184970</v>
      </c>
      <c r="AX18" vm="943">
        <f ca="1"/>
        <v>960567</v>
      </c>
      <c r="AY18" vm="944">
        <f ca="1"/>
        <v>814355</v>
      </c>
      <c r="AZ18" vm="945">
        <f ca="1"/>
        <v>423402</v>
      </c>
      <c r="BA18" vm="946">
        <f ca="1"/>
        <v>555009</v>
      </c>
      <c r="BB18" vm="947">
        <f ca="1"/>
        <v>587802</v>
      </c>
      <c r="BC18" vm="948">
        <f ca="1"/>
        <v>758849</v>
      </c>
      <c r="BD18" vm="949">
        <f ca="1"/>
        <v>772510</v>
      </c>
      <c r="BE18" vm="950">
        <f ca="1"/>
        <v>781047</v>
      </c>
      <c r="BF18" vm="951">
        <f ca="1"/>
        <v>293168</v>
      </c>
      <c r="BG18" vm="952">
        <f ca="1"/>
        <v>186489</v>
      </c>
      <c r="BH18" vm="953">
        <f ca="1"/>
        <v>602515</v>
      </c>
      <c r="BI18" vm="954">
        <f ca="1"/>
        <v>661046</v>
      </c>
      <c r="BJ18" vm="955">
        <f ca="1"/>
        <v>330497</v>
      </c>
      <c r="BK18" vm="956">
        <f ca="1"/>
        <v>528624</v>
      </c>
      <c r="BL18" vm="957">
        <f ca="1"/>
        <v>540594</v>
      </c>
      <c r="BM18" vm="958">
        <f ca="1"/>
        <v>388442</v>
      </c>
      <c r="BN18" vm="959">
        <f ca="1"/>
        <v>1030442</v>
      </c>
      <c r="BO18" vm="960">
        <f ca="1"/>
        <v>960107</v>
      </c>
      <c r="BP18" vm="961">
        <f ca="1"/>
        <v>1273715</v>
      </c>
      <c r="BQ18" vm="962">
        <f ca="1"/>
        <v>505217</v>
      </c>
      <c r="BR18" vm="963">
        <f ca="1"/>
        <v>533443</v>
      </c>
      <c r="BS18" vm="964">
        <f ca="1"/>
        <v>683904</v>
      </c>
      <c r="BT18" vm="965">
        <f ca="1"/>
        <v>791240</v>
      </c>
      <c r="BU18" vm="966">
        <f ca="1"/>
        <v>512871</v>
      </c>
      <c r="BV18" vm="967">
        <f ca="1"/>
        <v>383401</v>
      </c>
      <c r="BW18" vm="968">
        <f ca="1"/>
        <v>402370</v>
      </c>
      <c r="BX18" vm="969">
        <f ca="1"/>
        <v>1021221</v>
      </c>
      <c r="BY18" vm="970">
        <f ca="1"/>
        <v>479596</v>
      </c>
      <c r="BZ18" vm="971">
        <f ca="1"/>
        <v>579848</v>
      </c>
      <c r="CA18" vm="972">
        <f ca="1"/>
        <v>688864</v>
      </c>
      <c r="CB18" vm="973">
        <f ca="1"/>
        <v>686763</v>
      </c>
      <c r="CC18" vm="974">
        <f ca="1"/>
        <v>564027</v>
      </c>
      <c r="CD18" vm="975">
        <f ca="1"/>
        <v>481843</v>
      </c>
      <c r="CE18" vm="976">
        <f ca="1"/>
        <v>298216</v>
      </c>
      <c r="CF18" vm="977">
        <f ca="1"/>
        <v>585929</v>
      </c>
      <c r="CG18" vm="978">
        <f ca="1"/>
        <v>346885</v>
      </c>
      <c r="CH18" vm="979">
        <f ca="1"/>
        <v>353703</v>
      </c>
      <c r="CI18" vm="980">
        <f ca="1"/>
        <v>356897</v>
      </c>
      <c r="CJ18" vm="981">
        <f ca="1"/>
        <v>910483</v>
      </c>
      <c r="CK18" vm="982">
        <f ca="1"/>
        <v>306109</v>
      </c>
      <c r="CL18" vm="983">
        <f ca="1"/>
        <v>281893</v>
      </c>
      <c r="CM18" vm="984">
        <f ca="1"/>
        <v>745706</v>
      </c>
      <c r="CN18" vm="985">
        <f ca="1"/>
        <v>559525</v>
      </c>
      <c r="CO18" vm="986">
        <f ca="1"/>
        <v>953278</v>
      </c>
      <c r="CP18" vm="987">
        <f ca="1"/>
        <v>699643</v>
      </c>
      <c r="CQ18" vm="988">
        <f ca="1"/>
        <v>2008771</v>
      </c>
      <c r="CR18" vm="989">
        <f ca="1"/>
        <v>722074</v>
      </c>
      <c r="CS18" vm="990">
        <f ca="1"/>
        <v>453017</v>
      </c>
      <c r="CT18" vm="991">
        <f ca="1"/>
        <v>470646</v>
      </c>
      <c r="CU18" vm="992">
        <f ca="1"/>
        <v>786759</v>
      </c>
      <c r="CV18" vm="993">
        <f ca="1"/>
        <v>560492</v>
      </c>
      <c r="CW18" vm="994">
        <f ca="1"/>
        <v>767553</v>
      </c>
      <c r="CX18" vm="995">
        <f ca="1"/>
        <v>801766</v>
      </c>
      <c r="CY18" vm="996">
        <f ca="1"/>
        <v>440880</v>
      </c>
      <c r="CZ18" vm="997">
        <f ca="1"/>
        <v>590391</v>
      </c>
      <c r="DA18" vm="998">
        <f ca="1"/>
        <v>544400</v>
      </c>
      <c r="DB18" vm="999">
        <f ca="1"/>
        <v>356486</v>
      </c>
      <c r="DC18" vm="1000">
        <f ca="1"/>
        <v>280968</v>
      </c>
      <c r="DD18" vm="1001">
        <f ca="1"/>
        <v>1648461</v>
      </c>
      <c r="DE18" vm="1002">
        <f ca="1"/>
        <v>673329</v>
      </c>
      <c r="DF18" vm="1003">
        <f ca="1"/>
        <v>2010998</v>
      </c>
      <c r="DG18" vm="1004">
        <f ca="1"/>
        <v>390605</v>
      </c>
      <c r="DH18" vm="1005">
        <f ca="1"/>
        <v>4960739</v>
      </c>
      <c r="DI18" vm="1006">
        <f ca="1"/>
        <v>2888234</v>
      </c>
      <c r="DJ18" vm="1007">
        <f ca="1"/>
        <v>471809</v>
      </c>
      <c r="DK18" vm="1008">
        <f ca="1"/>
        <v>720001</v>
      </c>
      <c r="DL18" vm="1009">
        <f ca="1"/>
        <v>943814</v>
      </c>
      <c r="DM18" vm="1010">
        <f ca="1"/>
        <v>613771</v>
      </c>
      <c r="DN18" vm="1011">
        <f ca="1"/>
        <v>419782</v>
      </c>
      <c r="DO18" vm="1012">
        <f ca="1"/>
        <v>575738</v>
      </c>
      <c r="DP18" vm="1013">
        <f ca="1"/>
        <v>505359</v>
      </c>
      <c r="DQ18" vm="1014">
        <f ca="1"/>
        <v>761458</v>
      </c>
      <c r="DR18" vm="1015">
        <f ca="1"/>
        <v>590833</v>
      </c>
      <c r="DS18" vm="1016">
        <f ca="1"/>
        <v>452507</v>
      </c>
      <c r="DT18" vm="1017">
        <f ca="1"/>
        <v>513286</v>
      </c>
      <c r="DU18" vm="1018">
        <f ca="1"/>
        <v>688325</v>
      </c>
      <c r="DV18" vm="1019">
        <f ca="1"/>
        <v>414009</v>
      </c>
      <c r="DW18" vm="1020">
        <f ca="1"/>
        <v>537303</v>
      </c>
      <c r="DX18" vm="1021">
        <f ca="1"/>
        <v>495449</v>
      </c>
      <c r="DY18" vm="1022">
        <f ca="1"/>
        <v>422813</v>
      </c>
      <c r="DZ18" vm="1023">
        <f ca="1"/>
        <v>446255</v>
      </c>
      <c r="EA18" vm="1024">
        <f ca="1"/>
        <v>883926</v>
      </c>
      <c r="EB18" vm="1025">
        <f ca="1"/>
        <v>757374</v>
      </c>
      <c r="EC18" vm="1026">
        <f ca="1"/>
        <v>791027</v>
      </c>
      <c r="ED18" vm="1027">
        <f ca="1"/>
        <v>768352</v>
      </c>
      <c r="EE18" vm="1028">
        <f ca="1"/>
        <v>1102010</v>
      </c>
      <c r="EF18" vm="1029">
        <f ca="1"/>
        <v>944018</v>
      </c>
      <c r="EG18" vm="1030">
        <f ca="1"/>
        <v>2468755</v>
      </c>
      <c r="EH18" vm="1031">
        <f ca="1"/>
        <v>252842</v>
      </c>
      <c r="EI18" vm="1032">
        <f ca="1"/>
        <v>815873</v>
      </c>
      <c r="EJ18" vm="1033">
        <f ca="1"/>
        <v>1073667</v>
      </c>
      <c r="EK18" vm="1034">
        <f ca="1"/>
        <v>744732</v>
      </c>
      <c r="EL18" vm="1035">
        <f ca="1"/>
        <v>500832</v>
      </c>
      <c r="EM18" vm="1036">
        <f ca="1"/>
        <v>1871850</v>
      </c>
      <c r="EN18" vm="1037">
        <f ca="1"/>
        <v>961672</v>
      </c>
      <c r="EO18" vm="1038">
        <f ca="1"/>
        <v>1629365</v>
      </c>
      <c r="EP18" vm="1039">
        <f ca="1"/>
        <v>949864</v>
      </c>
      <c r="EQ18" vm="1040">
        <f ca="1"/>
        <v>525653</v>
      </c>
      <c r="ER18" vm="1041">
        <f ca="1"/>
        <v>663502</v>
      </c>
      <c r="ES18" vm="1042">
        <f ca="1"/>
        <v>872904</v>
      </c>
      <c r="ET18" vm="1043">
        <f ca="1"/>
        <v>874466</v>
      </c>
      <c r="EU18" vm="1044">
        <f ca="1"/>
        <v>2062747</v>
      </c>
      <c r="EV18" vm="1045">
        <f ca="1"/>
        <v>755266</v>
      </c>
      <c r="EW18" vm="1046">
        <f ca="1"/>
        <v>817541</v>
      </c>
      <c r="EX18" vm="1047">
        <f ca="1"/>
        <v>434237</v>
      </c>
      <c r="EY18" vm="1048">
        <f ca="1"/>
        <v>514177</v>
      </c>
      <c r="EZ18" vm="1049">
        <f ca="1"/>
        <v>488182</v>
      </c>
      <c r="FA18" vm="1050">
        <f ca="1"/>
        <v>2073975</v>
      </c>
      <c r="FB18" vm="1051">
        <f ca="1"/>
        <v>1038709</v>
      </c>
      <c r="FC18" vm="1052">
        <f ca="1"/>
        <v>654135</v>
      </c>
      <c r="FD18" vm="1053">
        <f ca="1"/>
        <v>204415</v>
      </c>
      <c r="FE18" vm="1054">
        <f ca="1"/>
        <v>1249984</v>
      </c>
      <c r="FF18" vm="1055">
        <f ca="1"/>
        <v>635883</v>
      </c>
      <c r="FG18" vm="1056">
        <f ca="1"/>
        <v>709710</v>
      </c>
      <c r="FH18" vm="1057">
        <f ca="1"/>
        <v>494721</v>
      </c>
      <c r="FI18" vm="1058">
        <f ca="1"/>
        <v>898754</v>
      </c>
      <c r="FJ18" vm="1059">
        <f ca="1"/>
        <v>854647</v>
      </c>
      <c r="FK18" vm="1060">
        <f ca="1"/>
        <v>1040193</v>
      </c>
      <c r="FL18" vm="1061">
        <f ca="1"/>
        <v>554154</v>
      </c>
      <c r="FM18" vm="1062">
        <f ca="1"/>
        <v>570587</v>
      </c>
      <c r="FN18" vm="1063">
        <f ca="1"/>
        <v>607483</v>
      </c>
      <c r="FO18" vm="1064">
        <f ca="1"/>
        <v>2741002</v>
      </c>
      <c r="FP18" vm="1065">
        <f ca="1"/>
        <v>3463476</v>
      </c>
      <c r="FQ18" vm="1066">
        <f ca="1"/>
        <v>1011531</v>
      </c>
      <c r="FR18" vm="1067">
        <f ca="1"/>
        <v>3455212</v>
      </c>
      <c r="FS18" vm="1068">
        <f ca="1"/>
        <v>814153</v>
      </c>
      <c r="FT18" vm="1069">
        <f ca="1"/>
        <v>1934389</v>
      </c>
      <c r="FU18" vm="1070">
        <f ca="1"/>
        <v>3164661</v>
      </c>
      <c r="FV18" vm="1071">
        <f ca="1"/>
        <v>531319</v>
      </c>
      <c r="FW18" vm="1072">
        <f ca="1"/>
        <v>195959</v>
      </c>
      <c r="FX18" vm="1073">
        <f ca="1"/>
        <v>608064</v>
      </c>
      <c r="FY18" vm="1074">
        <f ca="1"/>
        <v>537941</v>
      </c>
      <c r="FZ18" vm="1075">
        <f ca="1"/>
        <v>333889</v>
      </c>
      <c r="GA18" vm="1076">
        <f ca="1"/>
        <v>391092</v>
      </c>
      <c r="GB18" vm="1077">
        <f ca="1"/>
        <v>644398</v>
      </c>
      <c r="GC18" vm="1078">
        <f ca="1"/>
        <v>933424</v>
      </c>
      <c r="GD18" vm="1079">
        <f ca="1"/>
        <v>897719</v>
      </c>
      <c r="GE18" vm="1080">
        <f ca="1"/>
        <v>1118228</v>
      </c>
      <c r="GF18" vm="1081">
        <f ca="1"/>
        <v>492756</v>
      </c>
      <c r="GG18" vm="1082">
        <f ca="1"/>
        <v>619451</v>
      </c>
      <c r="GH18" vm="1083">
        <f ca="1"/>
        <v>599490</v>
      </c>
      <c r="GI18" vm="1084">
        <f ca="1"/>
        <v>384468</v>
      </c>
      <c r="GJ18" vm="1085">
        <f ca="1"/>
        <v>462767</v>
      </c>
      <c r="GK18" vm="1086">
        <f ca="1"/>
        <v>577227</v>
      </c>
      <c r="GL18" vm="1087">
        <f ca="1"/>
        <v>290588</v>
      </c>
      <c r="GM18" vm="1088">
        <f ca="1"/>
        <v>610691</v>
      </c>
      <c r="GN18" vm="1089">
        <f ca="1"/>
        <v>509321</v>
      </c>
      <c r="GO18" vm="1090">
        <f ca="1"/>
        <v>765872</v>
      </c>
      <c r="GP18" vm="1091">
        <f ca="1"/>
        <v>695540</v>
      </c>
      <c r="GQ18" vm="1092">
        <f ca="1"/>
        <v>759303</v>
      </c>
      <c r="GR18" vm="1093">
        <f ca="1"/>
        <v>948915</v>
      </c>
      <c r="GS18" vm="1094">
        <f ca="1"/>
        <v>523896</v>
      </c>
      <c r="GT18" vm="1095">
        <f ca="1"/>
        <v>1606735</v>
      </c>
      <c r="GU18" vm="1096">
        <f ca="1"/>
        <v>735878</v>
      </c>
      <c r="GV18" vm="1097">
        <f ca="1"/>
        <v>675839</v>
      </c>
      <c r="GW18" vm="1098">
        <f ca="1"/>
        <v>517599</v>
      </c>
      <c r="GX18" vm="1099">
        <f ca="1"/>
        <v>724908</v>
      </c>
      <c r="GY18" vm="1100">
        <f ca="1"/>
        <v>852830</v>
      </c>
      <c r="GZ18" vm="1101">
        <f ca="1"/>
        <v>830105</v>
      </c>
      <c r="HA18" vm="1102">
        <f ca="1"/>
        <v>417615</v>
      </c>
      <c r="HB18" vm="1103">
        <f ca="1"/>
        <v>584410</v>
      </c>
      <c r="HC18" vm="1104">
        <f ca="1"/>
        <v>1101626</v>
      </c>
      <c r="HD18" vm="1105">
        <f ca="1"/>
        <v>1583863</v>
      </c>
      <c r="HE18" vm="1106">
        <f ca="1"/>
        <v>830359</v>
      </c>
      <c r="HF18" vm="1107">
        <f ca="1"/>
        <v>886307</v>
      </c>
      <c r="HG18" vm="1108">
        <f ca="1"/>
        <v>645110</v>
      </c>
      <c r="HH18" vm="1109">
        <f ca="1"/>
        <v>401440</v>
      </c>
      <c r="HI18" vm="1110">
        <f ca="1"/>
        <v>519395</v>
      </c>
      <c r="HJ18" vm="1111">
        <f ca="1"/>
        <v>545182</v>
      </c>
      <c r="HK18" vm="1112">
        <f ca="1"/>
        <v>1033932</v>
      </c>
      <c r="HL18" vm="1113">
        <f ca="1"/>
        <v>664111</v>
      </c>
      <c r="HM18" vm="1114">
        <f ca="1"/>
        <v>671164</v>
      </c>
      <c r="HN18" vm="1115">
        <f ca="1"/>
        <v>2198288</v>
      </c>
      <c r="HO18" vm="1116">
        <f ca="1"/>
        <v>1159695</v>
      </c>
      <c r="HP18" vm="1117">
        <f ca="1"/>
        <v>1139405</v>
      </c>
      <c r="HQ18" vm="1118">
        <f ca="1"/>
        <v>1001865</v>
      </c>
      <c r="HR18" vm="1119">
        <f ca="1"/>
        <v>849914</v>
      </c>
      <c r="HS18" vm="1120">
        <f ca="1"/>
        <v>1468141</v>
      </c>
      <c r="HT18" vm="1121">
        <f ca="1"/>
        <v>5555077</v>
      </c>
      <c r="HU18" vm="1122">
        <f ca="1"/>
        <v>911254</v>
      </c>
      <c r="HV18" vm="1123">
        <f ca="1"/>
        <v>2205461</v>
      </c>
      <c r="HW18" vm="1124">
        <f ca="1"/>
        <v>1097022</v>
      </c>
      <c r="HX18" vm="1125">
        <f ca="1"/>
        <v>894096</v>
      </c>
      <c r="HY18" vm="1126">
        <f ca="1"/>
        <v>5208842</v>
      </c>
      <c r="HZ18" vm="1127">
        <f ca="1"/>
        <v>568375</v>
      </c>
      <c r="IA18" vm="1128">
        <f ca="1"/>
        <v>613912</v>
      </c>
      <c r="IB18" vm="1129">
        <f ca="1"/>
        <v>2642443</v>
      </c>
      <c r="IC18" vm="1130">
        <f ca="1"/>
        <v>1772918</v>
      </c>
      <c r="ID18" vm="1131">
        <f ca="1"/>
        <v>904693</v>
      </c>
      <c r="IE18" vm="1132">
        <f ca="1"/>
        <v>566704</v>
      </c>
      <c r="IF18" vm="1133">
        <f ca="1"/>
        <v>893134</v>
      </c>
      <c r="IG18" vm="1134">
        <f ca="1"/>
        <v>1005166</v>
      </c>
      <c r="IH18" vm="1135">
        <f ca="1"/>
        <v>1045820</v>
      </c>
      <c r="II18" vm="1136">
        <f ca="1"/>
        <v>744296</v>
      </c>
      <c r="IJ18" vm="1137">
        <f ca="1"/>
        <v>1199470</v>
      </c>
      <c r="IK18" vm="1138">
        <f ca="1"/>
        <v>854762</v>
      </c>
      <c r="IL18" vm="1139">
        <f ca="1"/>
        <v>1193966</v>
      </c>
      <c r="IM18" vm="1140">
        <f ca="1"/>
        <v>1193928</v>
      </c>
      <c r="IN18" vm="1141">
        <f ca="1"/>
        <v>1340767</v>
      </c>
      <c r="IO18" vm="1142">
        <f ca="1"/>
        <v>1164842</v>
      </c>
      <c r="IP18" vm="1143">
        <f ca="1"/>
        <v>798201</v>
      </c>
      <c r="IQ18" vm="1144">
        <f ca="1"/>
        <v>533634</v>
      </c>
      <c r="IR18" vm="1145">
        <f ca="1"/>
        <v>612476</v>
      </c>
      <c r="IS18" vm="1146">
        <f ca="1"/>
        <v>1010654</v>
      </c>
      <c r="IT18" vm="1147">
        <f ca="1"/>
        <v>858591</v>
      </c>
      <c r="IU18" vm="1148">
        <f ca="1"/>
        <v>1533069</v>
      </c>
      <c r="IV18" vm="1149">
        <f ca="1"/>
        <v>1193255</v>
      </c>
      <c r="IW18" vm="1150">
        <f ca="1"/>
        <v>649686</v>
      </c>
    </row>
    <row r="19" spans="2:257" x14ac:dyDescent="0.25">
      <c r="B19" t="str">
        <f t="shared" ref="B19:B49" si="408">IF(C19="","",_xlfn.XLOOKUP(C19,Type_Compte,Num_Compte))</f>
        <v>20K6HZ6</v>
      </c>
      <c r="C19" t="s">
        <v>160</v>
      </c>
      <c r="D19" t="e" vm="510">
        <v>#VALUE!</v>
      </c>
      <c r="E19" t="str" cm="1">
        <f t="array" aca="1" ref="E19" ca="1">_FV(D19,"Code mnémonique",TRUE)</f>
        <v>ALA</v>
      </c>
      <c r="F19" s="12">
        <f>_xlfn.XLOOKUP(D19,Titres[Action],Titres[Nb d''actions])</f>
        <v>90</v>
      </c>
      <c r="G19" cm="1">
        <f t="array" aca="1" ref="G19:IW19" ca="1">IFERROR(TRANSPOSE(_xlfn.STOCKHISTORY(D19,TODAY()-365,TODAY(),0,0,1))*F19,"")</f>
        <v>3553.2</v>
      </c>
      <c r="H19">
        <f ca="1"/>
        <v>3570.3</v>
      </c>
      <c r="I19">
        <f ca="1"/>
        <v>3577.5</v>
      </c>
      <c r="J19">
        <f ca="1"/>
        <v>3593.7</v>
      </c>
      <c r="K19">
        <f ca="1"/>
        <v>3602.7000000000003</v>
      </c>
      <c r="L19">
        <f ca="1"/>
        <v>3636.8999999999996</v>
      </c>
      <c r="M19">
        <f ca="1"/>
        <v>3662.1</v>
      </c>
      <c r="N19">
        <f ca="1"/>
        <v>3671.9999999999995</v>
      </c>
      <c r="O19">
        <f ca="1"/>
        <v>3619.7999999999997</v>
      </c>
      <c r="P19">
        <f ca="1"/>
        <v>3618.0000000000005</v>
      </c>
      <c r="Q19">
        <f ca="1"/>
        <v>3509.1000000000004</v>
      </c>
      <c r="R19">
        <f ca="1"/>
        <v>3486.6000000000004</v>
      </c>
      <c r="S19">
        <f ca="1"/>
        <v>3504.6</v>
      </c>
      <c r="T19">
        <f ca="1"/>
        <v>3486.6000000000004</v>
      </c>
      <c r="U19">
        <f ca="1"/>
        <v>3416.4</v>
      </c>
      <c r="V19">
        <f ca="1"/>
        <v>3371.4</v>
      </c>
      <c r="W19">
        <f ca="1"/>
        <v>3373.2</v>
      </c>
      <c r="X19">
        <f ca="1"/>
        <v>3378.6</v>
      </c>
      <c r="Y19">
        <f ca="1"/>
        <v>3356.1</v>
      </c>
      <c r="Z19">
        <f ca="1"/>
        <v>3354.3</v>
      </c>
      <c r="AA19">
        <f ca="1"/>
        <v>3375.8999999999996</v>
      </c>
      <c r="AB19">
        <f ca="1"/>
        <v>3423.6</v>
      </c>
      <c r="AC19">
        <f ca="1"/>
        <v>3386.7000000000003</v>
      </c>
      <c r="AD19">
        <f ca="1"/>
        <v>3411.8999999999996</v>
      </c>
      <c r="AE19">
        <f ca="1"/>
        <v>3421.8</v>
      </c>
      <c r="AF19">
        <f ca="1"/>
        <v>3461.4</v>
      </c>
      <c r="AG19">
        <f ca="1"/>
        <v>3415.5000000000005</v>
      </c>
      <c r="AH19">
        <f ca="1"/>
        <v>3461.4</v>
      </c>
      <c r="AI19">
        <f ca="1"/>
        <v>3450.6000000000004</v>
      </c>
      <c r="AJ19">
        <f ca="1"/>
        <v>3466.8</v>
      </c>
      <c r="AK19">
        <f ca="1"/>
        <v>3496.5</v>
      </c>
      <c r="AL19">
        <f ca="1"/>
        <v>3458.7</v>
      </c>
      <c r="AM19">
        <f ca="1"/>
        <v>3443.3999999999996</v>
      </c>
      <c r="AN19">
        <f ca="1"/>
        <v>3431.7000000000003</v>
      </c>
      <c r="AO19">
        <f ca="1"/>
        <v>3442.5</v>
      </c>
      <c r="AP19">
        <f ca="1"/>
        <v>3449.7</v>
      </c>
      <c r="AQ19">
        <f ca="1"/>
        <v>3479.3999999999996</v>
      </c>
      <c r="AR19">
        <f ca="1"/>
        <v>3491.9999999999995</v>
      </c>
      <c r="AS19">
        <f ca="1"/>
        <v>3486.6000000000004</v>
      </c>
      <c r="AT19">
        <f ca="1"/>
        <v>3453.2999999999997</v>
      </c>
      <c r="AU19">
        <f ca="1"/>
        <v>3481.2</v>
      </c>
      <c r="AV19">
        <f ca="1"/>
        <v>3447.9</v>
      </c>
      <c r="AW19">
        <f ca="1"/>
        <v>3442.5</v>
      </c>
      <c r="AX19">
        <f ca="1"/>
        <v>3462.2999999999997</v>
      </c>
      <c r="AY19">
        <f ca="1"/>
        <v>3461.4</v>
      </c>
      <c r="AZ19">
        <f ca="1"/>
        <v>3448.8</v>
      </c>
      <c r="BA19">
        <f ca="1"/>
        <v>3443.3999999999996</v>
      </c>
      <c r="BB19">
        <f ca="1"/>
        <v>3454.2000000000003</v>
      </c>
      <c r="BC19">
        <f ca="1"/>
        <v>3473.1000000000004</v>
      </c>
      <c r="BD19">
        <f ca="1"/>
        <v>3557.7000000000003</v>
      </c>
      <c r="BE19">
        <f ca="1"/>
        <v>3505.5000000000005</v>
      </c>
      <c r="BF19">
        <f ca="1"/>
        <v>3455.1</v>
      </c>
      <c r="BG19">
        <f ca="1"/>
        <v>3457.8</v>
      </c>
      <c r="BH19">
        <f ca="1"/>
        <v>3456.8999999999996</v>
      </c>
      <c r="BI19">
        <f ca="1"/>
        <v>3495.6000000000004</v>
      </c>
      <c r="BJ19">
        <f ca="1"/>
        <v>3467.7000000000003</v>
      </c>
      <c r="BK19">
        <f ca="1"/>
        <v>3512.7000000000003</v>
      </c>
      <c r="BL19">
        <f ca="1"/>
        <v>3528.0000000000005</v>
      </c>
      <c r="BM19">
        <f ca="1"/>
        <v>3562.2</v>
      </c>
      <c r="BN19">
        <f ca="1"/>
        <v>3609.9</v>
      </c>
      <c r="BO19">
        <f ca="1"/>
        <v>3604.4999999999995</v>
      </c>
      <c r="BP19">
        <f ca="1"/>
        <v>3666.6000000000004</v>
      </c>
      <c r="BQ19">
        <f ca="1"/>
        <v>3677.4</v>
      </c>
      <c r="BR19">
        <f ca="1"/>
        <v>3633.2999999999997</v>
      </c>
      <c r="BS19">
        <f ca="1"/>
        <v>3615.3</v>
      </c>
      <c r="BT19">
        <f ca="1"/>
        <v>3631.5</v>
      </c>
      <c r="BU19">
        <f ca="1"/>
        <v>3623.3999999999996</v>
      </c>
      <c r="BV19">
        <f ca="1"/>
        <v>3619.7999999999997</v>
      </c>
      <c r="BW19">
        <f ca="1"/>
        <v>3614.3999999999996</v>
      </c>
      <c r="BX19">
        <f ca="1"/>
        <v>3658.5</v>
      </c>
      <c r="BY19">
        <f ca="1"/>
        <v>3689.1000000000004</v>
      </c>
      <c r="BZ19">
        <f ca="1"/>
        <v>3681.8999999999996</v>
      </c>
      <c r="CA19">
        <f ca="1"/>
        <v>3715.2000000000003</v>
      </c>
      <c r="CB19">
        <f ca="1"/>
        <v>3671.9999999999995</v>
      </c>
      <c r="CC19">
        <f ca="1"/>
        <v>3704.3999999999996</v>
      </c>
      <c r="CD19">
        <f ca="1"/>
        <v>3716.9999999999995</v>
      </c>
      <c r="CE19">
        <f ca="1"/>
        <v>3714.3</v>
      </c>
      <c r="CF19">
        <f ca="1"/>
        <v>3759.3</v>
      </c>
      <c r="CG19">
        <f ca="1"/>
        <v>3741.3</v>
      </c>
      <c r="CH19">
        <f ca="1"/>
        <v>3741.3</v>
      </c>
      <c r="CI19">
        <f ca="1"/>
        <v>3771.8999999999996</v>
      </c>
      <c r="CJ19">
        <f ca="1"/>
        <v>3755.7</v>
      </c>
      <c r="CK19">
        <f ca="1"/>
        <v>3745.7999999999997</v>
      </c>
      <c r="CL19">
        <f ca="1"/>
        <v>3742.2</v>
      </c>
      <c r="CM19">
        <f ca="1"/>
        <v>3741.3</v>
      </c>
      <c r="CN19">
        <f ca="1"/>
        <v>3773.7</v>
      </c>
      <c r="CO19">
        <f ca="1"/>
        <v>3795.3</v>
      </c>
      <c r="CP19">
        <f ca="1"/>
        <v>3730.5000000000005</v>
      </c>
      <c r="CQ19">
        <f ca="1"/>
        <v>3636</v>
      </c>
      <c r="CR19">
        <f ca="1"/>
        <v>3645</v>
      </c>
      <c r="CS19">
        <f ca="1"/>
        <v>3673.8</v>
      </c>
      <c r="CT19">
        <f ca="1"/>
        <v>3663.9</v>
      </c>
      <c r="CU19">
        <f ca="1"/>
        <v>3761.9999999999995</v>
      </c>
      <c r="CV19">
        <f ca="1"/>
        <v>3699</v>
      </c>
      <c r="CW19">
        <f ca="1"/>
        <v>3714.3</v>
      </c>
      <c r="CX19">
        <f ca="1"/>
        <v>3731.4</v>
      </c>
      <c r="CY19">
        <f ca="1"/>
        <v>3721.5</v>
      </c>
      <c r="CZ19">
        <f ca="1"/>
        <v>3739.4999999999995</v>
      </c>
      <c r="DA19">
        <f ca="1"/>
        <v>3755.7</v>
      </c>
      <c r="DB19">
        <f ca="1"/>
        <v>3727.8</v>
      </c>
      <c r="DC19">
        <f ca="1"/>
        <v>3758.3999999999996</v>
      </c>
      <c r="DD19">
        <f ca="1"/>
        <v>3774.6</v>
      </c>
      <c r="DE19">
        <f ca="1"/>
        <v>3695.4</v>
      </c>
      <c r="DF19">
        <f ca="1"/>
        <v>3720.6000000000004</v>
      </c>
      <c r="DG19">
        <f ca="1"/>
        <v>3727.8</v>
      </c>
      <c r="DH19">
        <f ca="1"/>
        <v>3830.4</v>
      </c>
      <c r="DI19">
        <f ca="1"/>
        <v>3817.8</v>
      </c>
      <c r="DJ19">
        <f ca="1"/>
        <v>3840.3</v>
      </c>
      <c r="DK19">
        <f ca="1"/>
        <v>3868.2</v>
      </c>
      <c r="DL19">
        <f ca="1"/>
        <v>3909.6</v>
      </c>
      <c r="DM19">
        <f ca="1"/>
        <v>3825.8999999999996</v>
      </c>
      <c r="DN19">
        <f ca="1"/>
        <v>3846.6000000000004</v>
      </c>
      <c r="DO19">
        <f ca="1"/>
        <v>3859.2000000000003</v>
      </c>
      <c r="DP19">
        <f ca="1"/>
        <v>3879.9</v>
      </c>
      <c r="DQ19">
        <f ca="1"/>
        <v>3879</v>
      </c>
      <c r="DR19">
        <f ca="1"/>
        <v>3909.6</v>
      </c>
      <c r="DS19">
        <f ca="1"/>
        <v>3888.0000000000005</v>
      </c>
      <c r="DT19">
        <f ca="1"/>
        <v>3843.0000000000005</v>
      </c>
      <c r="DU19">
        <f ca="1"/>
        <v>3841.2</v>
      </c>
      <c r="DV19">
        <f ca="1"/>
        <v>3807.9</v>
      </c>
      <c r="DW19">
        <f ca="1"/>
        <v>3835.7999999999997</v>
      </c>
      <c r="DX19">
        <f ca="1"/>
        <v>3814.2000000000003</v>
      </c>
      <c r="DY19">
        <f ca="1"/>
        <v>3804.3</v>
      </c>
      <c r="DZ19">
        <f ca="1"/>
        <v>3791.7000000000003</v>
      </c>
      <c r="EA19">
        <f ca="1"/>
        <v>3822.2999999999997</v>
      </c>
      <c r="EB19">
        <f ca="1"/>
        <v>3834</v>
      </c>
      <c r="EC19">
        <f ca="1"/>
        <v>3840.3</v>
      </c>
      <c r="ED19">
        <f ca="1"/>
        <v>3880.7999999999997</v>
      </c>
      <c r="EE19">
        <f ca="1"/>
        <v>3852.9</v>
      </c>
      <c r="EF19">
        <f ca="1"/>
        <v>3842.1</v>
      </c>
      <c r="EG19">
        <f ca="1"/>
        <v>3811.5</v>
      </c>
      <c r="EH19">
        <f ca="1"/>
        <v>3798.0000000000005</v>
      </c>
      <c r="EI19">
        <f ca="1"/>
        <v>3759.3</v>
      </c>
      <c r="EJ19">
        <f ca="1"/>
        <v>3677.4</v>
      </c>
      <c r="EK19">
        <f ca="1"/>
        <v>3705.3</v>
      </c>
      <c r="EL19">
        <f ca="1"/>
        <v>3691.8</v>
      </c>
      <c r="EM19">
        <f ca="1"/>
        <v>3624.3</v>
      </c>
      <c r="EN19">
        <f ca="1"/>
        <v>3649.4999999999995</v>
      </c>
      <c r="EO19">
        <f ca="1"/>
        <v>3707.1</v>
      </c>
      <c r="EP19">
        <f ca="1"/>
        <v>3827.7000000000003</v>
      </c>
      <c r="EQ19">
        <f ca="1"/>
        <v>3780.8999999999996</v>
      </c>
      <c r="ER19">
        <f ca="1"/>
        <v>3806.1</v>
      </c>
      <c r="ES19">
        <f ca="1"/>
        <v>3854.7</v>
      </c>
      <c r="ET19">
        <f ca="1"/>
        <v>3829.4999999999995</v>
      </c>
      <c r="EU19">
        <f ca="1"/>
        <v>3912.2999999999997</v>
      </c>
      <c r="EV19">
        <f ca="1"/>
        <v>3920.4</v>
      </c>
      <c r="EW19">
        <f ca="1"/>
        <v>3955.5000000000005</v>
      </c>
      <c r="EX19">
        <f ca="1"/>
        <v>3969</v>
      </c>
      <c r="EY19">
        <f ca="1"/>
        <v>3906</v>
      </c>
      <c r="EZ19">
        <f ca="1"/>
        <v>3912.2999999999997</v>
      </c>
      <c r="FA19">
        <f ca="1"/>
        <v>3887.1</v>
      </c>
      <c r="FB19">
        <f ca="1"/>
        <v>3843.0000000000005</v>
      </c>
      <c r="FC19">
        <f ca="1"/>
        <v>3825.8999999999996</v>
      </c>
      <c r="FD19">
        <f ca="1"/>
        <v>3816.8999999999996</v>
      </c>
      <c r="FE19">
        <f ca="1"/>
        <v>3880.7999999999997</v>
      </c>
      <c r="FF19">
        <f ca="1"/>
        <v>3901.5</v>
      </c>
      <c r="FG19">
        <f ca="1"/>
        <v>3888.0000000000005</v>
      </c>
      <c r="FH19">
        <f ca="1"/>
        <v>3867.2999999999997</v>
      </c>
      <c r="FI19">
        <f ca="1"/>
        <v>3801.6000000000004</v>
      </c>
      <c r="FJ19">
        <f ca="1"/>
        <v>3800.7</v>
      </c>
      <c r="FK19">
        <f ca="1"/>
        <v>3772.8</v>
      </c>
      <c r="FL19">
        <f ca="1"/>
        <v>3720.6000000000004</v>
      </c>
      <c r="FM19">
        <f ca="1"/>
        <v>3720.6000000000004</v>
      </c>
      <c r="FN19">
        <f ca="1"/>
        <v>3733.2</v>
      </c>
      <c r="FO19">
        <f ca="1"/>
        <v>3761.1</v>
      </c>
      <c r="FP19">
        <f ca="1"/>
        <v>3770.1</v>
      </c>
      <c r="FQ19">
        <f ca="1"/>
        <v>3656.7000000000003</v>
      </c>
      <c r="FR19">
        <f ca="1"/>
        <v>3708.9</v>
      </c>
      <c r="FS19">
        <f ca="1"/>
        <v>3733.2</v>
      </c>
      <c r="FT19">
        <f ca="1"/>
        <v>3697.2</v>
      </c>
      <c r="FU19">
        <f ca="1"/>
        <v>3720.6000000000004</v>
      </c>
      <c r="FV19">
        <f ca="1"/>
        <v>3795.3</v>
      </c>
      <c r="FW19">
        <f ca="1"/>
        <v>3795.3</v>
      </c>
      <c r="FX19">
        <f ca="1"/>
        <v>3787.2</v>
      </c>
      <c r="FY19">
        <f ca="1"/>
        <v>3774.6</v>
      </c>
      <c r="FZ19">
        <f ca="1"/>
        <v>3766.5</v>
      </c>
      <c r="GA19">
        <f ca="1"/>
        <v>3796.2</v>
      </c>
      <c r="GB19">
        <f ca="1"/>
        <v>3741.3</v>
      </c>
      <c r="GC19">
        <f ca="1"/>
        <v>3673.8</v>
      </c>
      <c r="GD19">
        <f ca="1"/>
        <v>3654</v>
      </c>
      <c r="GE19">
        <f ca="1"/>
        <v>3692.7000000000003</v>
      </c>
      <c r="GF19">
        <f ca="1"/>
        <v>3644.1000000000004</v>
      </c>
      <c r="GG19">
        <f ca="1"/>
        <v>3636.8999999999996</v>
      </c>
      <c r="GH19">
        <f ca="1"/>
        <v>3657.6</v>
      </c>
      <c r="GI19">
        <f ca="1"/>
        <v>3670.2000000000003</v>
      </c>
      <c r="GJ19">
        <f ca="1"/>
        <v>3685.5000000000005</v>
      </c>
      <c r="GK19">
        <f ca="1"/>
        <v>3694.4999999999995</v>
      </c>
      <c r="GL19">
        <f ca="1"/>
        <v>3684.6</v>
      </c>
      <c r="GM19">
        <f ca="1"/>
        <v>3742.2</v>
      </c>
      <c r="GN19">
        <f ca="1"/>
        <v>3690</v>
      </c>
      <c r="GO19">
        <f ca="1"/>
        <v>3667.5</v>
      </c>
      <c r="GP19">
        <f ca="1"/>
        <v>3680.1</v>
      </c>
      <c r="GQ19">
        <f ca="1"/>
        <v>3742.2</v>
      </c>
      <c r="GR19">
        <f ca="1"/>
        <v>3767.4</v>
      </c>
      <c r="GS19">
        <f ca="1"/>
        <v>3779.1000000000004</v>
      </c>
      <c r="GT19">
        <f ca="1"/>
        <v>3703.5</v>
      </c>
      <c r="GU19">
        <f ca="1"/>
        <v>3696.3</v>
      </c>
      <c r="GV19">
        <f ca="1"/>
        <v>3746.7000000000003</v>
      </c>
      <c r="GW19">
        <f ca="1"/>
        <v>3787.2</v>
      </c>
      <c r="GX19">
        <f ca="1"/>
        <v>3834</v>
      </c>
      <c r="GY19">
        <f ca="1"/>
        <v>3882.6</v>
      </c>
      <c r="GZ19">
        <f ca="1"/>
        <v>3798.9</v>
      </c>
      <c r="HA19">
        <f ca="1"/>
        <v>3797.1</v>
      </c>
      <c r="HB19">
        <f ca="1"/>
        <v>3798.0000000000005</v>
      </c>
      <c r="HC19">
        <f ca="1"/>
        <v>3849.3</v>
      </c>
      <c r="HD19">
        <f ca="1"/>
        <v>3994.2000000000003</v>
      </c>
      <c r="HE19">
        <f ca="1"/>
        <v>4045.5000000000005</v>
      </c>
      <c r="HF19">
        <f ca="1"/>
        <v>4037.4</v>
      </c>
      <c r="HG19">
        <f ca="1"/>
        <v>4050</v>
      </c>
      <c r="HH19">
        <f ca="1"/>
        <v>4059</v>
      </c>
      <c r="HI19">
        <f ca="1"/>
        <v>4066.2</v>
      </c>
      <c r="HJ19">
        <f ca="1"/>
        <v>4086</v>
      </c>
      <c r="HK19">
        <f ca="1"/>
        <v>4109.3999999999996</v>
      </c>
      <c r="HL19">
        <f ca="1"/>
        <v>4095</v>
      </c>
      <c r="HM19">
        <f ca="1"/>
        <v>4122</v>
      </c>
      <c r="HN19">
        <f ca="1"/>
        <v>4172.3999999999996</v>
      </c>
      <c r="HO19">
        <f ca="1"/>
        <v>4203</v>
      </c>
      <c r="HP19">
        <f ca="1"/>
        <v>4281.3</v>
      </c>
      <c r="HQ19">
        <f ca="1"/>
        <v>4204.8</v>
      </c>
      <c r="HR19">
        <f ca="1"/>
        <v>4290.3</v>
      </c>
      <c r="HS19">
        <f ca="1"/>
        <v>4165.2</v>
      </c>
      <c r="HT19">
        <f ca="1"/>
        <v>4300.2</v>
      </c>
      <c r="HU19">
        <f ca="1"/>
        <v>4251.6000000000004</v>
      </c>
      <c r="HV19">
        <f ca="1"/>
        <v>4258.8</v>
      </c>
      <c r="HW19">
        <f ca="1"/>
        <v>4293.8999999999996</v>
      </c>
      <c r="HX19">
        <f ca="1"/>
        <v>4359.5999999999995</v>
      </c>
      <c r="HY19">
        <f ca="1"/>
        <v>4335.3</v>
      </c>
      <c r="HZ19">
        <f ca="1"/>
        <v>4321.8</v>
      </c>
      <c r="IA19">
        <f ca="1"/>
        <v>4356</v>
      </c>
      <c r="IB19">
        <f ca="1"/>
        <v>4330.8</v>
      </c>
      <c r="IC19">
        <f ca="1"/>
        <v>4311.8999999999996</v>
      </c>
      <c r="ID19">
        <f ca="1"/>
        <v>4275</v>
      </c>
      <c r="IE19">
        <f ca="1"/>
        <v>4305.6000000000004</v>
      </c>
      <c r="IF19">
        <f ca="1"/>
        <v>4311.8999999999996</v>
      </c>
      <c r="IG19">
        <f ca="1"/>
        <v>4327.2</v>
      </c>
      <c r="IH19">
        <f ca="1"/>
        <v>4369.5</v>
      </c>
      <c r="II19">
        <f ca="1"/>
        <v>4385.7</v>
      </c>
      <c r="IJ19">
        <f ca="1"/>
        <v>4342.5</v>
      </c>
      <c r="IK19">
        <f ca="1"/>
        <v>4304.7</v>
      </c>
      <c r="IL19">
        <f ca="1"/>
        <v>4380.3</v>
      </c>
      <c r="IM19">
        <f ca="1"/>
        <v>4427.0999999999995</v>
      </c>
      <c r="IN19">
        <f ca="1"/>
        <v>4436.1000000000004</v>
      </c>
      <c r="IO19">
        <f ca="1"/>
        <v>4402.8</v>
      </c>
      <c r="IP19">
        <f ca="1"/>
        <v>4381.2</v>
      </c>
      <c r="IQ19">
        <f ca="1"/>
        <v>4395.6000000000004</v>
      </c>
      <c r="IR19">
        <f ca="1"/>
        <v>4368.6000000000004</v>
      </c>
      <c r="IS19">
        <f ca="1"/>
        <v>4307.3999999999996</v>
      </c>
      <c r="IT19">
        <f ca="1"/>
        <v>4380.3</v>
      </c>
      <c r="IU19">
        <f ca="1"/>
        <v>4456.8</v>
      </c>
      <c r="IV19">
        <f ca="1"/>
        <v>4400.1000000000004</v>
      </c>
      <c r="IW19">
        <f ca="1"/>
        <v>4431.6000000000004</v>
      </c>
    </row>
    <row r="20" spans="2:257" x14ac:dyDescent="0.25">
      <c r="B20" t="str">
        <f t="shared" si="408"/>
        <v>20K6HZ6</v>
      </c>
      <c r="C20" t="s">
        <v>160</v>
      </c>
      <c r="D20" t="e" vm="509">
        <v>#VALUE!</v>
      </c>
      <c r="E20" t="str" cm="1">
        <f t="array" aca="1" ref="E20" ca="1">_FV(D20,"Code mnémonique",TRUE)</f>
        <v>AQN</v>
      </c>
      <c r="F20" s="12">
        <f>_xlfn.XLOOKUP(D20,Titres[Action],Titres[Nb d''actions])</f>
        <v>400</v>
      </c>
      <c r="G20" cm="1">
        <f t="array" aca="1" ref="G20:IW20" ca="1">IFERROR(TRANSPOSE(_xlfn.STOCKHISTORY(D20,TODAY()-365,TODAY(),0,0,1))*F20,"")</f>
        <v>2940</v>
      </c>
      <c r="H20">
        <f ca="1"/>
        <v>2984</v>
      </c>
      <c r="I20">
        <f ca="1"/>
        <v>2908</v>
      </c>
      <c r="J20">
        <f ca="1"/>
        <v>2932</v>
      </c>
      <c r="K20">
        <f ca="1"/>
        <v>2924</v>
      </c>
      <c r="L20">
        <f ca="1"/>
        <v>2956</v>
      </c>
      <c r="M20">
        <f ca="1"/>
        <v>2976</v>
      </c>
      <c r="N20">
        <f ca="1"/>
        <v>2972</v>
      </c>
      <c r="O20">
        <f ca="1"/>
        <v>2924</v>
      </c>
      <c r="P20">
        <f ca="1"/>
        <v>2980</v>
      </c>
      <c r="Q20">
        <f ca="1"/>
        <v>2976</v>
      </c>
      <c r="R20">
        <f ca="1"/>
        <v>3020</v>
      </c>
      <c r="S20">
        <f ca="1"/>
        <v>3020</v>
      </c>
      <c r="T20">
        <f ca="1"/>
        <v>3044</v>
      </c>
      <c r="U20">
        <f ca="1"/>
        <v>3340</v>
      </c>
      <c r="V20">
        <f ca="1"/>
        <v>3208</v>
      </c>
      <c r="W20">
        <f ca="1"/>
        <v>3124</v>
      </c>
      <c r="X20">
        <f ca="1"/>
        <v>3048</v>
      </c>
      <c r="Y20">
        <f ca="1"/>
        <v>3064</v>
      </c>
      <c r="Z20">
        <f ca="1"/>
        <v>3124</v>
      </c>
      <c r="AA20">
        <f ca="1"/>
        <v>3124</v>
      </c>
      <c r="AB20">
        <f ca="1"/>
        <v>3044</v>
      </c>
      <c r="AC20">
        <f ca="1"/>
        <v>3052</v>
      </c>
      <c r="AD20">
        <f ca="1"/>
        <v>3052</v>
      </c>
      <c r="AE20">
        <f ca="1"/>
        <v>3060</v>
      </c>
      <c r="AF20">
        <f ca="1"/>
        <v>3100</v>
      </c>
      <c r="AG20">
        <f ca="1"/>
        <v>3000</v>
      </c>
      <c r="AH20">
        <f ca="1"/>
        <v>3020</v>
      </c>
      <c r="AI20">
        <f ca="1"/>
        <v>3008</v>
      </c>
      <c r="AJ20">
        <f ca="1"/>
        <v>2944</v>
      </c>
      <c r="AK20">
        <f ca="1"/>
        <v>3415.9999999999995</v>
      </c>
      <c r="AL20">
        <f ca="1"/>
        <v>3247.9999999999995</v>
      </c>
      <c r="AM20">
        <f ca="1"/>
        <v>3196</v>
      </c>
      <c r="AN20">
        <f ca="1"/>
        <v>3208</v>
      </c>
      <c r="AO20">
        <f ca="1"/>
        <v>3172</v>
      </c>
      <c r="AP20">
        <f ca="1"/>
        <v>3188</v>
      </c>
      <c r="AQ20">
        <f ca="1"/>
        <v>3215.9999999999995</v>
      </c>
      <c r="AR20">
        <f ca="1"/>
        <v>3211.9999999999995</v>
      </c>
      <c r="AS20">
        <f ca="1"/>
        <v>3176</v>
      </c>
      <c r="AT20">
        <f ca="1"/>
        <v>3176</v>
      </c>
      <c r="AU20">
        <f ca="1"/>
        <v>3148</v>
      </c>
      <c r="AV20">
        <f ca="1"/>
        <v>3148</v>
      </c>
      <c r="AW20">
        <f ca="1"/>
        <v>3144</v>
      </c>
      <c r="AX20">
        <f ca="1"/>
        <v>3136</v>
      </c>
      <c r="AY20">
        <f ca="1"/>
        <v>3160</v>
      </c>
      <c r="AZ20">
        <f ca="1"/>
        <v>3148</v>
      </c>
      <c r="BA20">
        <f ca="1"/>
        <v>3108</v>
      </c>
      <c r="BB20">
        <f ca="1"/>
        <v>3116</v>
      </c>
      <c r="BC20">
        <f ca="1"/>
        <v>3132</v>
      </c>
      <c r="BD20">
        <f ca="1"/>
        <v>3116</v>
      </c>
      <c r="BE20">
        <f ca="1"/>
        <v>3092</v>
      </c>
      <c r="BF20">
        <f ca="1"/>
        <v>3164</v>
      </c>
      <c r="BG20">
        <f ca="1"/>
        <v>3164</v>
      </c>
      <c r="BH20">
        <f ca="1"/>
        <v>3124</v>
      </c>
      <c r="BI20">
        <f ca="1"/>
        <v>3144</v>
      </c>
      <c r="BJ20">
        <f ca="1"/>
        <v>3164</v>
      </c>
      <c r="BK20">
        <f ca="1"/>
        <v>3188</v>
      </c>
      <c r="BL20">
        <f ca="1"/>
        <v>3188</v>
      </c>
      <c r="BM20">
        <f ca="1"/>
        <v>3204</v>
      </c>
      <c r="BN20">
        <f ca="1"/>
        <v>3200</v>
      </c>
      <c r="BO20">
        <f ca="1"/>
        <v>3211.9999999999995</v>
      </c>
      <c r="BP20">
        <f ca="1"/>
        <v>3228</v>
      </c>
      <c r="BQ20">
        <f ca="1"/>
        <v>3247.9999999999995</v>
      </c>
      <c r="BR20">
        <f ca="1"/>
        <v>3311.9999999999995</v>
      </c>
      <c r="BS20">
        <f ca="1"/>
        <v>3320.0000000000005</v>
      </c>
      <c r="BT20">
        <f ca="1"/>
        <v>3311.9999999999995</v>
      </c>
      <c r="BU20">
        <f ca="1"/>
        <v>3292</v>
      </c>
      <c r="BV20">
        <f ca="1"/>
        <v>3288.0000000000005</v>
      </c>
      <c r="BW20">
        <f ca="1"/>
        <v>3247.9999999999995</v>
      </c>
      <c r="BX20">
        <f ca="1"/>
        <v>3272</v>
      </c>
      <c r="BY20">
        <f ca="1"/>
        <v>3300</v>
      </c>
      <c r="BZ20">
        <f ca="1"/>
        <v>3268</v>
      </c>
      <c r="CA20">
        <f ca="1"/>
        <v>3256</v>
      </c>
      <c r="CB20">
        <f ca="1"/>
        <v>3264</v>
      </c>
      <c r="CC20">
        <f ca="1"/>
        <v>3244</v>
      </c>
      <c r="CD20">
        <f ca="1"/>
        <v>3244</v>
      </c>
      <c r="CE20">
        <f ca="1"/>
        <v>3124</v>
      </c>
      <c r="CF20">
        <f ca="1"/>
        <v>3136</v>
      </c>
      <c r="CG20">
        <f ca="1"/>
        <v>3168</v>
      </c>
      <c r="CH20">
        <f ca="1"/>
        <v>3200</v>
      </c>
      <c r="CI20">
        <f ca="1"/>
        <v>3244</v>
      </c>
      <c r="CJ20">
        <f ca="1"/>
        <v>3224</v>
      </c>
      <c r="CK20">
        <f ca="1"/>
        <v>3208</v>
      </c>
      <c r="CL20">
        <f ca="1"/>
        <v>3211.9999999999995</v>
      </c>
      <c r="CM20">
        <f ca="1"/>
        <v>3224</v>
      </c>
      <c r="CN20">
        <f ca="1"/>
        <v>3215.9999999999995</v>
      </c>
      <c r="CO20">
        <f ca="1"/>
        <v>3215.9999999999995</v>
      </c>
      <c r="CP20">
        <f ca="1"/>
        <v>3208</v>
      </c>
      <c r="CQ20">
        <f ca="1"/>
        <v>3188</v>
      </c>
      <c r="CR20">
        <f ca="1"/>
        <v>3204</v>
      </c>
      <c r="CS20">
        <f ca="1"/>
        <v>3196</v>
      </c>
      <c r="CT20">
        <f ca="1"/>
        <v>3184</v>
      </c>
      <c r="CU20">
        <f ca="1"/>
        <v>3120</v>
      </c>
      <c r="CV20">
        <f ca="1"/>
        <v>3108</v>
      </c>
      <c r="CW20">
        <f ca="1"/>
        <v>3112</v>
      </c>
      <c r="CX20">
        <f ca="1"/>
        <v>3136</v>
      </c>
      <c r="CY20">
        <f ca="1"/>
        <v>3104</v>
      </c>
      <c r="CZ20">
        <f ca="1"/>
        <v>3108</v>
      </c>
      <c r="DA20">
        <f ca="1"/>
        <v>3096</v>
      </c>
      <c r="DB20">
        <f ca="1"/>
        <v>3088</v>
      </c>
      <c r="DC20">
        <f ca="1"/>
        <v>3096</v>
      </c>
      <c r="DD20">
        <f ca="1"/>
        <v>3080</v>
      </c>
      <c r="DE20">
        <f ca="1"/>
        <v>3036</v>
      </c>
      <c r="DF20">
        <f ca="1"/>
        <v>3036</v>
      </c>
      <c r="DG20">
        <f ca="1"/>
        <v>3020</v>
      </c>
      <c r="DH20">
        <f ca="1"/>
        <v>3012</v>
      </c>
      <c r="DI20">
        <f ca="1"/>
        <v>3004</v>
      </c>
      <c r="DJ20">
        <f ca="1"/>
        <v>3008</v>
      </c>
      <c r="DK20">
        <f ca="1"/>
        <v>3012</v>
      </c>
      <c r="DL20">
        <f ca="1"/>
        <v>2996</v>
      </c>
      <c r="DM20">
        <f ca="1"/>
        <v>3000</v>
      </c>
      <c r="DN20">
        <f ca="1"/>
        <v>2980</v>
      </c>
      <c r="DO20">
        <f ca="1"/>
        <v>2992</v>
      </c>
      <c r="DP20">
        <f ca="1"/>
        <v>3192</v>
      </c>
      <c r="DQ20">
        <f ca="1"/>
        <v>3200</v>
      </c>
      <c r="DR20">
        <f ca="1"/>
        <v>3232</v>
      </c>
      <c r="DS20">
        <f ca="1"/>
        <v>3232</v>
      </c>
      <c r="DT20">
        <f ca="1"/>
        <v>3236</v>
      </c>
      <c r="DU20">
        <f ca="1"/>
        <v>3284.0000000000005</v>
      </c>
      <c r="DV20">
        <f ca="1"/>
        <v>3256</v>
      </c>
      <c r="DW20">
        <f ca="1"/>
        <v>3244</v>
      </c>
      <c r="DX20">
        <f ca="1"/>
        <v>3292</v>
      </c>
      <c r="DY20">
        <f ca="1"/>
        <v>3347.9999999999995</v>
      </c>
      <c r="DZ20">
        <f ca="1"/>
        <v>3340</v>
      </c>
      <c r="EA20">
        <f ca="1"/>
        <v>3347.9999999999995</v>
      </c>
      <c r="EB20">
        <f ca="1"/>
        <v>3404</v>
      </c>
      <c r="EC20">
        <f ca="1"/>
        <v>3340</v>
      </c>
      <c r="ED20">
        <f ca="1"/>
        <v>3304</v>
      </c>
      <c r="EE20">
        <f ca="1"/>
        <v>3244</v>
      </c>
      <c r="EF20">
        <f ca="1"/>
        <v>3224</v>
      </c>
      <c r="EG20">
        <f ca="1"/>
        <v>3200</v>
      </c>
      <c r="EH20">
        <f ca="1"/>
        <v>3208</v>
      </c>
      <c r="EI20">
        <f ca="1"/>
        <v>3148</v>
      </c>
      <c r="EJ20">
        <f ca="1"/>
        <v>3124</v>
      </c>
      <c r="EK20">
        <f ca="1"/>
        <v>3132</v>
      </c>
      <c r="EL20">
        <f ca="1"/>
        <v>3128</v>
      </c>
      <c r="EM20">
        <f ca="1"/>
        <v>3116</v>
      </c>
      <c r="EN20">
        <f ca="1"/>
        <v>3152</v>
      </c>
      <c r="EO20">
        <f ca="1"/>
        <v>3236</v>
      </c>
      <c r="EP20">
        <f ca="1"/>
        <v>3488.0000000000005</v>
      </c>
      <c r="EQ20">
        <f ca="1"/>
        <v>3540</v>
      </c>
      <c r="ER20">
        <f ca="1"/>
        <v>3479.9999999999995</v>
      </c>
      <c r="ES20">
        <f ca="1"/>
        <v>3452.0000000000005</v>
      </c>
      <c r="ET20">
        <f ca="1"/>
        <v>3460</v>
      </c>
      <c r="EU20">
        <f ca="1"/>
        <v>3408</v>
      </c>
      <c r="EV20">
        <f ca="1"/>
        <v>3372</v>
      </c>
      <c r="EW20">
        <f ca="1"/>
        <v>3376</v>
      </c>
      <c r="EX20">
        <f ca="1"/>
        <v>3356</v>
      </c>
      <c r="EY20">
        <f ca="1"/>
        <v>3344</v>
      </c>
      <c r="EZ20">
        <f ca="1"/>
        <v>3356</v>
      </c>
      <c r="FA20">
        <f ca="1"/>
        <v>3360</v>
      </c>
      <c r="FB20">
        <f ca="1"/>
        <v>3428</v>
      </c>
      <c r="FC20">
        <f ca="1"/>
        <v>3447.9999999999995</v>
      </c>
      <c r="FD20">
        <f ca="1"/>
        <v>3432</v>
      </c>
      <c r="FE20">
        <f ca="1"/>
        <v>3420.0000000000005</v>
      </c>
      <c r="FF20">
        <f ca="1"/>
        <v>3396</v>
      </c>
      <c r="FG20">
        <f ca="1"/>
        <v>3347.9999999999995</v>
      </c>
      <c r="FH20">
        <f ca="1"/>
        <v>3304</v>
      </c>
      <c r="FI20">
        <f ca="1"/>
        <v>3264</v>
      </c>
      <c r="FJ20">
        <f ca="1"/>
        <v>3247.9999999999995</v>
      </c>
      <c r="FK20">
        <f ca="1"/>
        <v>3200</v>
      </c>
      <c r="FL20">
        <f ca="1"/>
        <v>3200</v>
      </c>
      <c r="FM20">
        <f ca="1"/>
        <v>3204</v>
      </c>
      <c r="FN20">
        <f ca="1"/>
        <v>3232</v>
      </c>
      <c r="FO20">
        <f ca="1"/>
        <v>3240</v>
      </c>
      <c r="FP20">
        <f ca="1"/>
        <v>3284.0000000000005</v>
      </c>
      <c r="FQ20">
        <f ca="1"/>
        <v>3392</v>
      </c>
      <c r="FR20">
        <f ca="1"/>
        <v>3360</v>
      </c>
      <c r="FS20">
        <f ca="1"/>
        <v>3456</v>
      </c>
      <c r="FT20">
        <f ca="1"/>
        <v>3411.9999999999995</v>
      </c>
      <c r="FU20">
        <f ca="1"/>
        <v>3404</v>
      </c>
      <c r="FV20">
        <f ca="1"/>
        <v>3415.9999999999995</v>
      </c>
      <c r="FW20">
        <f ca="1"/>
        <v>3400</v>
      </c>
      <c r="FX20">
        <f ca="1"/>
        <v>3432</v>
      </c>
      <c r="FY20">
        <f ca="1"/>
        <v>3396</v>
      </c>
      <c r="FZ20">
        <f ca="1"/>
        <v>3376</v>
      </c>
      <c r="GA20">
        <f ca="1"/>
        <v>3368</v>
      </c>
      <c r="GB20">
        <f ca="1"/>
        <v>3368</v>
      </c>
      <c r="GC20">
        <f ca="1"/>
        <v>3432</v>
      </c>
      <c r="GD20">
        <f ca="1"/>
        <v>3556</v>
      </c>
      <c r="GE20">
        <f ca="1"/>
        <v>3456</v>
      </c>
      <c r="GF20">
        <f ca="1"/>
        <v>3556</v>
      </c>
      <c r="GG20">
        <f ca="1"/>
        <v>3532</v>
      </c>
      <c r="GH20">
        <f ca="1"/>
        <v>3524</v>
      </c>
      <c r="GI20">
        <f ca="1"/>
        <v>3552.0000000000005</v>
      </c>
      <c r="GJ20">
        <f ca="1"/>
        <v>3579.9999999999995</v>
      </c>
      <c r="GK20">
        <f ca="1"/>
        <v>3600</v>
      </c>
      <c r="GL20">
        <f ca="1"/>
        <v>3624</v>
      </c>
      <c r="GM20">
        <f ca="1"/>
        <v>3620.0000000000005</v>
      </c>
      <c r="GN20">
        <f ca="1"/>
        <v>3547.9999999999995</v>
      </c>
      <c r="GO20">
        <f ca="1"/>
        <v>3528</v>
      </c>
      <c r="GP20">
        <f ca="1"/>
        <v>3496</v>
      </c>
      <c r="GQ20">
        <f ca="1"/>
        <v>3532</v>
      </c>
      <c r="GR20">
        <f ca="1"/>
        <v>3608</v>
      </c>
      <c r="GS20">
        <f ca="1"/>
        <v>3572</v>
      </c>
      <c r="GT20">
        <f ca="1"/>
        <v>3488.0000000000005</v>
      </c>
      <c r="GU20">
        <f ca="1"/>
        <v>3576</v>
      </c>
      <c r="GV20">
        <f ca="1"/>
        <v>3564</v>
      </c>
      <c r="GW20">
        <f ca="1"/>
        <v>3576</v>
      </c>
      <c r="GX20">
        <f ca="1"/>
        <v>3584.0000000000005</v>
      </c>
      <c r="GY20">
        <f ca="1"/>
        <v>3579.9999999999995</v>
      </c>
      <c r="GZ20">
        <f ca="1"/>
        <v>3560</v>
      </c>
      <c r="HA20">
        <f ca="1"/>
        <v>3524</v>
      </c>
      <c r="HB20">
        <f ca="1"/>
        <v>3592</v>
      </c>
      <c r="HC20">
        <f ca="1"/>
        <v>3596</v>
      </c>
      <c r="HD20">
        <f ca="1"/>
        <v>3628</v>
      </c>
      <c r="HE20">
        <f ca="1"/>
        <v>3711.9999999999995</v>
      </c>
      <c r="HF20">
        <f ca="1"/>
        <v>3692</v>
      </c>
      <c r="HG20">
        <f ca="1"/>
        <v>3688.0000000000005</v>
      </c>
      <c r="HH20">
        <f ca="1"/>
        <v>3679.9999999999995</v>
      </c>
      <c r="HI20">
        <f ca="1"/>
        <v>3660</v>
      </c>
      <c r="HJ20">
        <f ca="1"/>
        <v>3696</v>
      </c>
      <c r="HK20">
        <f ca="1"/>
        <v>3724</v>
      </c>
      <c r="HL20">
        <f ca="1"/>
        <v>3732</v>
      </c>
      <c r="HM20">
        <f ca="1"/>
        <v>3776</v>
      </c>
      <c r="HN20">
        <f ca="1"/>
        <v>3815.9999999999995</v>
      </c>
      <c r="HO20">
        <f ca="1"/>
        <v>3804</v>
      </c>
      <c r="HP20">
        <f ca="1"/>
        <v>3800</v>
      </c>
      <c r="HQ20">
        <f ca="1"/>
        <v>3808</v>
      </c>
      <c r="HR20">
        <f ca="1"/>
        <v>3776</v>
      </c>
      <c r="HS20">
        <f ca="1"/>
        <v>3340</v>
      </c>
      <c r="HT20">
        <f ca="1"/>
        <v>3360</v>
      </c>
      <c r="HU20">
        <f ca="1"/>
        <v>3356</v>
      </c>
      <c r="HV20">
        <f ca="1"/>
        <v>3411.9999999999995</v>
      </c>
      <c r="HW20">
        <f ca="1"/>
        <v>3432</v>
      </c>
      <c r="HX20">
        <f ca="1"/>
        <v>3479.9999999999995</v>
      </c>
      <c r="HY20">
        <f ca="1"/>
        <v>3520.0000000000005</v>
      </c>
      <c r="HZ20">
        <f ca="1"/>
        <v>3596</v>
      </c>
      <c r="IA20">
        <f ca="1"/>
        <v>3544</v>
      </c>
      <c r="IB20">
        <f ca="1"/>
        <v>3547.9999999999995</v>
      </c>
      <c r="IC20">
        <f ca="1"/>
        <v>3428</v>
      </c>
      <c r="ID20">
        <f ca="1"/>
        <v>3440</v>
      </c>
      <c r="IE20">
        <f ca="1"/>
        <v>3472</v>
      </c>
      <c r="IF20">
        <f ca="1"/>
        <v>3464</v>
      </c>
      <c r="IG20">
        <f ca="1"/>
        <v>3440</v>
      </c>
      <c r="IH20">
        <f ca="1"/>
        <v>3428</v>
      </c>
      <c r="II20">
        <f ca="1"/>
        <v>3436</v>
      </c>
      <c r="IJ20">
        <f ca="1"/>
        <v>3408</v>
      </c>
      <c r="IK20">
        <f ca="1"/>
        <v>3464</v>
      </c>
      <c r="IL20">
        <f ca="1"/>
        <v>3460</v>
      </c>
      <c r="IM20">
        <f ca="1"/>
        <v>3452.0000000000005</v>
      </c>
      <c r="IN20">
        <f ca="1"/>
        <v>3415.9999999999995</v>
      </c>
      <c r="IO20">
        <f ca="1"/>
        <v>3468</v>
      </c>
      <c r="IP20">
        <f ca="1"/>
        <v>3496</v>
      </c>
      <c r="IQ20">
        <f ca="1"/>
        <v>3540</v>
      </c>
      <c r="IR20">
        <f ca="1"/>
        <v>3479.9999999999995</v>
      </c>
      <c r="IS20">
        <f ca="1"/>
        <v>3479.9999999999995</v>
      </c>
      <c r="IT20">
        <f ca="1"/>
        <v>3492</v>
      </c>
      <c r="IU20">
        <f ca="1"/>
        <v>3515.9999999999995</v>
      </c>
      <c r="IV20">
        <f ca="1"/>
        <v>3500</v>
      </c>
      <c r="IW20">
        <f ca="1"/>
        <v>3447.9999999999995</v>
      </c>
    </row>
    <row r="21" spans="2:257" x14ac:dyDescent="0.25">
      <c r="B21" t="str">
        <f t="shared" si="408"/>
        <v>20K6HZ6</v>
      </c>
      <c r="C21" t="s">
        <v>160</v>
      </c>
      <c r="D21" t="e" vm="518">
        <v>#VALUE!</v>
      </c>
      <c r="E21" t="str" cm="1">
        <f t="array" aca="1" ref="E21" ca="1">_FV(D21,"Code mnémonique",TRUE)</f>
        <v>BEP.UN</v>
      </c>
      <c r="F21" s="12">
        <f>_xlfn.XLOOKUP(D21,Titres[Action],Titres[Nb d''actions])</f>
        <v>180</v>
      </c>
      <c r="G21" cm="1">
        <f t="array" aca="1" ref="G21:IW21" ca="1">IFERROR(TRANSPOSE(_xlfn.STOCKHISTORY(D21,TODAY()-365,TODAY(),0,0,1))*F21,"")</f>
        <v>5365.8</v>
      </c>
      <c r="H21">
        <f ca="1"/>
        <v>5472</v>
      </c>
      <c r="I21">
        <f ca="1"/>
        <v>5529.5999999999995</v>
      </c>
      <c r="J21">
        <f ca="1"/>
        <v>5572.8</v>
      </c>
      <c r="K21">
        <f ca="1"/>
        <v>5635.8</v>
      </c>
      <c r="L21">
        <f ca="1"/>
        <v>5763.6</v>
      </c>
      <c r="M21">
        <f ca="1"/>
        <v>5776.2000000000007</v>
      </c>
      <c r="N21">
        <f ca="1"/>
        <v>5704.2</v>
      </c>
      <c r="O21">
        <f ca="1"/>
        <v>5788.7999999999993</v>
      </c>
      <c r="P21">
        <f ca="1"/>
        <v>5679</v>
      </c>
      <c r="Q21">
        <f ca="1"/>
        <v>5547.6</v>
      </c>
      <c r="R21">
        <f ca="1"/>
        <v>5533.2</v>
      </c>
      <c r="S21">
        <f ca="1"/>
        <v>5580</v>
      </c>
      <c r="T21">
        <f ca="1"/>
        <v>5698.8</v>
      </c>
      <c r="U21">
        <f ca="1"/>
        <v>5833.7999999999993</v>
      </c>
      <c r="V21">
        <f ca="1"/>
        <v>5900.4000000000005</v>
      </c>
      <c r="W21">
        <f ca="1"/>
        <v>6015.6</v>
      </c>
      <c r="X21">
        <f ca="1"/>
        <v>5958</v>
      </c>
      <c r="Y21">
        <f ca="1"/>
        <v>6055.2</v>
      </c>
      <c r="Z21">
        <f ca="1"/>
        <v>6154.2</v>
      </c>
      <c r="AA21">
        <f ca="1"/>
        <v>6071.4</v>
      </c>
      <c r="AB21">
        <f ca="1"/>
        <v>5992.2</v>
      </c>
      <c r="AC21">
        <f ca="1"/>
        <v>5706</v>
      </c>
      <c r="AD21">
        <f ca="1"/>
        <v>5819.4</v>
      </c>
      <c r="AE21">
        <f ca="1"/>
        <v>5895</v>
      </c>
      <c r="AF21">
        <f ca="1"/>
        <v>5940</v>
      </c>
      <c r="AG21">
        <f ca="1"/>
        <v>5972.4</v>
      </c>
      <c r="AH21">
        <f ca="1"/>
        <v>5967</v>
      </c>
      <c r="AI21">
        <f ca="1"/>
        <v>5869.8</v>
      </c>
      <c r="AJ21">
        <f ca="1"/>
        <v>5844.5999999999995</v>
      </c>
      <c r="AK21">
        <f ca="1"/>
        <v>6078.6</v>
      </c>
      <c r="AL21">
        <f ca="1"/>
        <v>5875.2</v>
      </c>
      <c r="AM21">
        <f ca="1"/>
        <v>5860.8</v>
      </c>
      <c r="AN21">
        <f ca="1"/>
        <v>5914.8</v>
      </c>
      <c r="AO21">
        <f ca="1"/>
        <v>6355.8</v>
      </c>
      <c r="AP21">
        <f ca="1"/>
        <v>6460.2</v>
      </c>
      <c r="AQ21">
        <f ca="1"/>
        <v>6381.0000000000009</v>
      </c>
      <c r="AR21">
        <f ca="1"/>
        <v>6379.2</v>
      </c>
      <c r="AS21">
        <f ca="1"/>
        <v>6404.4</v>
      </c>
      <c r="AT21">
        <f ca="1"/>
        <v>6458.4000000000005</v>
      </c>
      <c r="AU21">
        <f ca="1"/>
        <v>6357.6</v>
      </c>
      <c r="AV21">
        <f ca="1"/>
        <v>6273</v>
      </c>
      <c r="AW21">
        <f ca="1"/>
        <v>6269.4</v>
      </c>
      <c r="AX21">
        <f ca="1"/>
        <v>6172.2</v>
      </c>
      <c r="AY21">
        <f ca="1"/>
        <v>6222.6</v>
      </c>
      <c r="AZ21">
        <f ca="1"/>
        <v>6316.2000000000007</v>
      </c>
      <c r="BA21">
        <f ca="1"/>
        <v>6278.4000000000005</v>
      </c>
      <c r="BB21">
        <f ca="1"/>
        <v>6292.8</v>
      </c>
      <c r="BC21">
        <f ca="1"/>
        <v>6319.8</v>
      </c>
      <c r="BD21">
        <f ca="1"/>
        <v>6249.5999999999995</v>
      </c>
      <c r="BE21">
        <f ca="1"/>
        <v>6353.9999999999991</v>
      </c>
      <c r="BF21">
        <f ca="1"/>
        <v>6465.6</v>
      </c>
      <c r="BG21">
        <f ca="1"/>
        <v>6487.2</v>
      </c>
      <c r="BH21">
        <f ca="1"/>
        <v>6521.4</v>
      </c>
      <c r="BI21">
        <f ca="1"/>
        <v>6381.0000000000009</v>
      </c>
      <c r="BJ21">
        <f ca="1"/>
        <v>6400.8</v>
      </c>
      <c r="BK21">
        <f ca="1"/>
        <v>6283.7999999999993</v>
      </c>
      <c r="BL21">
        <f ca="1"/>
        <v>6255</v>
      </c>
      <c r="BM21">
        <f ca="1"/>
        <v>6312.6</v>
      </c>
      <c r="BN21">
        <f ca="1"/>
        <v>6708.6</v>
      </c>
      <c r="BO21">
        <f ca="1"/>
        <v>6580.8</v>
      </c>
      <c r="BP21">
        <f ca="1"/>
        <v>6640.2</v>
      </c>
      <c r="BQ21">
        <f ca="1"/>
        <v>6717.6</v>
      </c>
      <c r="BR21">
        <f ca="1"/>
        <v>6721.2000000000007</v>
      </c>
      <c r="BS21">
        <f ca="1"/>
        <v>6696.0000000000009</v>
      </c>
      <c r="BT21">
        <f ca="1"/>
        <v>6748.2000000000007</v>
      </c>
      <c r="BU21">
        <f ca="1"/>
        <v>6726.5999999999995</v>
      </c>
      <c r="BV21">
        <f ca="1"/>
        <v>6744.5999999999995</v>
      </c>
      <c r="BW21">
        <f ca="1"/>
        <v>6791.4</v>
      </c>
      <c r="BX21">
        <f ca="1"/>
        <v>6672.6</v>
      </c>
      <c r="BY21">
        <f ca="1"/>
        <v>6733.7999999999993</v>
      </c>
      <c r="BZ21">
        <f ca="1"/>
        <v>6874.2</v>
      </c>
      <c r="CA21">
        <f ca="1"/>
        <v>6417</v>
      </c>
      <c r="CB21">
        <f ca="1"/>
        <v>6442.2</v>
      </c>
      <c r="CC21">
        <f ca="1"/>
        <v>6363</v>
      </c>
      <c r="CD21">
        <f ca="1"/>
        <v>6280.2</v>
      </c>
      <c r="CE21">
        <f ca="1"/>
        <v>6163.2000000000007</v>
      </c>
      <c r="CF21">
        <f ca="1"/>
        <v>6121.7999999999993</v>
      </c>
      <c r="CG21">
        <f ca="1"/>
        <v>6128.9999999999991</v>
      </c>
      <c r="CH21">
        <f ca="1"/>
        <v>6154.2</v>
      </c>
      <c r="CI21">
        <f ca="1"/>
        <v>6040.8</v>
      </c>
      <c r="CJ21">
        <f ca="1"/>
        <v>6112.8</v>
      </c>
      <c r="CK21">
        <f ca="1"/>
        <v>6183</v>
      </c>
      <c r="CL21">
        <f ca="1"/>
        <v>6217.2</v>
      </c>
      <c r="CM21">
        <f ca="1"/>
        <v>6166.7999999999993</v>
      </c>
      <c r="CN21">
        <f ca="1"/>
        <v>6199.2</v>
      </c>
      <c r="CO21">
        <f ca="1"/>
        <v>6328.7999999999993</v>
      </c>
      <c r="CP21">
        <f ca="1"/>
        <v>6273</v>
      </c>
      <c r="CQ21">
        <f ca="1"/>
        <v>6323.4000000000005</v>
      </c>
      <c r="CR21">
        <f ca="1"/>
        <v>6303.6</v>
      </c>
      <c r="CS21">
        <f ca="1"/>
        <v>6420.6</v>
      </c>
      <c r="CT21">
        <f ca="1"/>
        <v>6271.2000000000007</v>
      </c>
      <c r="CU21">
        <f ca="1"/>
        <v>6208.2000000000007</v>
      </c>
      <c r="CV21">
        <f ca="1"/>
        <v>6111.0000000000009</v>
      </c>
      <c r="CW21">
        <f ca="1"/>
        <v>6204.5999999999995</v>
      </c>
      <c r="CX21">
        <f ca="1"/>
        <v>6195.6</v>
      </c>
      <c r="CY21">
        <f ca="1"/>
        <v>6224.4</v>
      </c>
      <c r="CZ21">
        <f ca="1"/>
        <v>6278.4000000000005</v>
      </c>
      <c r="DA21">
        <f ca="1"/>
        <v>6269.4</v>
      </c>
      <c r="DB21">
        <f ca="1"/>
        <v>6231.5999999999995</v>
      </c>
      <c r="DC21">
        <f ca="1"/>
        <v>6305.4000000000005</v>
      </c>
      <c r="DD21">
        <f ca="1"/>
        <v>6393.6</v>
      </c>
      <c r="DE21">
        <f ca="1"/>
        <v>6343.2000000000007</v>
      </c>
      <c r="DF21">
        <f ca="1"/>
        <v>6283.7999999999993</v>
      </c>
      <c r="DG21">
        <f ca="1"/>
        <v>6357.6</v>
      </c>
      <c r="DH21">
        <f ca="1"/>
        <v>6184.8</v>
      </c>
      <c r="DI21">
        <f ca="1"/>
        <v>6321.5999999999995</v>
      </c>
      <c r="DJ21">
        <f ca="1"/>
        <v>6289.2</v>
      </c>
      <c r="DK21">
        <f ca="1"/>
        <v>6388.2000000000007</v>
      </c>
      <c r="DL21">
        <f ca="1"/>
        <v>6409.8</v>
      </c>
      <c r="DM21">
        <f ca="1"/>
        <v>6501.5999999999995</v>
      </c>
      <c r="DN21">
        <f ca="1"/>
        <v>6571.7999999999993</v>
      </c>
      <c r="DO21">
        <f ca="1"/>
        <v>6456.5999999999995</v>
      </c>
      <c r="DP21">
        <f ca="1"/>
        <v>6697.8</v>
      </c>
      <c r="DQ21">
        <f ca="1"/>
        <v>6663.6</v>
      </c>
      <c r="DR21">
        <f ca="1"/>
        <v>6668.9999999999991</v>
      </c>
      <c r="DS21">
        <f ca="1"/>
        <v>6876.0000000000009</v>
      </c>
      <c r="DT21">
        <f ca="1"/>
        <v>6996.5999999999995</v>
      </c>
      <c r="DU21">
        <f ca="1"/>
        <v>7016.4</v>
      </c>
      <c r="DV21">
        <f ca="1"/>
        <v>6881.4</v>
      </c>
      <c r="DW21">
        <f ca="1"/>
        <v>6654.5999999999995</v>
      </c>
      <c r="DX21">
        <f ca="1"/>
        <v>6786.0000000000009</v>
      </c>
      <c r="DY21">
        <f ca="1"/>
        <v>7086.5999999999995</v>
      </c>
      <c r="DZ21">
        <f ca="1"/>
        <v>7264.8</v>
      </c>
      <c r="EA21">
        <f ca="1"/>
        <v>7198.2000000000007</v>
      </c>
      <c r="EB21">
        <f ca="1"/>
        <v>7329.5999999999995</v>
      </c>
      <c r="EC21">
        <f ca="1"/>
        <v>7178.4000000000005</v>
      </c>
      <c r="ED21">
        <f ca="1"/>
        <v>7126.2000000000007</v>
      </c>
      <c r="EE21">
        <f ca="1"/>
        <v>7203.6</v>
      </c>
      <c r="EF21">
        <f ca="1"/>
        <v>7388.9999999999991</v>
      </c>
      <c r="EG21">
        <f ca="1"/>
        <v>7538.4000000000005</v>
      </c>
      <c r="EH21">
        <f ca="1"/>
        <v>7887.6</v>
      </c>
      <c r="EI21">
        <f ca="1"/>
        <v>7705.8</v>
      </c>
      <c r="EJ21">
        <f ca="1"/>
        <v>7599.5999999999995</v>
      </c>
      <c r="EK21">
        <f ca="1"/>
        <v>7695</v>
      </c>
      <c r="EL21">
        <f ca="1"/>
        <v>7972.2</v>
      </c>
      <c r="EM21">
        <f ca="1"/>
        <v>7928.9999999999991</v>
      </c>
      <c r="EN21">
        <f ca="1"/>
        <v>7695</v>
      </c>
      <c r="EO21">
        <f ca="1"/>
        <v>7875</v>
      </c>
      <c r="EP21">
        <f ca="1"/>
        <v>7842.6</v>
      </c>
      <c r="EQ21">
        <f ca="1"/>
        <v>7855.2</v>
      </c>
      <c r="ER21">
        <f ca="1"/>
        <v>7412.4</v>
      </c>
      <c r="ES21">
        <f ca="1"/>
        <v>7374.5999999999995</v>
      </c>
      <c r="ET21">
        <f ca="1"/>
        <v>7324.2</v>
      </c>
      <c r="EU21">
        <f ca="1"/>
        <v>7295.4000000000005</v>
      </c>
      <c r="EV21">
        <f ca="1"/>
        <v>7317</v>
      </c>
      <c r="EW21">
        <f ca="1"/>
        <v>7191.0000000000009</v>
      </c>
      <c r="EX21">
        <f ca="1"/>
        <v>7232.4</v>
      </c>
      <c r="EY21">
        <f ca="1"/>
        <v>7239.5999999999995</v>
      </c>
      <c r="EZ21">
        <f ca="1"/>
        <v>7223.4000000000005</v>
      </c>
      <c r="FA21">
        <f ca="1"/>
        <v>7223.4000000000005</v>
      </c>
      <c r="FB21">
        <f ca="1"/>
        <v>7173</v>
      </c>
      <c r="FC21">
        <f ca="1"/>
        <v>7138.7999999999993</v>
      </c>
      <c r="FD21">
        <f ca="1"/>
        <v>7243.2000000000007</v>
      </c>
      <c r="FE21">
        <f ca="1"/>
        <v>7185.6</v>
      </c>
      <c r="FF21">
        <f ca="1"/>
        <v>7081.2000000000007</v>
      </c>
      <c r="FG21">
        <f ca="1"/>
        <v>7025.4000000000005</v>
      </c>
      <c r="FH21">
        <f ca="1"/>
        <v>6991.2000000000007</v>
      </c>
      <c r="FI21">
        <f ca="1"/>
        <v>7137</v>
      </c>
      <c r="FJ21">
        <f ca="1"/>
        <v>7059.5999999999995</v>
      </c>
      <c r="FK21">
        <f ca="1"/>
        <v>7061.4</v>
      </c>
      <c r="FL21">
        <f ca="1"/>
        <v>7036.2000000000007</v>
      </c>
      <c r="FM21">
        <f ca="1"/>
        <v>7047</v>
      </c>
      <c r="FN21">
        <f ca="1"/>
        <v>6967.8</v>
      </c>
      <c r="FO21">
        <f ca="1"/>
        <v>6919.2</v>
      </c>
      <c r="FP21">
        <f ca="1"/>
        <v>6870.6</v>
      </c>
      <c r="FQ21">
        <f ca="1"/>
        <v>6888.6</v>
      </c>
      <c r="FR21">
        <f ca="1"/>
        <v>6623.9999999999991</v>
      </c>
      <c r="FS21">
        <f ca="1"/>
        <v>6620.4000000000005</v>
      </c>
      <c r="FT21">
        <f ca="1"/>
        <v>6663.6</v>
      </c>
      <c r="FU21">
        <f ca="1"/>
        <v>6755.4000000000005</v>
      </c>
      <c r="FV21">
        <f ca="1"/>
        <v>6719.4</v>
      </c>
      <c r="FW21">
        <f ca="1"/>
        <v>6758.9999999999991</v>
      </c>
      <c r="FX21">
        <f ca="1"/>
        <v>6719.4</v>
      </c>
      <c r="FY21">
        <f ca="1"/>
        <v>6625.8</v>
      </c>
      <c r="FZ21">
        <f ca="1"/>
        <v>6676.2000000000007</v>
      </c>
      <c r="GA21">
        <f ca="1"/>
        <v>6910.2</v>
      </c>
      <c r="GB21">
        <f ca="1"/>
        <v>6924.5999999999995</v>
      </c>
      <c r="GC21">
        <f ca="1"/>
        <v>6976.7999999999993</v>
      </c>
      <c r="GD21">
        <f ca="1"/>
        <v>6865.2</v>
      </c>
      <c r="GE21">
        <f ca="1"/>
        <v>6703.2000000000007</v>
      </c>
      <c r="GF21">
        <f ca="1"/>
        <v>6739.2</v>
      </c>
      <c r="GG21">
        <f ca="1"/>
        <v>6861.5999999999995</v>
      </c>
      <c r="GH21">
        <f ca="1"/>
        <v>7144.2</v>
      </c>
      <c r="GI21">
        <f ca="1"/>
        <v>7018.2000000000007</v>
      </c>
      <c r="GJ21">
        <f ca="1"/>
        <v>7016.4</v>
      </c>
      <c r="GK21">
        <f ca="1"/>
        <v>7068.6</v>
      </c>
      <c r="GL21">
        <f ca="1"/>
        <v>6980.4000000000005</v>
      </c>
      <c r="GM21">
        <f ca="1"/>
        <v>6886.7999999999993</v>
      </c>
      <c r="GN21">
        <f ca="1"/>
        <v>6976.7999999999993</v>
      </c>
      <c r="GO21">
        <f ca="1"/>
        <v>6983.9999999999991</v>
      </c>
      <c r="GP21">
        <f ca="1"/>
        <v>6993</v>
      </c>
      <c r="GQ21">
        <f ca="1"/>
        <v>6983.9999999999991</v>
      </c>
      <c r="GR21">
        <f ca="1"/>
        <v>7048.7999999999993</v>
      </c>
      <c r="GS21">
        <f ca="1"/>
        <v>7083</v>
      </c>
      <c r="GT21">
        <f ca="1"/>
        <v>6895.8</v>
      </c>
      <c r="GU21">
        <f ca="1"/>
        <v>7311.5999999999995</v>
      </c>
      <c r="GV21">
        <f ca="1"/>
        <v>7343.9999999999991</v>
      </c>
      <c r="GW21">
        <f ca="1"/>
        <v>7452</v>
      </c>
      <c r="GX21">
        <f ca="1"/>
        <v>7356.5999999999995</v>
      </c>
      <c r="GY21">
        <f ca="1"/>
        <v>7282.8</v>
      </c>
      <c r="GZ21">
        <f ca="1"/>
        <v>7488</v>
      </c>
      <c r="HA21">
        <f ca="1"/>
        <v>7552.8</v>
      </c>
      <c r="HB21">
        <f ca="1"/>
        <v>7540.2</v>
      </c>
      <c r="HC21">
        <f ca="1"/>
        <v>7655.4000000000005</v>
      </c>
      <c r="HD21">
        <f ca="1"/>
        <v>7615.8</v>
      </c>
      <c r="HE21">
        <f ca="1"/>
        <v>7792.2</v>
      </c>
      <c r="HF21">
        <f ca="1"/>
        <v>7857</v>
      </c>
      <c r="HG21">
        <f ca="1"/>
        <v>7722</v>
      </c>
      <c r="HH21">
        <f ca="1"/>
        <v>7763.4000000000005</v>
      </c>
      <c r="HI21">
        <f ca="1"/>
        <v>7849.8</v>
      </c>
      <c r="HJ21">
        <f ca="1"/>
        <v>7867.8</v>
      </c>
      <c r="HK21">
        <f ca="1"/>
        <v>7914.5999999999995</v>
      </c>
      <c r="HL21">
        <f ca="1"/>
        <v>7903.7999999999993</v>
      </c>
      <c r="HM21">
        <f ca="1"/>
        <v>7972.2</v>
      </c>
      <c r="HN21">
        <f ca="1"/>
        <v>7806.5999999999995</v>
      </c>
      <c r="HO21">
        <f ca="1"/>
        <v>7785</v>
      </c>
      <c r="HP21">
        <f ca="1"/>
        <v>7594.2</v>
      </c>
      <c r="HQ21">
        <f ca="1"/>
        <v>7478.9999999999991</v>
      </c>
      <c r="HR21">
        <f ca="1"/>
        <v>7457.4</v>
      </c>
      <c r="HS21">
        <f ca="1"/>
        <v>7410.6</v>
      </c>
      <c r="HT21">
        <f ca="1"/>
        <v>7345.8</v>
      </c>
      <c r="HU21">
        <f ca="1"/>
        <v>7516.7999999999993</v>
      </c>
      <c r="HV21">
        <f ca="1"/>
        <v>7594.2</v>
      </c>
      <c r="HW21">
        <f ca="1"/>
        <v>7572.6</v>
      </c>
      <c r="HX21">
        <f ca="1"/>
        <v>7464.5999999999995</v>
      </c>
      <c r="HY21">
        <f ca="1"/>
        <v>7551.0000000000009</v>
      </c>
      <c r="HZ21">
        <f ca="1"/>
        <v>7689.5999999999995</v>
      </c>
      <c r="IA21">
        <f ca="1"/>
        <v>7826.4</v>
      </c>
      <c r="IB21">
        <f ca="1"/>
        <v>7885.8</v>
      </c>
      <c r="IC21">
        <f ca="1"/>
        <v>7648.2000000000007</v>
      </c>
      <c r="ID21">
        <f ca="1"/>
        <v>7554.5999999999995</v>
      </c>
      <c r="IE21">
        <f ca="1"/>
        <v>7758</v>
      </c>
      <c r="IF21">
        <f ca="1"/>
        <v>7880.4000000000005</v>
      </c>
      <c r="IG21">
        <f ca="1"/>
        <v>7830</v>
      </c>
      <c r="IH21">
        <f ca="1"/>
        <v>7939.8</v>
      </c>
      <c r="II21">
        <f ca="1"/>
        <v>7943.4000000000005</v>
      </c>
      <c r="IJ21">
        <f ca="1"/>
        <v>8168.4000000000005</v>
      </c>
      <c r="IK21">
        <f ca="1"/>
        <v>8292.6</v>
      </c>
      <c r="IL21">
        <f ca="1"/>
        <v>8388</v>
      </c>
      <c r="IM21">
        <f ca="1"/>
        <v>8364.6</v>
      </c>
      <c r="IN21">
        <f ca="1"/>
        <v>8208</v>
      </c>
      <c r="IO21">
        <f ca="1"/>
        <v>8510.4</v>
      </c>
      <c r="IP21">
        <f ca="1"/>
        <v>8460</v>
      </c>
      <c r="IQ21">
        <f ca="1"/>
        <v>8623.7999999999993</v>
      </c>
      <c r="IR21">
        <f ca="1"/>
        <v>8542.7999999999993</v>
      </c>
      <c r="IS21">
        <f ca="1"/>
        <v>8623.7999999999993</v>
      </c>
      <c r="IT21">
        <f ca="1"/>
        <v>8742.6</v>
      </c>
      <c r="IU21">
        <f ca="1"/>
        <v>8559</v>
      </c>
      <c r="IV21">
        <f ca="1"/>
        <v>8548.2000000000007</v>
      </c>
      <c r="IW21">
        <f ca="1"/>
        <v>8524.7999999999993</v>
      </c>
    </row>
    <row r="22" spans="2:257" x14ac:dyDescent="0.25">
      <c r="B22" t="str">
        <f t="shared" si="408"/>
        <v>20K6HZ6</v>
      </c>
      <c r="C22" t="s">
        <v>160</v>
      </c>
      <c r="D22" t="e" vm="515">
        <v>#VALUE!</v>
      </c>
      <c r="E22" t="str" cm="1">
        <f t="array" aca="1" ref="E22" ca="1">_FV(D22,"Code mnémonique",TRUE)</f>
        <v>BMO</v>
      </c>
      <c r="F22" s="12">
        <f>_xlfn.XLOOKUP(D22,Titres[Action],Titres[Nb d''actions])</f>
        <v>65</v>
      </c>
      <c r="G22" cm="1">
        <f t="array" aca="1" ref="G22:IW22" ca="1">IFERROR(TRANSPOSE(_xlfn.STOCKHISTORY(D22,TODAY()-365,TODAY(),0,0,1))*F22,"")</f>
        <v>8303.75</v>
      </c>
      <c r="H22">
        <f ca="1"/>
        <v>8455.2000000000007</v>
      </c>
      <c r="I22">
        <f ca="1"/>
        <v>8492.25</v>
      </c>
      <c r="J22">
        <f ca="1"/>
        <v>8600.7999999999993</v>
      </c>
      <c r="K22">
        <f ca="1"/>
        <v>8561.7999999999993</v>
      </c>
      <c r="L22">
        <f ca="1"/>
        <v>8610.5499999999993</v>
      </c>
      <c r="M22">
        <f ca="1"/>
        <v>8570.25</v>
      </c>
      <c r="N22">
        <f ca="1"/>
        <v>8585.85</v>
      </c>
      <c r="O22">
        <f ca="1"/>
        <v>8662.5500000000011</v>
      </c>
      <c r="P22">
        <f ca="1"/>
        <v>8764.6</v>
      </c>
      <c r="Q22">
        <f ca="1"/>
        <v>8780.2000000000007</v>
      </c>
      <c r="R22">
        <f ca="1"/>
        <v>8777.6</v>
      </c>
      <c r="S22">
        <f ca="1"/>
        <v>8827</v>
      </c>
      <c r="T22">
        <f ca="1"/>
        <v>8970</v>
      </c>
      <c r="U22">
        <f ca="1"/>
        <v>9016.7999999999993</v>
      </c>
      <c r="V22">
        <f ca="1"/>
        <v>9222.8499999999985</v>
      </c>
      <c r="W22">
        <f ca="1"/>
        <v>9228.6999999999989</v>
      </c>
      <c r="X22">
        <f ca="1"/>
        <v>9306.0499999999993</v>
      </c>
      <c r="Y22">
        <f ca="1"/>
        <v>9337.25</v>
      </c>
      <c r="Z22">
        <f ca="1"/>
        <v>9343.75</v>
      </c>
      <c r="AA22">
        <f ca="1"/>
        <v>9367.1500000000015</v>
      </c>
      <c r="AB22">
        <f ca="1"/>
        <v>9317.1</v>
      </c>
      <c r="AC22">
        <f ca="1"/>
        <v>9342.4499999999989</v>
      </c>
      <c r="AD22">
        <f ca="1"/>
        <v>9273.5499999999993</v>
      </c>
      <c r="AE22">
        <f ca="1"/>
        <v>9351.5500000000011</v>
      </c>
      <c r="AF22">
        <f ca="1"/>
        <v>9415.9000000000015</v>
      </c>
      <c r="AG22">
        <f ca="1"/>
        <v>9560.85</v>
      </c>
      <c r="AH22">
        <f ca="1"/>
        <v>9606.35</v>
      </c>
      <c r="AI22">
        <f ca="1"/>
        <v>9579.0500000000011</v>
      </c>
      <c r="AJ22">
        <f ca="1"/>
        <v>9608.9500000000007</v>
      </c>
      <c r="AK22">
        <f ca="1"/>
        <v>9616.1</v>
      </c>
      <c r="AL22">
        <f ca="1"/>
        <v>9627.8000000000011</v>
      </c>
      <c r="AM22">
        <f ca="1"/>
        <v>9621.3000000000011</v>
      </c>
      <c r="AN22">
        <f ca="1"/>
        <v>9638.85</v>
      </c>
      <c r="AO22">
        <f ca="1"/>
        <v>9614.15</v>
      </c>
      <c r="AP22">
        <f ca="1"/>
        <v>9590.75</v>
      </c>
      <c r="AQ22">
        <f ca="1"/>
        <v>9573.85</v>
      </c>
      <c r="AR22">
        <f ca="1"/>
        <v>9594</v>
      </c>
      <c r="AS22">
        <f ca="1"/>
        <v>9443.85</v>
      </c>
      <c r="AT22">
        <f ca="1"/>
        <v>9437.35</v>
      </c>
      <c r="AU22">
        <f ca="1"/>
        <v>9419.15</v>
      </c>
      <c r="AV22">
        <f ca="1"/>
        <v>9462.0499999999993</v>
      </c>
      <c r="AW22">
        <f ca="1"/>
        <v>9377.5500000000011</v>
      </c>
      <c r="AX22">
        <f ca="1"/>
        <v>9401.5999999999985</v>
      </c>
      <c r="AY22">
        <f ca="1"/>
        <v>9405.5</v>
      </c>
      <c r="AZ22">
        <f ca="1"/>
        <v>9525.75</v>
      </c>
      <c r="BA22">
        <f ca="1"/>
        <v>9511.4500000000007</v>
      </c>
      <c r="BB22">
        <f ca="1"/>
        <v>9676.5500000000011</v>
      </c>
      <c r="BC22">
        <f ca="1"/>
        <v>9721.4</v>
      </c>
      <c r="BD22">
        <f ca="1"/>
        <v>9809.15</v>
      </c>
      <c r="BE22">
        <f ca="1"/>
        <v>9902.75</v>
      </c>
      <c r="BF22">
        <f ca="1"/>
        <v>10015.85</v>
      </c>
      <c r="BG22">
        <f ca="1"/>
        <v>9997</v>
      </c>
      <c r="BH22">
        <f ca="1"/>
        <v>9942.4</v>
      </c>
      <c r="BI22">
        <f ca="1"/>
        <v>10023.65</v>
      </c>
      <c r="BJ22">
        <f ca="1"/>
        <v>10058.75</v>
      </c>
      <c r="BK22">
        <f ca="1"/>
        <v>10179.650000000001</v>
      </c>
      <c r="BL22">
        <f ca="1"/>
        <v>10117.9</v>
      </c>
      <c r="BM22">
        <f ca="1"/>
        <v>10111.4</v>
      </c>
      <c r="BN22">
        <f ca="1"/>
        <v>10054.85</v>
      </c>
      <c r="BO22">
        <f ca="1"/>
        <v>10118.549999999999</v>
      </c>
      <c r="BP22">
        <f ca="1"/>
        <v>10217.35</v>
      </c>
      <c r="BQ22">
        <f ca="1"/>
        <v>10195.25</v>
      </c>
      <c r="BR22">
        <f ca="1"/>
        <v>10224.5</v>
      </c>
      <c r="BS22">
        <f ca="1"/>
        <v>10157.550000000001</v>
      </c>
      <c r="BT22">
        <f ca="1"/>
        <v>10146.5</v>
      </c>
      <c r="BU22">
        <f ca="1"/>
        <v>10119.200000000001</v>
      </c>
      <c r="BV22">
        <f ca="1"/>
        <v>10195.900000000001</v>
      </c>
      <c r="BW22">
        <f ca="1"/>
        <v>10122.449999999999</v>
      </c>
      <c r="BX22">
        <f ca="1"/>
        <v>10143.9</v>
      </c>
      <c r="BY22">
        <f ca="1"/>
        <v>10004.15</v>
      </c>
      <c r="BZ22">
        <f ca="1"/>
        <v>9941.1</v>
      </c>
      <c r="CA22">
        <f ca="1"/>
        <v>9939.7999999999993</v>
      </c>
      <c r="CB22">
        <f ca="1"/>
        <v>10024.299999999999</v>
      </c>
      <c r="CC22">
        <f ca="1"/>
        <v>10056.799999999999</v>
      </c>
      <c r="CD22">
        <f ca="1"/>
        <v>10063.950000000001</v>
      </c>
      <c r="CE22">
        <f ca="1"/>
        <v>10088.65</v>
      </c>
      <c r="CF22">
        <f ca="1"/>
        <v>10102.950000000001</v>
      </c>
      <c r="CG22">
        <f ca="1"/>
        <v>10144.549999999999</v>
      </c>
      <c r="CH22">
        <f ca="1"/>
        <v>10254.4</v>
      </c>
      <c r="CI22">
        <f ca="1"/>
        <v>10244</v>
      </c>
      <c r="CJ22">
        <f ca="1"/>
        <v>10185.5</v>
      </c>
      <c r="CK22">
        <f ca="1"/>
        <v>10148.449999999999</v>
      </c>
      <c r="CL22">
        <f ca="1"/>
        <v>10199.15</v>
      </c>
      <c r="CM22">
        <f ca="1"/>
        <v>10167.299999999999</v>
      </c>
      <c r="CN22">
        <f ca="1"/>
        <v>10173.800000000001</v>
      </c>
      <c r="CO22">
        <f ca="1"/>
        <v>10314.200000000001</v>
      </c>
      <c r="CP22">
        <f ca="1"/>
        <v>10255.700000000001</v>
      </c>
      <c r="CQ22">
        <f ca="1"/>
        <v>10735.4</v>
      </c>
      <c r="CR22">
        <f ca="1"/>
        <v>10674.3</v>
      </c>
      <c r="CS22">
        <f ca="1"/>
        <v>10661.95</v>
      </c>
      <c r="CT22">
        <f ca="1"/>
        <v>10802.35</v>
      </c>
      <c r="CU22">
        <f ca="1"/>
        <v>10903.1</v>
      </c>
      <c r="CV22">
        <f ca="1"/>
        <v>11081.85</v>
      </c>
      <c r="CW22">
        <f ca="1"/>
        <v>11253.449999999999</v>
      </c>
      <c r="CX22">
        <f ca="1"/>
        <v>11356.8</v>
      </c>
      <c r="CY22">
        <f ca="1"/>
        <v>11399.699999999999</v>
      </c>
      <c r="CZ22">
        <f ca="1"/>
        <v>11394.5</v>
      </c>
      <c r="DA22">
        <f ca="1"/>
        <v>11382.150000000001</v>
      </c>
      <c r="DB22">
        <f ca="1"/>
        <v>11398.400000000001</v>
      </c>
      <c r="DC22">
        <f ca="1"/>
        <v>11370.45</v>
      </c>
      <c r="DD22">
        <f ca="1"/>
        <v>11443.25</v>
      </c>
      <c r="DE22">
        <f ca="1"/>
        <v>11610.300000000001</v>
      </c>
      <c r="DF22">
        <f ca="1"/>
        <v>11610.300000000001</v>
      </c>
      <c r="DG22">
        <f ca="1"/>
        <v>11603.800000000001</v>
      </c>
      <c r="DH22">
        <f ca="1"/>
        <v>11691.550000000001</v>
      </c>
      <c r="DI22">
        <f ca="1"/>
        <v>11644.099999999999</v>
      </c>
      <c r="DJ22">
        <f ca="1"/>
        <v>11750.050000000001</v>
      </c>
      <c r="DK22">
        <f ca="1"/>
        <v>11599.25</v>
      </c>
      <c r="DL22">
        <f ca="1"/>
        <v>11730.55</v>
      </c>
      <c r="DM22">
        <f ca="1"/>
        <v>11830</v>
      </c>
      <c r="DN22">
        <f ca="1"/>
        <v>11751.35</v>
      </c>
      <c r="DO22">
        <f ca="1"/>
        <v>11787.75</v>
      </c>
      <c r="DP22">
        <f ca="1"/>
        <v>11818.3</v>
      </c>
      <c r="DQ22">
        <f ca="1"/>
        <v>11820.900000000001</v>
      </c>
      <c r="DR22">
        <f ca="1"/>
        <v>11701.300000000001</v>
      </c>
      <c r="DS22">
        <f ca="1"/>
        <v>11731.199999999999</v>
      </c>
      <c r="DT22">
        <f ca="1"/>
        <v>11675.949999999999</v>
      </c>
      <c r="DU22">
        <f ca="1"/>
        <v>11534.9</v>
      </c>
      <c r="DV22">
        <f ca="1"/>
        <v>11532.95</v>
      </c>
      <c r="DW22">
        <f ca="1"/>
        <v>11438.699999999999</v>
      </c>
      <c r="DX22">
        <f ca="1"/>
        <v>11651.25</v>
      </c>
      <c r="DY22">
        <f ca="1"/>
        <v>11708.449999999999</v>
      </c>
      <c r="DZ22">
        <f ca="1"/>
        <v>11397.75</v>
      </c>
      <c r="EA22">
        <f ca="1"/>
        <v>11378.25</v>
      </c>
      <c r="EB22">
        <f ca="1"/>
        <v>11471.85</v>
      </c>
      <c r="EC22">
        <f ca="1"/>
        <v>11417.25</v>
      </c>
      <c r="ED22">
        <f ca="1"/>
        <v>11424.4</v>
      </c>
      <c r="EE22">
        <f ca="1"/>
        <v>11447.800000000001</v>
      </c>
      <c r="EF22">
        <f ca="1"/>
        <v>11519.949999999999</v>
      </c>
      <c r="EG22">
        <f ca="1"/>
        <v>11572.6</v>
      </c>
      <c r="EH22">
        <f ca="1"/>
        <v>11537.5</v>
      </c>
      <c r="EI22">
        <f ca="1"/>
        <v>11420.5</v>
      </c>
      <c r="EJ22">
        <f ca="1"/>
        <v>11248.25</v>
      </c>
      <c r="EK22">
        <f ca="1"/>
        <v>11324.949999999999</v>
      </c>
      <c r="EL22">
        <f ca="1"/>
        <v>11406.85</v>
      </c>
      <c r="EM22">
        <f ca="1"/>
        <v>11226.8</v>
      </c>
      <c r="EN22">
        <f ca="1"/>
        <v>11258.65</v>
      </c>
      <c r="EO22">
        <f ca="1"/>
        <v>11288.55</v>
      </c>
      <c r="EP22">
        <f ca="1"/>
        <v>11269.699999999999</v>
      </c>
      <c r="EQ22">
        <f ca="1"/>
        <v>11422.449999999999</v>
      </c>
      <c r="ER22">
        <f ca="1"/>
        <v>11400.349999999999</v>
      </c>
      <c r="ES22">
        <f ca="1"/>
        <v>11497.199999999999</v>
      </c>
      <c r="ET22">
        <f ca="1"/>
        <v>11323</v>
      </c>
      <c r="EU22">
        <f ca="1"/>
        <v>11304.8</v>
      </c>
      <c r="EV22">
        <f ca="1"/>
        <v>11159.2</v>
      </c>
      <c r="EW22">
        <f ca="1"/>
        <v>11063</v>
      </c>
      <c r="EX22">
        <f ca="1"/>
        <v>11128.65</v>
      </c>
      <c r="EY22">
        <f ca="1"/>
        <v>10993.449999999999</v>
      </c>
      <c r="EZ22">
        <f ca="1"/>
        <v>11091.599999999999</v>
      </c>
      <c r="FA22">
        <f ca="1"/>
        <v>11219</v>
      </c>
      <c r="FB22">
        <f ca="1"/>
        <v>11350.300000000001</v>
      </c>
      <c r="FC22">
        <f ca="1"/>
        <v>11444.55</v>
      </c>
      <c r="FD22">
        <f ca="1"/>
        <v>11439.35</v>
      </c>
      <c r="FE22">
        <f ca="1"/>
        <v>11499.15</v>
      </c>
      <c r="FF22">
        <f ca="1"/>
        <v>11298.3</v>
      </c>
      <c r="FG22">
        <f ca="1"/>
        <v>11425.7</v>
      </c>
      <c r="FH22">
        <f ca="1"/>
        <v>11506.300000000001</v>
      </c>
      <c r="FI22">
        <f ca="1"/>
        <v>11493.3</v>
      </c>
      <c r="FJ22">
        <f ca="1"/>
        <v>11585.6</v>
      </c>
      <c r="FK22">
        <f ca="1"/>
        <v>11404.25</v>
      </c>
      <c r="FL22">
        <f ca="1"/>
        <v>11389.949999999999</v>
      </c>
      <c r="FM22">
        <f ca="1"/>
        <v>11619.4</v>
      </c>
      <c r="FN22">
        <f ca="1"/>
        <v>11824.15</v>
      </c>
      <c r="FO22">
        <f ca="1"/>
        <v>11784.5</v>
      </c>
      <c r="FP22">
        <f ca="1"/>
        <v>11824.15</v>
      </c>
      <c r="FQ22">
        <f ca="1"/>
        <v>11672.05</v>
      </c>
      <c r="FR22">
        <f ca="1"/>
        <v>11506.95</v>
      </c>
      <c r="FS22">
        <f ca="1"/>
        <v>11549.2</v>
      </c>
      <c r="FT22">
        <f ca="1"/>
        <v>11633.699999999999</v>
      </c>
      <c r="FU22">
        <f ca="1"/>
        <v>11599.9</v>
      </c>
      <c r="FV22">
        <f ca="1"/>
        <v>11597.95</v>
      </c>
      <c r="FW22">
        <f ca="1"/>
        <v>11596</v>
      </c>
      <c r="FX22">
        <f ca="1"/>
        <v>11687.65</v>
      </c>
      <c r="FY22">
        <f ca="1"/>
        <v>11618.75</v>
      </c>
      <c r="FZ22">
        <f ca="1"/>
        <v>11586.25</v>
      </c>
      <c r="GA22">
        <f ca="1"/>
        <v>11804.650000000001</v>
      </c>
      <c r="GB22">
        <f ca="1"/>
        <v>11998.35</v>
      </c>
      <c r="GC22">
        <f ca="1"/>
        <v>11939.85</v>
      </c>
      <c r="GD22">
        <f ca="1"/>
        <v>11912.550000000001</v>
      </c>
      <c r="GE22">
        <f ca="1"/>
        <v>12015.900000000001</v>
      </c>
      <c r="GF22">
        <f ca="1"/>
        <v>11996.4</v>
      </c>
      <c r="GG22">
        <f ca="1"/>
        <v>12086.1</v>
      </c>
      <c r="GH22">
        <f ca="1"/>
        <v>11934</v>
      </c>
      <c r="GI22">
        <f ca="1"/>
        <v>12030.85</v>
      </c>
      <c r="GJ22">
        <f ca="1"/>
        <v>12183.6</v>
      </c>
      <c r="GK22">
        <f ca="1"/>
        <v>12337.65</v>
      </c>
      <c r="GL22">
        <f ca="1"/>
        <v>12261.599999999999</v>
      </c>
      <c r="GM22">
        <f ca="1"/>
        <v>12078.3</v>
      </c>
      <c r="GN22">
        <f ca="1"/>
        <v>12197.9</v>
      </c>
      <c r="GO22">
        <f ca="1"/>
        <v>12424.75</v>
      </c>
      <c r="GP22">
        <f ca="1"/>
        <v>12260.300000000001</v>
      </c>
      <c r="GQ22">
        <f ca="1"/>
        <v>12194.650000000001</v>
      </c>
      <c r="GR22">
        <f ca="1"/>
        <v>12181</v>
      </c>
      <c r="GS22">
        <f ca="1"/>
        <v>12272.65</v>
      </c>
      <c r="GT22">
        <f ca="1"/>
        <v>12408.5</v>
      </c>
      <c r="GU22">
        <f ca="1"/>
        <v>12049.050000000001</v>
      </c>
      <c r="GV22">
        <f ca="1"/>
        <v>12307.75</v>
      </c>
      <c r="GW22">
        <f ca="1"/>
        <v>12546.95</v>
      </c>
      <c r="GX22">
        <f ca="1"/>
        <v>12509.9</v>
      </c>
      <c r="GY22">
        <f ca="1"/>
        <v>12454</v>
      </c>
      <c r="GZ22">
        <f ca="1"/>
        <v>12576.199999999999</v>
      </c>
      <c r="HA22">
        <f ca="1"/>
        <v>12758.85</v>
      </c>
      <c r="HB22">
        <f ca="1"/>
        <v>12836.85</v>
      </c>
      <c r="HC22">
        <f ca="1"/>
        <v>12675</v>
      </c>
      <c r="HD22">
        <f ca="1"/>
        <v>12400.7</v>
      </c>
      <c r="HE22">
        <f ca="1"/>
        <v>12491.05</v>
      </c>
      <c r="HF22">
        <f ca="1"/>
        <v>12540.45</v>
      </c>
      <c r="HG22">
        <f ca="1"/>
        <v>12684.75</v>
      </c>
      <c r="HH22">
        <f ca="1"/>
        <v>12788.75</v>
      </c>
      <c r="HI22">
        <f ca="1"/>
        <v>12984.4</v>
      </c>
      <c r="HJ22">
        <f ca="1"/>
        <v>12673.05</v>
      </c>
      <c r="HK22">
        <f ca="1"/>
        <v>12678.9</v>
      </c>
      <c r="HL22">
        <f ca="1"/>
        <v>13163.800000000001</v>
      </c>
      <c r="HM22">
        <f ca="1"/>
        <v>13236.599999999999</v>
      </c>
      <c r="HN22">
        <f ca="1"/>
        <v>12760.15</v>
      </c>
      <c r="HO22">
        <f ca="1"/>
        <v>12928.5</v>
      </c>
      <c r="HP22">
        <f ca="1"/>
        <v>12782.25</v>
      </c>
      <c r="HQ22">
        <f ca="1"/>
        <v>12953.85</v>
      </c>
      <c r="HR22">
        <f ca="1"/>
        <v>12798.5</v>
      </c>
      <c r="HS22">
        <f ca="1"/>
        <v>12554.099999999999</v>
      </c>
      <c r="HT22">
        <f ca="1"/>
        <v>12528.1</v>
      </c>
      <c r="HU22">
        <f ca="1"/>
        <v>12632.75</v>
      </c>
      <c r="HV22">
        <f ca="1"/>
        <v>12544.35</v>
      </c>
      <c r="HW22">
        <f ca="1"/>
        <v>12312.95</v>
      </c>
      <c r="HX22">
        <f ca="1"/>
        <v>12099.75</v>
      </c>
      <c r="HY22">
        <f ca="1"/>
        <v>12433.85</v>
      </c>
      <c r="HZ22">
        <f ca="1"/>
        <v>12457.25</v>
      </c>
      <c r="IA22">
        <f ca="1"/>
        <v>12324.650000000001</v>
      </c>
      <c r="IB22">
        <f ca="1"/>
        <v>12195.949999999999</v>
      </c>
      <c r="IC22">
        <f ca="1"/>
        <v>11933.35</v>
      </c>
      <c r="ID22">
        <f ca="1"/>
        <v>12236.9</v>
      </c>
      <c r="IE22">
        <f ca="1"/>
        <v>12203.75</v>
      </c>
      <c r="IF22">
        <f ca="1"/>
        <v>12315.55</v>
      </c>
      <c r="IG22">
        <f ca="1"/>
        <v>11931.4</v>
      </c>
      <c r="IH22">
        <f ca="1"/>
        <v>11896.95</v>
      </c>
      <c r="II22">
        <f ca="1"/>
        <v>11917.75</v>
      </c>
      <c r="IJ22">
        <f ca="1"/>
        <v>12247.3</v>
      </c>
      <c r="IK22">
        <f ca="1"/>
        <v>12378.6</v>
      </c>
      <c r="IL22">
        <f ca="1"/>
        <v>12326.599999999999</v>
      </c>
      <c r="IM22">
        <f ca="1"/>
        <v>12423.449999999999</v>
      </c>
      <c r="IN22">
        <f ca="1"/>
        <v>12493.65</v>
      </c>
      <c r="IO22">
        <f ca="1"/>
        <v>12678.25</v>
      </c>
      <c r="IP22">
        <f ca="1"/>
        <v>12810.85</v>
      </c>
      <c r="IQ22">
        <f ca="1"/>
        <v>12982.449999999999</v>
      </c>
      <c r="IR22">
        <f ca="1"/>
        <v>13100.1</v>
      </c>
      <c r="IS22">
        <f ca="1"/>
        <v>13277.550000000001</v>
      </c>
      <c r="IT22">
        <f ca="1"/>
        <v>13349.050000000001</v>
      </c>
      <c r="IU22">
        <f ca="1"/>
        <v>13304.2</v>
      </c>
      <c r="IV22">
        <f ca="1"/>
        <v>13529.75</v>
      </c>
      <c r="IW22">
        <f ca="1"/>
        <v>13624.650000000001</v>
      </c>
    </row>
    <row r="23" spans="2:257" x14ac:dyDescent="0.25">
      <c r="B23" t="str">
        <f t="shared" si="408"/>
        <v>20K6HZ6</v>
      </c>
      <c r="C23" t="s">
        <v>160</v>
      </c>
      <c r="D23" t="e" vm="574">
        <v>#VALUE!</v>
      </c>
      <c r="E23" t="str" cm="1">
        <f t="array" aca="1" ref="E23" ca="1">_FV(D23,"Code mnémonique",TRUE)</f>
        <v>BNS</v>
      </c>
      <c r="F23" s="12">
        <f>_xlfn.XLOOKUP(D23,Titres[Action],Titres[Nb d''actions])</f>
        <v>76</v>
      </c>
      <c r="G23" cm="1">
        <f t="array" aca="1" ref="G23:IW23" ca="1">IFERROR(TRANSPOSE(_xlfn.STOCKHISTORY(D23,TODAY()-365,TODAY(),0,0,1))*F23,"")</f>
        <v>4990.16</v>
      </c>
      <c r="H23">
        <f ca="1"/>
        <v>5063.1200000000008</v>
      </c>
      <c r="I23">
        <f ca="1"/>
        <v>5112.5199999999995</v>
      </c>
      <c r="J23">
        <f ca="1"/>
        <v>5115.5600000000004</v>
      </c>
      <c r="K23">
        <f ca="1"/>
        <v>5141.4000000000005</v>
      </c>
      <c r="L23">
        <f ca="1"/>
        <v>5170.28</v>
      </c>
      <c r="M23">
        <f ca="1"/>
        <v>5208.28</v>
      </c>
      <c r="N23">
        <f ca="1"/>
        <v>5242.4800000000005</v>
      </c>
      <c r="O23">
        <f ca="1"/>
        <v>5244</v>
      </c>
      <c r="P23">
        <f ca="1"/>
        <v>5290.36</v>
      </c>
      <c r="Q23">
        <f ca="1"/>
        <v>5275.92</v>
      </c>
      <c r="R23">
        <f ca="1"/>
        <v>5237.16</v>
      </c>
      <c r="S23">
        <f ca="1"/>
        <v>5275.16</v>
      </c>
      <c r="T23">
        <f ca="1"/>
        <v>5300.24</v>
      </c>
      <c r="U23">
        <f ca="1"/>
        <v>5321.5199999999995</v>
      </c>
      <c r="V23">
        <f ca="1"/>
        <v>5376.24</v>
      </c>
      <c r="W23">
        <f ca="1"/>
        <v>5366.36</v>
      </c>
      <c r="X23">
        <f ca="1"/>
        <v>5424.1200000000008</v>
      </c>
      <c r="Y23">
        <f ca="1"/>
        <v>5455.28</v>
      </c>
      <c r="Z23">
        <f ca="1"/>
        <v>5469.72</v>
      </c>
      <c r="AA23">
        <f ca="1"/>
        <v>5462.8799999999992</v>
      </c>
      <c r="AB23">
        <f ca="1"/>
        <v>5433.24</v>
      </c>
      <c r="AC23">
        <f ca="1"/>
        <v>5437.8</v>
      </c>
      <c r="AD23">
        <f ca="1"/>
        <v>5448.44</v>
      </c>
      <c r="AE23">
        <f ca="1"/>
        <v>5452.24</v>
      </c>
      <c r="AF23">
        <f ca="1"/>
        <v>5541.16</v>
      </c>
      <c r="AG23">
        <f ca="1"/>
        <v>5486.44</v>
      </c>
      <c r="AH23">
        <f ca="1"/>
        <v>5589.0400000000009</v>
      </c>
      <c r="AI23">
        <f ca="1"/>
        <v>5580.68</v>
      </c>
      <c r="AJ23">
        <f ca="1"/>
        <v>5570.0400000000009</v>
      </c>
      <c r="AK23">
        <f ca="1"/>
        <v>5560.16</v>
      </c>
      <c r="AL23">
        <f ca="1"/>
        <v>5557.8799999999992</v>
      </c>
      <c r="AM23">
        <f ca="1"/>
        <v>5568.5199999999995</v>
      </c>
      <c r="AN23">
        <f ca="1"/>
        <v>5611.08</v>
      </c>
      <c r="AO23">
        <f ca="1"/>
        <v>5623.24</v>
      </c>
      <c r="AP23">
        <f ca="1"/>
        <v>5622.4800000000005</v>
      </c>
      <c r="AQ23">
        <f ca="1"/>
        <v>5591.32</v>
      </c>
      <c r="AR23">
        <f ca="1"/>
        <v>5616.4000000000005</v>
      </c>
      <c r="AS23">
        <f ca="1"/>
        <v>5607.28</v>
      </c>
      <c r="AT23">
        <f ca="1"/>
        <v>5658.9599999999991</v>
      </c>
      <c r="AU23">
        <f ca="1"/>
        <v>5643</v>
      </c>
      <c r="AV23">
        <f ca="1"/>
        <v>5650.5999999999995</v>
      </c>
      <c r="AW23">
        <f ca="1"/>
        <v>5662</v>
      </c>
      <c r="AX23">
        <f ca="1"/>
        <v>5658.9599999999991</v>
      </c>
      <c r="AY23">
        <f ca="1"/>
        <v>5652.1200000000008</v>
      </c>
      <c r="AZ23">
        <f ca="1"/>
        <v>5670.36</v>
      </c>
      <c r="BA23">
        <f ca="1"/>
        <v>5661.24</v>
      </c>
      <c r="BB23">
        <f ca="1"/>
        <v>5710.64</v>
      </c>
      <c r="BC23">
        <f ca="1"/>
        <v>5712.16</v>
      </c>
      <c r="BD23">
        <f ca="1"/>
        <v>5722.8</v>
      </c>
      <c r="BE23">
        <f ca="1"/>
        <v>5698.4800000000005</v>
      </c>
      <c r="BF23">
        <f ca="1"/>
        <v>5696.9599999999991</v>
      </c>
      <c r="BG23">
        <f ca="1"/>
        <v>5693.92</v>
      </c>
      <c r="BH23">
        <f ca="1"/>
        <v>5700.76</v>
      </c>
      <c r="BI23">
        <f ca="1"/>
        <v>5708.36</v>
      </c>
      <c r="BJ23">
        <f ca="1"/>
        <v>5701.5199999999995</v>
      </c>
      <c r="BK23">
        <f ca="1"/>
        <v>5722.8</v>
      </c>
      <c r="BL23">
        <f ca="1"/>
        <v>5674.92</v>
      </c>
      <c r="BM23">
        <f ca="1"/>
        <v>5684.0400000000009</v>
      </c>
      <c r="BN23">
        <f ca="1"/>
        <v>5687.84</v>
      </c>
      <c r="BO23">
        <f ca="1"/>
        <v>5726.5999999999995</v>
      </c>
      <c r="BP23">
        <f ca="1"/>
        <v>5750.16</v>
      </c>
      <c r="BQ23">
        <f ca="1"/>
        <v>5757.76</v>
      </c>
      <c r="BR23">
        <f ca="1"/>
        <v>5776</v>
      </c>
      <c r="BS23">
        <f ca="1"/>
        <v>5828.44</v>
      </c>
      <c r="BT23">
        <f ca="1"/>
        <v>5872.5199999999995</v>
      </c>
      <c r="BU23">
        <f ca="1"/>
        <v>5877.84</v>
      </c>
      <c r="BV23">
        <f ca="1"/>
        <v>5899.8799999999992</v>
      </c>
      <c r="BW23">
        <f ca="1"/>
        <v>5874.0400000000009</v>
      </c>
      <c r="BX23">
        <f ca="1"/>
        <v>5859.5999999999995</v>
      </c>
      <c r="BY23">
        <f ca="1"/>
        <v>5890.76</v>
      </c>
      <c r="BZ23">
        <f ca="1"/>
        <v>5858.84</v>
      </c>
      <c r="CA23">
        <f ca="1"/>
        <v>5816.28</v>
      </c>
      <c r="CB23">
        <f ca="1"/>
        <v>5823.8799999999992</v>
      </c>
      <c r="CC23">
        <f ca="1"/>
        <v>5808.68</v>
      </c>
      <c r="CD23">
        <f ca="1"/>
        <v>5829.2</v>
      </c>
      <c r="CE23">
        <f ca="1"/>
        <v>5854.28</v>
      </c>
      <c r="CF23">
        <f ca="1"/>
        <v>5874.8</v>
      </c>
      <c r="CG23">
        <f ca="1"/>
        <v>5905.9599999999991</v>
      </c>
      <c r="CH23">
        <f ca="1"/>
        <v>5928.76</v>
      </c>
      <c r="CI23">
        <f ca="1"/>
        <v>5944.72</v>
      </c>
      <c r="CJ23">
        <f ca="1"/>
        <v>5963.72</v>
      </c>
      <c r="CK23">
        <f ca="1"/>
        <v>5968.28</v>
      </c>
      <c r="CL23">
        <f ca="1"/>
        <v>5971.32</v>
      </c>
      <c r="CM23">
        <f ca="1"/>
        <v>5981.9599999999991</v>
      </c>
      <c r="CN23">
        <f ca="1"/>
        <v>5981.2</v>
      </c>
      <c r="CO23">
        <f ca="1"/>
        <v>6057.2</v>
      </c>
      <c r="CP23">
        <f ca="1"/>
        <v>6044.28</v>
      </c>
      <c r="CQ23">
        <f ca="1"/>
        <v>6458.4800000000005</v>
      </c>
      <c r="CR23">
        <f ca="1"/>
        <v>6469.8799999999992</v>
      </c>
      <c r="CS23">
        <f ca="1"/>
        <v>6522.32</v>
      </c>
      <c r="CT23">
        <f ca="1"/>
        <v>6518.5199999999995</v>
      </c>
      <c r="CU23">
        <f ca="1"/>
        <v>6507.1200000000008</v>
      </c>
      <c r="CV23">
        <f ca="1"/>
        <v>6591.4800000000005</v>
      </c>
      <c r="CW23">
        <f ca="1"/>
        <v>6676.5999999999995</v>
      </c>
      <c r="CX23">
        <f ca="1"/>
        <v>6677.36</v>
      </c>
      <c r="CY23">
        <f ca="1"/>
        <v>6710.8</v>
      </c>
      <c r="CZ23">
        <f ca="1"/>
        <v>6714.5999999999995</v>
      </c>
      <c r="DA23">
        <f ca="1"/>
        <v>6731.32</v>
      </c>
      <c r="DB23">
        <f ca="1"/>
        <v>6754.1200000000008</v>
      </c>
      <c r="DC23">
        <f ca="1"/>
        <v>6668.24</v>
      </c>
      <c r="DD23">
        <f ca="1"/>
        <v>6700.16</v>
      </c>
      <c r="DE23">
        <f ca="1"/>
        <v>6773.8799999999992</v>
      </c>
      <c r="DF23">
        <f ca="1"/>
        <v>6763.24</v>
      </c>
      <c r="DG23">
        <f ca="1"/>
        <v>6777.68</v>
      </c>
      <c r="DH23">
        <f ca="1"/>
        <v>6809.5999999999995</v>
      </c>
      <c r="DI23">
        <f ca="1"/>
        <v>6768.56</v>
      </c>
      <c r="DJ23">
        <f ca="1"/>
        <v>6772.36</v>
      </c>
      <c r="DK23">
        <f ca="1"/>
        <v>6770.84</v>
      </c>
      <c r="DL23">
        <f ca="1"/>
        <v>6821.76</v>
      </c>
      <c r="DM23">
        <f ca="1"/>
        <v>6821</v>
      </c>
      <c r="DN23">
        <f ca="1"/>
        <v>6855.2</v>
      </c>
      <c r="DO23">
        <f ca="1"/>
        <v>6839.24</v>
      </c>
      <c r="DP23">
        <f ca="1"/>
        <v>6845.32</v>
      </c>
      <c r="DQ23">
        <f ca="1"/>
        <v>6906.1200000000008</v>
      </c>
      <c r="DR23">
        <f ca="1"/>
        <v>6918.28</v>
      </c>
      <c r="DS23">
        <f ca="1"/>
        <v>6927.4000000000005</v>
      </c>
      <c r="DT23">
        <f ca="1"/>
        <v>6810.36</v>
      </c>
      <c r="DU23">
        <f ca="1"/>
        <v>6719.92</v>
      </c>
      <c r="DV23">
        <f ca="1"/>
        <v>6779.2</v>
      </c>
      <c r="DW23">
        <f ca="1"/>
        <v>6751.84</v>
      </c>
      <c r="DX23">
        <f ca="1"/>
        <v>6848.36</v>
      </c>
      <c r="DY23">
        <f ca="1"/>
        <v>6884.84</v>
      </c>
      <c r="DZ23">
        <f ca="1"/>
        <v>6833.16</v>
      </c>
      <c r="EA23">
        <f ca="1"/>
        <v>6788.32</v>
      </c>
      <c r="EB23">
        <f ca="1"/>
        <v>6830.1200000000008</v>
      </c>
      <c r="EC23">
        <f ca="1"/>
        <v>6861.28</v>
      </c>
      <c r="ED23">
        <f ca="1"/>
        <v>6819.4800000000005</v>
      </c>
      <c r="EE23">
        <f ca="1"/>
        <v>6853.68</v>
      </c>
      <c r="EF23">
        <f ca="1"/>
        <v>6891.68</v>
      </c>
      <c r="EG23">
        <f ca="1"/>
        <v>6941.08</v>
      </c>
      <c r="EH23">
        <f ca="1"/>
        <v>6981.36</v>
      </c>
      <c r="EI23">
        <f ca="1"/>
        <v>6923.5999999999995</v>
      </c>
      <c r="EJ23">
        <f ca="1"/>
        <v>6981.36</v>
      </c>
      <c r="EK23">
        <f ca="1"/>
        <v>6991.24</v>
      </c>
      <c r="EL23">
        <f ca="1"/>
        <v>7019.36</v>
      </c>
      <c r="EM23">
        <f ca="1"/>
        <v>7043.68</v>
      </c>
      <c r="EN23">
        <f ca="1"/>
        <v>7022.4000000000005</v>
      </c>
      <c r="EO23">
        <f ca="1"/>
        <v>7068</v>
      </c>
      <c r="EP23">
        <f ca="1"/>
        <v>7109.0400000000009</v>
      </c>
      <c r="EQ23">
        <f ca="1"/>
        <v>7159.9599999999991</v>
      </c>
      <c r="ER23">
        <f ca="1"/>
        <v>7109.0400000000009</v>
      </c>
      <c r="ES23">
        <f ca="1"/>
        <v>7220</v>
      </c>
      <c r="ET23">
        <f ca="1"/>
        <v>7175.92</v>
      </c>
      <c r="EU23">
        <f ca="1"/>
        <v>7193.4000000000005</v>
      </c>
      <c r="EV23">
        <f ca="1"/>
        <v>7194.16</v>
      </c>
      <c r="EW23">
        <f ca="1"/>
        <v>7204.8</v>
      </c>
      <c r="EX23">
        <f ca="1"/>
        <v>7146.28</v>
      </c>
      <c r="EY23">
        <f ca="1"/>
        <v>7112.84</v>
      </c>
      <c r="EZ23">
        <f ca="1"/>
        <v>7144</v>
      </c>
      <c r="FA23">
        <f ca="1"/>
        <v>7140.9599999999991</v>
      </c>
      <c r="FB23">
        <f ca="1"/>
        <v>7271.68</v>
      </c>
      <c r="FC23">
        <f ca="1"/>
        <v>7362.8799999999992</v>
      </c>
      <c r="FD23">
        <f ca="1"/>
        <v>7363.64</v>
      </c>
      <c r="FE23">
        <f ca="1"/>
        <v>7367.44</v>
      </c>
      <c r="FF23">
        <f ca="1"/>
        <v>7298.28</v>
      </c>
      <c r="FG23">
        <f ca="1"/>
        <v>7502.72</v>
      </c>
      <c r="FH23">
        <f ca="1"/>
        <v>7454.08</v>
      </c>
      <c r="FI23">
        <f ca="1"/>
        <v>7473.08</v>
      </c>
      <c r="FJ23">
        <f ca="1"/>
        <v>7543.76</v>
      </c>
      <c r="FK23">
        <f ca="1"/>
        <v>7553.64</v>
      </c>
      <c r="FL23">
        <f ca="1"/>
        <v>7603.0400000000009</v>
      </c>
      <c r="FM23">
        <f ca="1"/>
        <v>7615.2</v>
      </c>
      <c r="FN23">
        <f ca="1"/>
        <v>7630.4000000000005</v>
      </c>
      <c r="FO23">
        <f ca="1"/>
        <v>7612.92</v>
      </c>
      <c r="FP23">
        <f ca="1"/>
        <v>7641.8</v>
      </c>
      <c r="FQ23">
        <f ca="1"/>
        <v>7616.72</v>
      </c>
      <c r="FR23">
        <f ca="1"/>
        <v>7486.76</v>
      </c>
      <c r="FS23">
        <f ca="1"/>
        <v>7549.84</v>
      </c>
      <c r="FT23">
        <f ca="1"/>
        <v>7609.1200000000008</v>
      </c>
      <c r="FU23">
        <f ca="1"/>
        <v>7630.4000000000005</v>
      </c>
      <c r="FV23">
        <f ca="1"/>
        <v>7679.0400000000009</v>
      </c>
      <c r="FW23">
        <f ca="1"/>
        <v>7699.56</v>
      </c>
      <c r="FX23">
        <f ca="1"/>
        <v>7697.28</v>
      </c>
      <c r="FY23">
        <f ca="1"/>
        <v>7701.08</v>
      </c>
      <c r="FZ23">
        <f ca="1"/>
        <v>7693.4800000000005</v>
      </c>
      <c r="GA23">
        <f ca="1"/>
        <v>7782.4000000000005</v>
      </c>
      <c r="GB23">
        <f ca="1"/>
        <v>7814.32</v>
      </c>
      <c r="GC23">
        <f ca="1"/>
        <v>7580.24</v>
      </c>
      <c r="GD23">
        <f ca="1"/>
        <v>7588.5999999999995</v>
      </c>
      <c r="GE23">
        <f ca="1"/>
        <v>7682.08</v>
      </c>
      <c r="GF23">
        <f ca="1"/>
        <v>7647.1200000000008</v>
      </c>
      <c r="GG23">
        <f ca="1"/>
        <v>7638</v>
      </c>
      <c r="GH23">
        <f ca="1"/>
        <v>7666.8799999999992</v>
      </c>
      <c r="GI23">
        <f ca="1"/>
        <v>7701.08</v>
      </c>
      <c r="GJ23">
        <f ca="1"/>
        <v>7765.68</v>
      </c>
      <c r="GK23">
        <f ca="1"/>
        <v>7765.68</v>
      </c>
      <c r="GL23">
        <f ca="1"/>
        <v>7767.2</v>
      </c>
      <c r="GM23">
        <f ca="1"/>
        <v>7704.1200000000008</v>
      </c>
      <c r="GN23">
        <f ca="1"/>
        <v>7756.56</v>
      </c>
      <c r="GO23">
        <f ca="1"/>
        <v>7788.4800000000005</v>
      </c>
      <c r="GP23">
        <f ca="1"/>
        <v>7800.64</v>
      </c>
      <c r="GQ23">
        <f ca="1"/>
        <v>7828</v>
      </c>
      <c r="GR23">
        <f ca="1"/>
        <v>7866.76</v>
      </c>
      <c r="GS23">
        <f ca="1"/>
        <v>7758.08</v>
      </c>
      <c r="GT23">
        <f ca="1"/>
        <v>7831.0400000000009</v>
      </c>
      <c r="GU23">
        <f ca="1"/>
        <v>7736.8</v>
      </c>
      <c r="GV23">
        <f ca="1"/>
        <v>7812.8</v>
      </c>
      <c r="GW23">
        <f ca="1"/>
        <v>7810.5199999999995</v>
      </c>
      <c r="GX23">
        <f ca="1"/>
        <v>7759.5999999999995</v>
      </c>
      <c r="GY23">
        <f ca="1"/>
        <v>7843.2</v>
      </c>
      <c r="GZ23">
        <f ca="1"/>
        <v>7926.8</v>
      </c>
      <c r="HA23">
        <f ca="1"/>
        <v>8002.0400000000009</v>
      </c>
      <c r="HB23">
        <f ca="1"/>
        <v>8014.9599999999991</v>
      </c>
      <c r="HC23">
        <f ca="1"/>
        <v>7961.76</v>
      </c>
      <c r="HD23">
        <f ca="1"/>
        <v>7849.28</v>
      </c>
      <c r="HE23">
        <f ca="1"/>
        <v>7840.16</v>
      </c>
      <c r="HF23">
        <f ca="1"/>
        <v>7906.28</v>
      </c>
      <c r="HG23">
        <f ca="1"/>
        <v>7906.28</v>
      </c>
      <c r="HH23">
        <f ca="1"/>
        <v>7929.84</v>
      </c>
      <c r="HI23">
        <f ca="1"/>
        <v>8037</v>
      </c>
      <c r="HJ23">
        <f ca="1"/>
        <v>7904.76</v>
      </c>
      <c r="HK23">
        <f ca="1"/>
        <v>7852.32</v>
      </c>
      <c r="HL23">
        <f ca="1"/>
        <v>7893.36</v>
      </c>
      <c r="HM23">
        <f ca="1"/>
        <v>7984.56</v>
      </c>
      <c r="HN23">
        <f ca="1"/>
        <v>7864.4800000000005</v>
      </c>
      <c r="HO23">
        <f ca="1"/>
        <v>7856.1200000000008</v>
      </c>
      <c r="HP23">
        <f ca="1"/>
        <v>7634.2</v>
      </c>
      <c r="HQ23">
        <f ca="1"/>
        <v>7716.28</v>
      </c>
      <c r="HR23">
        <f ca="1"/>
        <v>7577.9599999999991</v>
      </c>
      <c r="HS23">
        <f ca="1"/>
        <v>7450.28</v>
      </c>
      <c r="HT23">
        <f ca="1"/>
        <v>7313.4800000000005</v>
      </c>
      <c r="HU23">
        <f ca="1"/>
        <v>7387.2</v>
      </c>
      <c r="HV23">
        <f ca="1"/>
        <v>7367.44</v>
      </c>
      <c r="HW23">
        <f ca="1"/>
        <v>7247.36</v>
      </c>
      <c r="HX23">
        <f ca="1"/>
        <v>7172.8799999999992</v>
      </c>
      <c r="HY23">
        <f ca="1"/>
        <v>7277</v>
      </c>
      <c r="HZ23">
        <f ca="1"/>
        <v>7310.44</v>
      </c>
      <c r="IA23">
        <f ca="1"/>
        <v>7284.5999999999995</v>
      </c>
      <c r="IB23">
        <f ca="1"/>
        <v>7182</v>
      </c>
      <c r="IC23">
        <f ca="1"/>
        <v>7114.36</v>
      </c>
      <c r="ID23">
        <f ca="1"/>
        <v>7220.76</v>
      </c>
      <c r="IE23">
        <f ca="1"/>
        <v>7270.16</v>
      </c>
      <c r="IF23">
        <f ca="1"/>
        <v>7343.8799999999992</v>
      </c>
      <c r="IG23">
        <f ca="1"/>
        <v>7221.5199999999995</v>
      </c>
      <c r="IH23">
        <f ca="1"/>
        <v>7150.84</v>
      </c>
      <c r="II23">
        <f ca="1"/>
        <v>7134.8799999999992</v>
      </c>
      <c r="IJ23">
        <f ca="1"/>
        <v>7331.72</v>
      </c>
      <c r="IK23">
        <f ca="1"/>
        <v>7402.4000000000005</v>
      </c>
      <c r="IL23">
        <f ca="1"/>
        <v>7420.64</v>
      </c>
      <c r="IM23">
        <f ca="1"/>
        <v>7428.24</v>
      </c>
      <c r="IN23">
        <f ca="1"/>
        <v>7384.92</v>
      </c>
      <c r="IO23">
        <f ca="1"/>
        <v>7495.1200000000008</v>
      </c>
      <c r="IP23">
        <f ca="1"/>
        <v>7580.24</v>
      </c>
      <c r="IQ23">
        <f ca="1"/>
        <v>7664.5999999999995</v>
      </c>
      <c r="IR23">
        <f ca="1"/>
        <v>7726.92</v>
      </c>
      <c r="IS23">
        <f ca="1"/>
        <v>7799.1200000000008</v>
      </c>
      <c r="IT23">
        <f ca="1"/>
        <v>7860.68</v>
      </c>
      <c r="IU23">
        <f ca="1"/>
        <v>7812.0400000000009</v>
      </c>
      <c r="IV23">
        <f ca="1"/>
        <v>7973.92</v>
      </c>
      <c r="IW23">
        <f ca="1"/>
        <v>7971.64</v>
      </c>
    </row>
    <row r="24" spans="2:257" x14ac:dyDescent="0.25">
      <c r="B24" t="str">
        <f t="shared" si="408"/>
        <v>20K6HZ6</v>
      </c>
      <c r="C24" t="s">
        <v>160</v>
      </c>
      <c r="D24" t="e" vm="514">
        <v>#VALUE!</v>
      </c>
      <c r="E24" t="str" cm="1">
        <f t="array" aca="1" ref="E24" ca="1">_FV(D24,"Code mnémonique",TRUE)</f>
        <v>CM</v>
      </c>
      <c r="F24" s="12">
        <f>_xlfn.XLOOKUP(D24,Titres[Action],Titres[Nb d''actions])</f>
        <v>88</v>
      </c>
      <c r="G24" cm="1">
        <f t="array" aca="1" ref="G24:IW24" ca="1">IFERROR(TRANSPOSE(_xlfn.STOCKHISTORY(D24,TODAY()-365,TODAY(),0,0,1))*F24,"")</f>
        <v>7116.56</v>
      </c>
      <c r="H24">
        <f ca="1"/>
        <v>7272.32</v>
      </c>
      <c r="I24">
        <f ca="1"/>
        <v>7352.4</v>
      </c>
      <c r="J24">
        <f ca="1"/>
        <v>7362.08</v>
      </c>
      <c r="K24">
        <f ca="1"/>
        <v>7454.48</v>
      </c>
      <c r="L24">
        <f ca="1"/>
        <v>7528.4</v>
      </c>
      <c r="M24">
        <f ca="1"/>
        <v>7609.36</v>
      </c>
      <c r="N24">
        <f ca="1"/>
        <v>7651.6</v>
      </c>
      <c r="O24">
        <f ca="1"/>
        <v>7684.16</v>
      </c>
      <c r="P24">
        <f ca="1"/>
        <v>7744</v>
      </c>
      <c r="Q24">
        <f ca="1"/>
        <v>7750.16</v>
      </c>
      <c r="R24">
        <f ca="1"/>
        <v>7720.2400000000007</v>
      </c>
      <c r="S24">
        <f ca="1"/>
        <v>7781.84</v>
      </c>
      <c r="T24">
        <f ca="1"/>
        <v>7813.52</v>
      </c>
      <c r="U24">
        <f ca="1"/>
        <v>7783.6</v>
      </c>
      <c r="V24">
        <f ca="1"/>
        <v>7839.04</v>
      </c>
      <c r="W24">
        <f ca="1"/>
        <v>7947.2800000000007</v>
      </c>
      <c r="X24">
        <f ca="1"/>
        <v>8057.2800000000007</v>
      </c>
      <c r="Y24">
        <f ca="1"/>
        <v>8076.64</v>
      </c>
      <c r="Z24">
        <f ca="1"/>
        <v>8158.48</v>
      </c>
      <c r="AA24">
        <f ca="1"/>
        <v>8176.08</v>
      </c>
      <c r="AB24">
        <f ca="1"/>
        <v>8151.44</v>
      </c>
      <c r="AC24">
        <f ca="1"/>
        <v>8170.7999999999993</v>
      </c>
      <c r="AD24">
        <f ca="1"/>
        <v>8234.16</v>
      </c>
      <c r="AE24">
        <f ca="1"/>
        <v>8264.9600000000009</v>
      </c>
      <c r="AF24">
        <f ca="1"/>
        <v>8320.4</v>
      </c>
      <c r="AG24">
        <f ca="1"/>
        <v>8271.119999999999</v>
      </c>
      <c r="AH24">
        <f ca="1"/>
        <v>8246.48</v>
      </c>
      <c r="AI24">
        <f ca="1"/>
        <v>8221.84</v>
      </c>
      <c r="AJ24">
        <f ca="1"/>
        <v>8169.92</v>
      </c>
      <c r="AK24">
        <f ca="1"/>
        <v>8176.08</v>
      </c>
      <c r="AL24">
        <f ca="1"/>
        <v>8176.96</v>
      </c>
      <c r="AM24">
        <f ca="1"/>
        <v>8263.2000000000007</v>
      </c>
      <c r="AN24">
        <f ca="1"/>
        <v>8293.119999999999</v>
      </c>
      <c r="AO24">
        <f ca="1"/>
        <v>8274.64</v>
      </c>
      <c r="AP24">
        <f ca="1"/>
        <v>8244.7199999999993</v>
      </c>
      <c r="AQ24">
        <f ca="1"/>
        <v>8172.56</v>
      </c>
      <c r="AR24">
        <f ca="1"/>
        <v>8177.84</v>
      </c>
      <c r="AS24">
        <f ca="1"/>
        <v>8149.68</v>
      </c>
      <c r="AT24">
        <f ca="1"/>
        <v>8212.16</v>
      </c>
      <c r="AU24">
        <f ca="1"/>
        <v>8244.7199999999993</v>
      </c>
      <c r="AV24">
        <f ca="1"/>
        <v>8252.64</v>
      </c>
      <c r="AW24">
        <f ca="1"/>
        <v>8322.16</v>
      </c>
      <c r="AX24">
        <f ca="1"/>
        <v>8332.7199999999993</v>
      </c>
      <c r="AY24">
        <f ca="1"/>
        <v>8418.08</v>
      </c>
      <c r="AZ24">
        <f ca="1"/>
        <v>8484.9600000000009</v>
      </c>
      <c r="BA24">
        <f ca="1"/>
        <v>8478.7999999999993</v>
      </c>
      <c r="BB24">
        <f ca="1"/>
        <v>8466.48</v>
      </c>
      <c r="BC24">
        <f ca="1"/>
        <v>8409.2800000000007</v>
      </c>
      <c r="BD24">
        <f ca="1"/>
        <v>8506.08</v>
      </c>
      <c r="BE24">
        <f ca="1"/>
        <v>8565.92</v>
      </c>
      <c r="BF24">
        <f ca="1"/>
        <v>8602</v>
      </c>
      <c r="BG24">
        <f ca="1"/>
        <v>8614.32</v>
      </c>
      <c r="BH24">
        <f ca="1"/>
        <v>8673.2800000000007</v>
      </c>
      <c r="BI24">
        <f ca="1"/>
        <v>8630.16</v>
      </c>
      <c r="BJ24">
        <f ca="1"/>
        <v>8761.2800000000007</v>
      </c>
      <c r="BK24">
        <f ca="1"/>
        <v>8829.92</v>
      </c>
      <c r="BL24">
        <f ca="1"/>
        <v>8803.52</v>
      </c>
      <c r="BM24">
        <f ca="1"/>
        <v>8710.24</v>
      </c>
      <c r="BN24">
        <f ca="1"/>
        <v>8700.5600000000013</v>
      </c>
      <c r="BO24">
        <f ca="1"/>
        <v>8746.32</v>
      </c>
      <c r="BP24">
        <f ca="1"/>
        <v>8829.92</v>
      </c>
      <c r="BQ24">
        <f ca="1"/>
        <v>8853.68</v>
      </c>
      <c r="BR24">
        <f ca="1"/>
        <v>8848.4</v>
      </c>
      <c r="BS24">
        <f ca="1"/>
        <v>8907.36</v>
      </c>
      <c r="BT24">
        <f ca="1"/>
        <v>8884.48</v>
      </c>
      <c r="BU24">
        <f ca="1"/>
        <v>8857.2000000000007</v>
      </c>
      <c r="BV24">
        <f ca="1"/>
        <v>8926.7199999999993</v>
      </c>
      <c r="BW24">
        <f ca="1"/>
        <v>8933.76</v>
      </c>
      <c r="BX24">
        <f ca="1"/>
        <v>8798.24</v>
      </c>
      <c r="BY24">
        <f ca="1"/>
        <v>8743.68</v>
      </c>
      <c r="BZ24">
        <f ca="1"/>
        <v>8714.64</v>
      </c>
      <c r="CA24">
        <f ca="1"/>
        <v>8718.16</v>
      </c>
      <c r="CB24">
        <f ca="1"/>
        <v>8779.76</v>
      </c>
      <c r="CC24">
        <f ca="1"/>
        <v>8729.6</v>
      </c>
      <c r="CD24">
        <f ca="1"/>
        <v>8712</v>
      </c>
      <c r="CE24">
        <f ca="1"/>
        <v>8795.6</v>
      </c>
      <c r="CF24">
        <f ca="1"/>
        <v>8826.4</v>
      </c>
      <c r="CG24">
        <f ca="1"/>
        <v>8864.24</v>
      </c>
      <c r="CH24">
        <f ca="1"/>
        <v>8880.9600000000009</v>
      </c>
      <c r="CI24">
        <f ca="1"/>
        <v>8976</v>
      </c>
      <c r="CJ24">
        <f ca="1"/>
        <v>8975.119999999999</v>
      </c>
      <c r="CK24">
        <f ca="1"/>
        <v>8967.2000000000007</v>
      </c>
      <c r="CL24">
        <f ca="1"/>
        <v>8921.4399999999987</v>
      </c>
      <c r="CM24">
        <f ca="1"/>
        <v>8930.24</v>
      </c>
      <c r="CN24">
        <f ca="1"/>
        <v>8940.7999999999993</v>
      </c>
      <c r="CO24">
        <f ca="1"/>
        <v>8907.36</v>
      </c>
      <c r="CP24">
        <f ca="1"/>
        <v>8859.84</v>
      </c>
      <c r="CQ24">
        <f ca="1"/>
        <v>8982.16</v>
      </c>
      <c r="CR24">
        <f ca="1"/>
        <v>9135.2800000000007</v>
      </c>
      <c r="CS24">
        <f ca="1"/>
        <v>9320.08</v>
      </c>
      <c r="CT24">
        <f ca="1"/>
        <v>9335.92</v>
      </c>
      <c r="CU24">
        <f ca="1"/>
        <v>9369.36</v>
      </c>
      <c r="CV24">
        <f ca="1"/>
        <v>9520.7199999999993</v>
      </c>
      <c r="CW24">
        <f ca="1"/>
        <v>9628.9600000000009</v>
      </c>
      <c r="CX24">
        <f ca="1"/>
        <v>9540.9600000000009</v>
      </c>
      <c r="CY24">
        <f ca="1"/>
        <v>9496.08</v>
      </c>
      <c r="CZ24">
        <f ca="1"/>
        <v>9522.48</v>
      </c>
      <c r="DA24">
        <f ca="1"/>
        <v>9616.64</v>
      </c>
      <c r="DB24">
        <f ca="1"/>
        <v>9682.64</v>
      </c>
      <c r="DC24">
        <f ca="1"/>
        <v>9643.92</v>
      </c>
      <c r="DD24">
        <f ca="1"/>
        <v>9650.08</v>
      </c>
      <c r="DE24">
        <f ca="1"/>
        <v>9709.0399999999991</v>
      </c>
      <c r="DF24">
        <f ca="1"/>
        <v>9724</v>
      </c>
      <c r="DG24">
        <f ca="1"/>
        <v>9764.48</v>
      </c>
      <c r="DH24">
        <f ca="1"/>
        <v>9902.64</v>
      </c>
      <c r="DI24">
        <f ca="1"/>
        <v>9890.32</v>
      </c>
      <c r="DJ24">
        <f ca="1"/>
        <v>9951.0399999999991</v>
      </c>
      <c r="DK24">
        <f ca="1"/>
        <v>9870.9600000000009</v>
      </c>
      <c r="DL24">
        <f ca="1"/>
        <v>9855.119999999999</v>
      </c>
      <c r="DM24">
        <f ca="1"/>
        <v>9894.7199999999993</v>
      </c>
      <c r="DN24">
        <f ca="1"/>
        <v>9755.68</v>
      </c>
      <c r="DO24">
        <f ca="1"/>
        <v>9786.48</v>
      </c>
      <c r="DP24">
        <f ca="1"/>
        <v>9868.32</v>
      </c>
      <c r="DQ24">
        <f ca="1"/>
        <v>9917.6</v>
      </c>
      <c r="DR24">
        <f ca="1"/>
        <v>10001.200000000001</v>
      </c>
      <c r="DS24">
        <f ca="1"/>
        <v>10021.439999999999</v>
      </c>
      <c r="DT24">
        <f ca="1"/>
        <v>10021.439999999999</v>
      </c>
      <c r="DU24">
        <f ca="1"/>
        <v>9874.48</v>
      </c>
      <c r="DV24">
        <f ca="1"/>
        <v>9868.32</v>
      </c>
      <c r="DW24">
        <f ca="1"/>
        <v>9840.16</v>
      </c>
      <c r="DX24">
        <f ca="1"/>
        <v>9935.2000000000007</v>
      </c>
      <c r="DY24">
        <f ca="1"/>
        <v>10108.560000000001</v>
      </c>
      <c r="DZ24">
        <f ca="1"/>
        <v>9916.7199999999993</v>
      </c>
      <c r="EA24">
        <f ca="1"/>
        <v>9901.76</v>
      </c>
      <c r="EB24">
        <f ca="1"/>
        <v>9973.92</v>
      </c>
      <c r="EC24">
        <f ca="1"/>
        <v>9962.48</v>
      </c>
      <c r="ED24">
        <f ca="1"/>
        <v>9980.08</v>
      </c>
      <c r="EE24">
        <f ca="1"/>
        <v>10035.52</v>
      </c>
      <c r="EF24">
        <f ca="1"/>
        <v>10142.880000000001</v>
      </c>
      <c r="EG24">
        <f ca="1"/>
        <v>10216.799999999999</v>
      </c>
      <c r="EH24">
        <f ca="1"/>
        <v>10280.16</v>
      </c>
      <c r="EI24">
        <f ca="1"/>
        <v>10149.92</v>
      </c>
      <c r="EJ24">
        <f ca="1"/>
        <v>10142</v>
      </c>
      <c r="EK24">
        <f ca="1"/>
        <v>10226.48</v>
      </c>
      <c r="EL24">
        <f ca="1"/>
        <v>10369.92</v>
      </c>
      <c r="EM24">
        <f ca="1"/>
        <v>10332.08</v>
      </c>
      <c r="EN24">
        <f ca="1"/>
        <v>10350.560000000001</v>
      </c>
      <c r="EO24">
        <f ca="1"/>
        <v>10448.24</v>
      </c>
      <c r="EP24">
        <f ca="1"/>
        <v>10464.960000000001</v>
      </c>
      <c r="EQ24">
        <f ca="1"/>
        <v>10567.039999999999</v>
      </c>
      <c r="ER24">
        <f ca="1"/>
        <v>10570.560000000001</v>
      </c>
      <c r="ES24">
        <f ca="1"/>
        <v>10726.32</v>
      </c>
      <c r="ET24">
        <f ca="1"/>
        <v>10641.84</v>
      </c>
      <c r="EU24">
        <f ca="1"/>
        <v>10759.76</v>
      </c>
      <c r="EV24">
        <f ca="1"/>
        <v>10740.4</v>
      </c>
      <c r="EW24">
        <f ca="1"/>
        <v>10559.119999999999</v>
      </c>
      <c r="EX24">
        <f ca="1"/>
        <v>10400.719999999999</v>
      </c>
      <c r="EY24">
        <f ca="1"/>
        <v>10296.880000000001</v>
      </c>
      <c r="EZ24">
        <f ca="1"/>
        <v>10423.6</v>
      </c>
      <c r="FA24">
        <f ca="1"/>
        <v>10436.799999999999</v>
      </c>
      <c r="FB24">
        <f ca="1"/>
        <v>10539.76</v>
      </c>
      <c r="FC24">
        <f ca="1"/>
        <v>10586.4</v>
      </c>
      <c r="FD24">
        <f ca="1"/>
        <v>10554.72</v>
      </c>
      <c r="FE24">
        <f ca="1"/>
        <v>10633.039999999999</v>
      </c>
      <c r="FF24">
        <f ca="1"/>
        <v>10498.4</v>
      </c>
      <c r="FG24">
        <f ca="1"/>
        <v>10653.28</v>
      </c>
      <c r="FH24">
        <f ca="1"/>
        <v>10671.76</v>
      </c>
      <c r="FI24">
        <f ca="1"/>
        <v>11114.4</v>
      </c>
      <c r="FJ24">
        <f ca="1"/>
        <v>11101.2</v>
      </c>
      <c r="FK24">
        <f ca="1"/>
        <v>11003.52</v>
      </c>
      <c r="FL24">
        <f ca="1"/>
        <v>11035.2</v>
      </c>
      <c r="FM24">
        <f ca="1"/>
        <v>11142.560000000001</v>
      </c>
      <c r="FN24">
        <f ca="1"/>
        <v>11232.32</v>
      </c>
      <c r="FO24">
        <f ca="1"/>
        <v>11249.92</v>
      </c>
      <c r="FP24">
        <f ca="1"/>
        <v>11297.439999999999</v>
      </c>
      <c r="FQ24">
        <f ca="1"/>
        <v>11273.68</v>
      </c>
      <c r="FR24">
        <f ca="1"/>
        <v>11108.24</v>
      </c>
      <c r="FS24">
        <f ca="1"/>
        <v>11199.76</v>
      </c>
      <c r="FT24">
        <f ca="1"/>
        <v>11278.96</v>
      </c>
      <c r="FU24">
        <f ca="1"/>
        <v>11175.119999999999</v>
      </c>
      <c r="FV24">
        <f ca="1"/>
        <v>11137.28</v>
      </c>
      <c r="FW24">
        <f ca="1"/>
        <v>11141.68</v>
      </c>
      <c r="FX24">
        <f ca="1"/>
        <v>11052.8</v>
      </c>
      <c r="FY24">
        <f ca="1"/>
        <v>11027.28</v>
      </c>
      <c r="FZ24">
        <f ca="1"/>
        <v>10949.84</v>
      </c>
      <c r="GA24">
        <f ca="1"/>
        <v>11107.36</v>
      </c>
      <c r="GB24">
        <f ca="1"/>
        <v>11239.36</v>
      </c>
      <c r="GC24">
        <f ca="1"/>
        <v>11066.880000000001</v>
      </c>
      <c r="GD24">
        <f ca="1"/>
        <v>11157.52</v>
      </c>
      <c r="GE24">
        <f ca="1"/>
        <v>11188.32</v>
      </c>
      <c r="GF24">
        <f ca="1"/>
        <v>11113.52</v>
      </c>
      <c r="GG24">
        <f ca="1"/>
        <v>11170.72</v>
      </c>
      <c r="GH24">
        <f ca="1"/>
        <v>11195.36</v>
      </c>
      <c r="GI24">
        <f ca="1"/>
        <v>11173.36</v>
      </c>
      <c r="GJ24">
        <f ca="1"/>
        <v>11263.119999999999</v>
      </c>
      <c r="GK24">
        <f ca="1"/>
        <v>11304.480000000001</v>
      </c>
      <c r="GL24">
        <f ca="1"/>
        <v>11244.64</v>
      </c>
      <c r="GM24">
        <f ca="1"/>
        <v>11007.039999999999</v>
      </c>
      <c r="GN24">
        <f ca="1"/>
        <v>11136.4</v>
      </c>
      <c r="GO24">
        <f ca="1"/>
        <v>11214.72</v>
      </c>
      <c r="GP24">
        <f ca="1"/>
        <v>11179.52</v>
      </c>
      <c r="GQ24">
        <f ca="1"/>
        <v>11044.880000000001</v>
      </c>
      <c r="GR24">
        <f ca="1"/>
        <v>11168.960000000001</v>
      </c>
      <c r="GS24">
        <f ca="1"/>
        <v>11117.039999999999</v>
      </c>
      <c r="GT24">
        <f ca="1"/>
        <v>11284.24</v>
      </c>
      <c r="GU24">
        <f ca="1"/>
        <v>11073.92</v>
      </c>
      <c r="GV24">
        <f ca="1"/>
        <v>11407.439999999999</v>
      </c>
      <c r="GW24">
        <f ca="1"/>
        <v>11389.84</v>
      </c>
      <c r="GX24">
        <f ca="1"/>
        <v>11422.400000000001</v>
      </c>
      <c r="GY24">
        <f ca="1"/>
        <v>11396</v>
      </c>
      <c r="GZ24">
        <f ca="1"/>
        <v>11624.8</v>
      </c>
      <c r="HA24">
        <f ca="1"/>
        <v>11698.72</v>
      </c>
      <c r="HB24">
        <f ca="1"/>
        <v>11699.599999999999</v>
      </c>
      <c r="HC24">
        <f ca="1"/>
        <v>11579.92</v>
      </c>
      <c r="HD24">
        <f ca="1"/>
        <v>11420.64</v>
      </c>
      <c r="HE24">
        <f ca="1"/>
        <v>11484.88</v>
      </c>
      <c r="HF24">
        <f ca="1"/>
        <v>11593.12</v>
      </c>
      <c r="HG24">
        <f ca="1"/>
        <v>11652.08</v>
      </c>
      <c r="HH24">
        <f ca="1"/>
        <v>11833.36</v>
      </c>
      <c r="HI24">
        <f ca="1"/>
        <v>11990</v>
      </c>
      <c r="HJ24">
        <f ca="1"/>
        <v>11964.480000000001</v>
      </c>
      <c r="HK24">
        <f ca="1"/>
        <v>11838.64</v>
      </c>
      <c r="HL24">
        <f ca="1"/>
        <v>12130.8</v>
      </c>
      <c r="HM24">
        <f ca="1"/>
        <v>12481.92</v>
      </c>
      <c r="HN24">
        <f ca="1"/>
        <v>12125.519999999999</v>
      </c>
      <c r="HO24">
        <f ca="1"/>
        <v>12202.96</v>
      </c>
      <c r="HP24">
        <f ca="1"/>
        <v>12082.400000000001</v>
      </c>
      <c r="HQ24">
        <f ca="1"/>
        <v>12151.92</v>
      </c>
      <c r="HR24">
        <f ca="1"/>
        <v>12070.96</v>
      </c>
      <c r="HS24">
        <f ca="1"/>
        <v>11910.8</v>
      </c>
      <c r="HT24">
        <f ca="1"/>
        <v>11695.2</v>
      </c>
      <c r="HU24">
        <f ca="1"/>
        <v>11874.72</v>
      </c>
      <c r="HV24">
        <f ca="1"/>
        <v>11843.04</v>
      </c>
      <c r="HW24">
        <f ca="1"/>
        <v>11625.68</v>
      </c>
      <c r="HX24">
        <f ca="1"/>
        <v>11515.68</v>
      </c>
      <c r="HY24">
        <f ca="1"/>
        <v>11745.36</v>
      </c>
      <c r="HZ24">
        <f ca="1"/>
        <v>11785.84</v>
      </c>
      <c r="IA24">
        <f ca="1"/>
        <v>11663.519999999999</v>
      </c>
      <c r="IB24">
        <f ca="1"/>
        <v>11565.84</v>
      </c>
      <c r="IC24">
        <f ca="1"/>
        <v>11394.24</v>
      </c>
      <c r="ID24">
        <f ca="1"/>
        <v>11665.28</v>
      </c>
      <c r="IE24">
        <f ca="1"/>
        <v>11721.599999999999</v>
      </c>
      <c r="IF24">
        <f ca="1"/>
        <v>11838.64</v>
      </c>
      <c r="IG24">
        <f ca="1"/>
        <v>11502.480000000001</v>
      </c>
      <c r="IH24">
        <f ca="1"/>
        <v>11343.2</v>
      </c>
      <c r="II24">
        <f ca="1"/>
        <v>11252.560000000001</v>
      </c>
      <c r="IJ24">
        <f ca="1"/>
        <v>11601.92</v>
      </c>
      <c r="IK24">
        <f ca="1"/>
        <v>11754.16</v>
      </c>
      <c r="IL24">
        <f ca="1"/>
        <v>11788.480000000001</v>
      </c>
      <c r="IM24">
        <f ca="1"/>
        <v>11890.560000000001</v>
      </c>
      <c r="IN24">
        <f ca="1"/>
        <v>12019.04</v>
      </c>
      <c r="IO24">
        <f ca="1"/>
        <v>12289.2</v>
      </c>
      <c r="IP24">
        <f ca="1"/>
        <v>12459.92</v>
      </c>
      <c r="IQ24">
        <f ca="1"/>
        <v>12554.08</v>
      </c>
      <c r="IR24">
        <f ca="1"/>
        <v>12707.2</v>
      </c>
      <c r="IS24">
        <f ca="1"/>
        <v>12854.16</v>
      </c>
      <c r="IT24">
        <f ca="1"/>
        <v>12971.2</v>
      </c>
      <c r="IU24">
        <f ca="1"/>
        <v>12967.68</v>
      </c>
      <c r="IV24">
        <f ca="1"/>
        <v>13149.84</v>
      </c>
      <c r="IW24">
        <f ca="1"/>
        <v>13234.32</v>
      </c>
    </row>
    <row r="25" spans="2:257" x14ac:dyDescent="0.25">
      <c r="B25" t="str">
        <f t="shared" si="408"/>
        <v>20K6HZ6</v>
      </c>
      <c r="C25" t="s">
        <v>160</v>
      </c>
      <c r="D25" t="e" vm="1151">
        <v>#VALUE!</v>
      </c>
      <c r="E25" t="str" cm="1">
        <f t="array" aca="1" ref="E25" ca="1">_FV(D25,"Code mnémonique",TRUE)</f>
        <v>CWB</v>
      </c>
      <c r="F25" s="12" t="e">
        <f>_xlfn.XLOOKUP(D25,Titres[Action],Titres[Nb d''actions])</f>
        <v>#N/A</v>
      </c>
      <c r="G25" t="str" cm="1">
        <f t="array" aca="1" ref="G25" ca="1">IFERROR(TRANSPOSE(_xlfn.STOCKHISTORY(D25,TODAY()-365,TODAY(),0,0,1))*F25,"")</f>
        <v/>
      </c>
      <c r="H25"/>
    </row>
    <row r="26" spans="2:257" x14ac:dyDescent="0.25">
      <c r="B26" t="str">
        <f t="shared" si="408"/>
        <v>20K6HZ6</v>
      </c>
      <c r="C26" t="s">
        <v>160</v>
      </c>
      <c r="D26" t="e" vm="525">
        <v>#VALUE!</v>
      </c>
      <c r="E26" t="str" cm="1">
        <f t="array" aca="1" ref="E26" ca="1">_FV(D26,"Code mnémonique",TRUE)</f>
        <v>EMA</v>
      </c>
      <c r="F26" s="12">
        <f>_xlfn.XLOOKUP(D26,Titres[Action],Titres[Nb d''actions])</f>
        <v>68</v>
      </c>
      <c r="G26" cm="1">
        <f t="array" aca="1" ref="G26:IW26" ca="1">IFERROR(TRANSPOSE(_xlfn.STOCKHISTORY(D26,TODAY()-365,TODAY(),0,0,1))*F26,"")</f>
        <v>4144.6000000000004</v>
      </c>
      <c r="H26">
        <f ca="1"/>
        <v>4158.2</v>
      </c>
      <c r="I26">
        <f ca="1"/>
        <v>4167.72</v>
      </c>
      <c r="J26">
        <f ca="1"/>
        <v>4157.5200000000004</v>
      </c>
      <c r="K26">
        <f ca="1"/>
        <v>4175.88</v>
      </c>
      <c r="L26">
        <f ca="1"/>
        <v>4153.4399999999996</v>
      </c>
      <c r="M26">
        <f ca="1"/>
        <v>4151.3999999999996</v>
      </c>
      <c r="N26">
        <f ca="1"/>
        <v>4219.3999999999996</v>
      </c>
      <c r="O26">
        <f ca="1"/>
        <v>4172.4799999999996</v>
      </c>
      <c r="P26">
        <f ca="1"/>
        <v>4131</v>
      </c>
      <c r="Q26">
        <f ca="1"/>
        <v>4124.2</v>
      </c>
      <c r="R26">
        <f ca="1"/>
        <v>4159.5600000000004</v>
      </c>
      <c r="S26">
        <f ca="1"/>
        <v>4171.8</v>
      </c>
      <c r="T26">
        <f ca="1"/>
        <v>4201.04</v>
      </c>
      <c r="U26">
        <f ca="1"/>
        <v>4184.04</v>
      </c>
      <c r="V26">
        <f ca="1"/>
        <v>4094.96</v>
      </c>
      <c r="W26">
        <f ca="1"/>
        <v>4067.76</v>
      </c>
      <c r="X26">
        <f ca="1"/>
        <v>4055.52</v>
      </c>
      <c r="Y26">
        <f ca="1"/>
        <v>4083.3999999999996</v>
      </c>
      <c r="Z26">
        <f ca="1"/>
        <v>4099.72</v>
      </c>
      <c r="AA26">
        <f ca="1"/>
        <v>4149.3600000000006</v>
      </c>
      <c r="AB26">
        <f ca="1"/>
        <v>4212.6000000000004</v>
      </c>
      <c r="AC26">
        <f ca="1"/>
        <v>4163.6399999999994</v>
      </c>
      <c r="AD26">
        <f ca="1"/>
        <v>4189.4799999999996</v>
      </c>
      <c r="AE26">
        <f ca="1"/>
        <v>4205.12</v>
      </c>
      <c r="AF26">
        <f ca="1"/>
        <v>4260.2</v>
      </c>
      <c r="AG26">
        <f ca="1"/>
        <v>4245.92</v>
      </c>
      <c r="AH26">
        <f ca="1"/>
        <v>4255.4399999999996</v>
      </c>
      <c r="AI26">
        <f ca="1"/>
        <v>4277.88</v>
      </c>
      <c r="AJ26">
        <f ca="1"/>
        <v>4245.24</v>
      </c>
      <c r="AK26">
        <f ca="1"/>
        <v>4232.32</v>
      </c>
      <c r="AL26">
        <f ca="1"/>
        <v>4205.12</v>
      </c>
      <c r="AM26">
        <f ca="1"/>
        <v>4159.5600000000004</v>
      </c>
      <c r="AN26">
        <f ca="1"/>
        <v>4114.68</v>
      </c>
      <c r="AO26">
        <f ca="1"/>
        <v>4112.6399999999994</v>
      </c>
      <c r="AP26">
        <f ca="1"/>
        <v>4125.5600000000004</v>
      </c>
      <c r="AQ26">
        <f ca="1"/>
        <v>4119.4399999999996</v>
      </c>
      <c r="AR26">
        <f ca="1"/>
        <v>4156.16</v>
      </c>
      <c r="AS26">
        <f ca="1"/>
        <v>4173.84</v>
      </c>
      <c r="AT26">
        <f ca="1"/>
        <v>4173.16</v>
      </c>
      <c r="AU26">
        <f ca="1"/>
        <v>4177.92</v>
      </c>
      <c r="AV26">
        <f ca="1"/>
        <v>4143.92</v>
      </c>
      <c r="AW26">
        <f ca="1"/>
        <v>4142.5600000000004</v>
      </c>
      <c r="AX26">
        <f ca="1"/>
        <v>4141.2</v>
      </c>
      <c r="AY26">
        <f ca="1"/>
        <v>4182.68</v>
      </c>
      <c r="AZ26">
        <f ca="1"/>
        <v>4182</v>
      </c>
      <c r="BA26">
        <f ca="1"/>
        <v>4171.12</v>
      </c>
      <c r="BB26">
        <f ca="1"/>
        <v>4156.16</v>
      </c>
      <c r="BC26">
        <f ca="1"/>
        <v>4188.12</v>
      </c>
      <c r="BD26">
        <f ca="1"/>
        <v>4241.84</v>
      </c>
      <c r="BE26">
        <f ca="1"/>
        <v>4190.84</v>
      </c>
      <c r="BF26">
        <f ca="1"/>
        <v>4198.32</v>
      </c>
      <c r="BG26">
        <f ca="1"/>
        <v>4222.12</v>
      </c>
      <c r="BH26">
        <f ca="1"/>
        <v>4233</v>
      </c>
      <c r="BI26">
        <f ca="1"/>
        <v>4226.88</v>
      </c>
      <c r="BJ26">
        <f ca="1"/>
        <v>4241.84</v>
      </c>
      <c r="BK26">
        <f ca="1"/>
        <v>4252.04</v>
      </c>
      <c r="BL26">
        <f ca="1"/>
        <v>4281.96</v>
      </c>
      <c r="BM26">
        <f ca="1"/>
        <v>4254.76</v>
      </c>
      <c r="BN26">
        <f ca="1"/>
        <v>4247.28</v>
      </c>
      <c r="BO26">
        <f ca="1"/>
        <v>4237.76</v>
      </c>
      <c r="BP26">
        <f ca="1"/>
        <v>4217.3600000000006</v>
      </c>
      <c r="BQ26">
        <f ca="1"/>
        <v>4262.24</v>
      </c>
      <c r="BR26">
        <f ca="1"/>
        <v>4303.04</v>
      </c>
      <c r="BS26">
        <f ca="1"/>
        <v>4334.32</v>
      </c>
      <c r="BT26">
        <f ca="1"/>
        <v>4308.4799999999996</v>
      </c>
      <c r="BU26">
        <f ca="1"/>
        <v>4330.24</v>
      </c>
      <c r="BV26">
        <f ca="1"/>
        <v>4354.72</v>
      </c>
      <c r="BW26">
        <f ca="1"/>
        <v>4322.76</v>
      </c>
      <c r="BX26">
        <f ca="1"/>
        <v>4365.6000000000004</v>
      </c>
      <c r="BY26">
        <f ca="1"/>
        <v>4417.28</v>
      </c>
      <c r="BZ26">
        <f ca="1"/>
        <v>4424.08</v>
      </c>
      <c r="CA26">
        <f ca="1"/>
        <v>4386</v>
      </c>
      <c r="CB26">
        <f ca="1"/>
        <v>4408.4399999999996</v>
      </c>
      <c r="CC26">
        <f ca="1"/>
        <v>4413.88</v>
      </c>
      <c r="CD26">
        <f ca="1"/>
        <v>4495.4799999999996</v>
      </c>
      <c r="CE26">
        <f ca="1"/>
        <v>4549.88</v>
      </c>
      <c r="CF26">
        <f ca="1"/>
        <v>4478.4799999999996</v>
      </c>
      <c r="CG26">
        <f ca="1"/>
        <v>4434.28</v>
      </c>
      <c r="CH26">
        <f ca="1"/>
        <v>4405.04</v>
      </c>
      <c r="CI26">
        <f ca="1"/>
        <v>4464.88</v>
      </c>
      <c r="CJ26">
        <f ca="1"/>
        <v>4499.5600000000004</v>
      </c>
      <c r="CK26">
        <f ca="1"/>
        <v>4483.92</v>
      </c>
      <c r="CL26">
        <f ca="1"/>
        <v>4490.72</v>
      </c>
      <c r="CM26">
        <f ca="1"/>
        <v>4520.6400000000003</v>
      </c>
      <c r="CN26">
        <f ca="1"/>
        <v>4556.68</v>
      </c>
      <c r="CO26">
        <f ca="1"/>
        <v>4510.4399999999996</v>
      </c>
      <c r="CP26">
        <f ca="1"/>
        <v>4484.6000000000004</v>
      </c>
      <c r="CQ26">
        <f ca="1"/>
        <v>4481.88</v>
      </c>
      <c r="CR26">
        <f ca="1"/>
        <v>4451.28</v>
      </c>
      <c r="CS26">
        <f ca="1"/>
        <v>4417.96</v>
      </c>
      <c r="CT26">
        <f ca="1"/>
        <v>4447.88</v>
      </c>
      <c r="CU26">
        <f ca="1"/>
        <v>4432.92</v>
      </c>
      <c r="CV26">
        <f ca="1"/>
        <v>4426.12</v>
      </c>
      <c r="CW26">
        <f ca="1"/>
        <v>4421.3599999999997</v>
      </c>
      <c r="CX26">
        <f ca="1"/>
        <v>4407.08</v>
      </c>
      <c r="CY26">
        <f ca="1"/>
        <v>4381.2400000000007</v>
      </c>
      <c r="CZ26">
        <f ca="1"/>
        <v>4402.32</v>
      </c>
      <c r="DA26">
        <f ca="1"/>
        <v>4381.92</v>
      </c>
      <c r="DB26">
        <f ca="1"/>
        <v>4377.84</v>
      </c>
      <c r="DC26">
        <f ca="1"/>
        <v>4405.72</v>
      </c>
      <c r="DD26">
        <f ca="1"/>
        <v>4387.3599999999997</v>
      </c>
      <c r="DE26">
        <f ca="1"/>
        <v>4330.92</v>
      </c>
      <c r="DF26">
        <f ca="1"/>
        <v>4335.68</v>
      </c>
      <c r="DG26">
        <f ca="1"/>
        <v>4300.32</v>
      </c>
      <c r="DH26">
        <f ca="1"/>
        <v>4330.24</v>
      </c>
      <c r="DI26">
        <f ca="1"/>
        <v>4375.12</v>
      </c>
      <c r="DJ26">
        <f ca="1"/>
        <v>4397.5600000000004</v>
      </c>
      <c r="DK26">
        <f ca="1"/>
        <v>4416.6000000000004</v>
      </c>
      <c r="DL26">
        <f ca="1"/>
        <v>4443.12</v>
      </c>
      <c r="DM26">
        <f ca="1"/>
        <v>4468.96</v>
      </c>
      <c r="DN26">
        <f ca="1"/>
        <v>4485.96</v>
      </c>
      <c r="DO26">
        <f ca="1"/>
        <v>4540.3599999999997</v>
      </c>
      <c r="DP26">
        <f ca="1"/>
        <v>4517.2400000000007</v>
      </c>
      <c r="DQ26">
        <f ca="1"/>
        <v>4556</v>
      </c>
      <c r="DR26">
        <f ca="1"/>
        <v>4542.3999999999996</v>
      </c>
      <c r="DS26">
        <f ca="1"/>
        <v>4559.3999999999996</v>
      </c>
      <c r="DT26">
        <f ca="1"/>
        <v>4568.92</v>
      </c>
      <c r="DU26">
        <f ca="1"/>
        <v>4556</v>
      </c>
      <c r="DV26">
        <f ca="1"/>
        <v>4560.08</v>
      </c>
      <c r="DW26">
        <f ca="1"/>
        <v>4665.4799999999996</v>
      </c>
      <c r="DX26">
        <f ca="1"/>
        <v>4605.6400000000003</v>
      </c>
      <c r="DY26">
        <f ca="1"/>
        <v>4636.2400000000007</v>
      </c>
      <c r="DZ26">
        <f ca="1"/>
        <v>4676.3599999999997</v>
      </c>
      <c r="EA26">
        <f ca="1"/>
        <v>4698.7999999999993</v>
      </c>
      <c r="EB26">
        <f ca="1"/>
        <v>4699.4799999999996</v>
      </c>
      <c r="EC26">
        <f ca="1"/>
        <v>4695.3999999999996</v>
      </c>
      <c r="ED26">
        <f ca="1"/>
        <v>4705.6000000000004</v>
      </c>
      <c r="EE26">
        <f ca="1"/>
        <v>4696.08</v>
      </c>
      <c r="EF26">
        <f ca="1"/>
        <v>4703.5600000000004</v>
      </c>
      <c r="EG26">
        <f ca="1"/>
        <v>4681.7999999999993</v>
      </c>
      <c r="EH26">
        <f ca="1"/>
        <v>4611.08</v>
      </c>
      <c r="EI26">
        <f ca="1"/>
        <v>4577.7599999999993</v>
      </c>
      <c r="EJ26">
        <f ca="1"/>
        <v>4610.3999999999996</v>
      </c>
      <c r="EK26">
        <f ca="1"/>
        <v>4534.2400000000007</v>
      </c>
      <c r="EL26">
        <f ca="1"/>
        <v>4524.04</v>
      </c>
      <c r="EM26">
        <f ca="1"/>
        <v>4530.16</v>
      </c>
      <c r="EN26">
        <f ca="1"/>
        <v>4560.08</v>
      </c>
      <c r="EO26">
        <f ca="1"/>
        <v>4591.3599999999997</v>
      </c>
      <c r="EP26">
        <f ca="1"/>
        <v>4571.6400000000003</v>
      </c>
      <c r="EQ26">
        <f ca="1"/>
        <v>4561.4399999999996</v>
      </c>
      <c r="ER26">
        <f ca="1"/>
        <v>4528.7999999999993</v>
      </c>
      <c r="ES26">
        <f ca="1"/>
        <v>4536.28</v>
      </c>
      <c r="ET26">
        <f ca="1"/>
        <v>4616.5200000000004</v>
      </c>
      <c r="EU26">
        <f ca="1"/>
        <v>4564.84</v>
      </c>
      <c r="EV26">
        <f ca="1"/>
        <v>4676.3599999999997</v>
      </c>
      <c r="EW26">
        <f ca="1"/>
        <v>4652.5600000000004</v>
      </c>
      <c r="EX26">
        <f ca="1"/>
        <v>4624.68</v>
      </c>
      <c r="EY26">
        <f ca="1"/>
        <v>4573.68</v>
      </c>
      <c r="EZ26">
        <f ca="1"/>
        <v>4541.04</v>
      </c>
      <c r="FA26">
        <f ca="1"/>
        <v>4600.2000000000007</v>
      </c>
      <c r="FB26">
        <f ca="1"/>
        <v>4645.08</v>
      </c>
      <c r="FC26">
        <f ca="1"/>
        <v>4645.08</v>
      </c>
      <c r="FD26">
        <f ca="1"/>
        <v>4625.3599999999997</v>
      </c>
      <c r="FE26">
        <f ca="1"/>
        <v>4611.7599999999993</v>
      </c>
      <c r="FF26">
        <f ca="1"/>
        <v>4638.96</v>
      </c>
      <c r="FG26">
        <f ca="1"/>
        <v>4593.3999999999996</v>
      </c>
      <c r="FH26">
        <f ca="1"/>
        <v>4553.96</v>
      </c>
      <c r="FI26">
        <f ca="1"/>
        <v>4496.16</v>
      </c>
      <c r="FJ26">
        <f ca="1"/>
        <v>4464.88</v>
      </c>
      <c r="FK26">
        <f ca="1"/>
        <v>4441.08</v>
      </c>
      <c r="FL26">
        <f ca="1"/>
        <v>4430.2000000000007</v>
      </c>
      <c r="FM26">
        <f ca="1"/>
        <v>4420.68</v>
      </c>
      <c r="FN26">
        <f ca="1"/>
        <v>4435.6400000000003</v>
      </c>
      <c r="FO26">
        <f ca="1"/>
        <v>4485.28</v>
      </c>
      <c r="FP26">
        <f ca="1"/>
        <v>4518.6000000000004</v>
      </c>
      <c r="FQ26">
        <f ca="1"/>
        <v>4526.7599999999993</v>
      </c>
      <c r="FR26">
        <f ca="1"/>
        <v>4547.16</v>
      </c>
      <c r="FS26">
        <f ca="1"/>
        <v>4545.7999999999993</v>
      </c>
      <c r="FT26">
        <f ca="1"/>
        <v>4522.68</v>
      </c>
      <c r="FU26">
        <f ca="1"/>
        <v>4532.2000000000007</v>
      </c>
      <c r="FV26">
        <f ca="1"/>
        <v>4565.5200000000004</v>
      </c>
      <c r="FW26">
        <f ca="1"/>
        <v>4558.72</v>
      </c>
      <c r="FX26">
        <f ca="1"/>
        <v>4579.12</v>
      </c>
      <c r="FY26">
        <f ca="1"/>
        <v>4592.72</v>
      </c>
      <c r="FZ26">
        <f ca="1"/>
        <v>4599.5200000000004</v>
      </c>
      <c r="GA26">
        <f ca="1"/>
        <v>4596.7999999999993</v>
      </c>
      <c r="GB26">
        <f ca="1"/>
        <v>4552.6000000000004</v>
      </c>
      <c r="GC26">
        <f ca="1"/>
        <v>4600.88</v>
      </c>
      <c r="GD26">
        <f ca="1"/>
        <v>4601.5600000000004</v>
      </c>
      <c r="GE26">
        <f ca="1"/>
        <v>4616.5200000000004</v>
      </c>
      <c r="GF26">
        <f ca="1"/>
        <v>4623.32</v>
      </c>
      <c r="GG26">
        <f ca="1"/>
        <v>4512.4799999999996</v>
      </c>
      <c r="GH26">
        <f ca="1"/>
        <v>4526.7599999999993</v>
      </c>
      <c r="GI26">
        <f ca="1"/>
        <v>4587.96</v>
      </c>
      <c r="GJ26">
        <f ca="1"/>
        <v>4617.88</v>
      </c>
      <c r="GK26">
        <f ca="1"/>
        <v>4654.6000000000004</v>
      </c>
      <c r="GL26">
        <f ca="1"/>
        <v>4663.4399999999996</v>
      </c>
      <c r="GM26">
        <f ca="1"/>
        <v>4728.72</v>
      </c>
      <c r="GN26">
        <f ca="1"/>
        <v>4679.08</v>
      </c>
      <c r="GO26">
        <f ca="1"/>
        <v>4654.6000000000004</v>
      </c>
      <c r="GP26">
        <f ca="1"/>
        <v>4643.72</v>
      </c>
      <c r="GQ26">
        <f ca="1"/>
        <v>4632.84</v>
      </c>
      <c r="GR26">
        <f ca="1"/>
        <v>4645.7599999999993</v>
      </c>
      <c r="GS26">
        <f ca="1"/>
        <v>4632.84</v>
      </c>
      <c r="GT26">
        <f ca="1"/>
        <v>4621.28</v>
      </c>
      <c r="GU26">
        <f ca="1"/>
        <v>4589.32</v>
      </c>
      <c r="GV26">
        <f ca="1"/>
        <v>4566.2000000000007</v>
      </c>
      <c r="GW26">
        <f ca="1"/>
        <v>4622.6400000000003</v>
      </c>
      <c r="GX26">
        <f ca="1"/>
        <v>4674.32</v>
      </c>
      <c r="GY26">
        <f ca="1"/>
        <v>4670.92</v>
      </c>
      <c r="GZ26">
        <f ca="1"/>
        <v>4581.16</v>
      </c>
      <c r="HA26">
        <f ca="1"/>
        <v>4511.7999999999993</v>
      </c>
      <c r="HB26">
        <f ca="1"/>
        <v>4500.92</v>
      </c>
      <c r="HC26">
        <f ca="1"/>
        <v>4523.3599999999997</v>
      </c>
      <c r="HD26">
        <f ca="1"/>
        <v>4668.88</v>
      </c>
      <c r="HE26">
        <f ca="1"/>
        <v>4769.5200000000004</v>
      </c>
      <c r="HF26">
        <f ca="1"/>
        <v>4797.3999999999996</v>
      </c>
      <c r="HG26">
        <f ca="1"/>
        <v>4746.3999999999996</v>
      </c>
      <c r="HH26">
        <f ca="1"/>
        <v>4769.5200000000004</v>
      </c>
      <c r="HI26">
        <f ca="1"/>
        <v>4771.5600000000004</v>
      </c>
      <c r="HJ26">
        <f ca="1"/>
        <v>4768.84</v>
      </c>
      <c r="HK26">
        <f ca="1"/>
        <v>4749.7999999999993</v>
      </c>
      <c r="HL26">
        <f ca="1"/>
        <v>4757.28</v>
      </c>
      <c r="HM26">
        <f ca="1"/>
        <v>4734.16</v>
      </c>
      <c r="HN26">
        <f ca="1"/>
        <v>4825.96</v>
      </c>
      <c r="HO26">
        <f ca="1"/>
        <v>4775.6400000000003</v>
      </c>
      <c r="HP26">
        <f ca="1"/>
        <v>4791.96</v>
      </c>
      <c r="HQ26">
        <f ca="1"/>
        <v>4831.3999999999996</v>
      </c>
      <c r="HR26">
        <f ca="1"/>
        <v>4853.84</v>
      </c>
      <c r="HS26">
        <f ca="1"/>
        <v>4834.12</v>
      </c>
      <c r="HT26">
        <f ca="1"/>
        <v>4817.12</v>
      </c>
      <c r="HU26">
        <f ca="1"/>
        <v>4857.2400000000007</v>
      </c>
      <c r="HV26">
        <f ca="1"/>
        <v>4855.88</v>
      </c>
      <c r="HW26">
        <f ca="1"/>
        <v>4930</v>
      </c>
      <c r="HX26">
        <f ca="1"/>
        <v>4993.2400000000007</v>
      </c>
      <c r="HY26">
        <f ca="1"/>
        <v>4991.2000000000007</v>
      </c>
      <c r="HZ26">
        <f ca="1"/>
        <v>4978.96</v>
      </c>
      <c r="IA26">
        <f ca="1"/>
        <v>4957.2000000000007</v>
      </c>
      <c r="IB26">
        <f ca="1"/>
        <v>4883.7599999999993</v>
      </c>
      <c r="IC26">
        <f ca="1"/>
        <v>4790.6000000000004</v>
      </c>
      <c r="ID26">
        <f ca="1"/>
        <v>4738.2400000000007</v>
      </c>
      <c r="IE26">
        <f ca="1"/>
        <v>4732.7999999999993</v>
      </c>
      <c r="IF26">
        <f ca="1"/>
        <v>4797.3999999999996</v>
      </c>
      <c r="IG26">
        <f ca="1"/>
        <v>4855.2000000000007</v>
      </c>
      <c r="IH26">
        <f ca="1"/>
        <v>4851.7999999999993</v>
      </c>
      <c r="II26">
        <f ca="1"/>
        <v>4904.84</v>
      </c>
      <c r="IJ26">
        <f ca="1"/>
        <v>4903.4799999999996</v>
      </c>
      <c r="IK26">
        <f ca="1"/>
        <v>4933.3999999999996</v>
      </c>
      <c r="IL26">
        <f ca="1"/>
        <v>4985.7599999999993</v>
      </c>
      <c r="IM26">
        <f ca="1"/>
        <v>4969.4399999999996</v>
      </c>
      <c r="IN26">
        <f ca="1"/>
        <v>5002.08</v>
      </c>
      <c r="IO26">
        <f ca="1"/>
        <v>4974.2000000000007</v>
      </c>
      <c r="IP26">
        <f ca="1"/>
        <v>4993.92</v>
      </c>
      <c r="IQ26">
        <f ca="1"/>
        <v>5028.6000000000004</v>
      </c>
      <c r="IR26">
        <f ca="1"/>
        <v>4924.5600000000004</v>
      </c>
      <c r="IS26">
        <f ca="1"/>
        <v>4908.92</v>
      </c>
      <c r="IT26">
        <f ca="1"/>
        <v>4902.7999999999993</v>
      </c>
      <c r="IU26">
        <f ca="1"/>
        <v>4898.04</v>
      </c>
      <c r="IV26">
        <f ca="1"/>
        <v>4893.96</v>
      </c>
      <c r="IW26">
        <f ca="1"/>
        <v>4828.68</v>
      </c>
    </row>
    <row r="27" spans="2:257" x14ac:dyDescent="0.25">
      <c r="B27" t="str">
        <f t="shared" si="408"/>
        <v>20K6HZ6</v>
      </c>
      <c r="C27" t="s">
        <v>160</v>
      </c>
      <c r="D27" t="e" vm="530">
        <v>#VALUE!</v>
      </c>
      <c r="E27" t="str" cm="1">
        <f t="array" aca="1" ref="E27" ca="1">_FV(D27,"Code mnémonique",TRUE)</f>
        <v>ENB</v>
      </c>
      <c r="F27" s="12">
        <f>_xlfn.XLOOKUP(D27,Titres[Action],Titres[Nb d''actions])</f>
        <v>53</v>
      </c>
      <c r="G27" cm="1">
        <f t="array" aca="1" ref="G27:IW27" ca="1">IFERROR(TRANSPOSE(_xlfn.STOCKHISTORY(D27,TODAY()-365,TODAY(),0,0,1))*F27,"")</f>
        <v>3299.7799999999997</v>
      </c>
      <c r="H27">
        <f ca="1"/>
        <v>3344.83</v>
      </c>
      <c r="I27">
        <f ca="1"/>
        <v>3354.8999999999996</v>
      </c>
      <c r="J27">
        <f ca="1"/>
        <v>3405.25</v>
      </c>
      <c r="K27">
        <f ca="1"/>
        <v>3392.53</v>
      </c>
      <c r="L27">
        <f ca="1"/>
        <v>3415.8500000000004</v>
      </c>
      <c r="M27">
        <f ca="1"/>
        <v>3419.56</v>
      </c>
      <c r="N27">
        <f ca="1"/>
        <v>3416.91</v>
      </c>
      <c r="O27">
        <f ca="1"/>
        <v>3413.73</v>
      </c>
      <c r="P27">
        <f ca="1"/>
        <v>3430.69</v>
      </c>
      <c r="Q27">
        <f ca="1"/>
        <v>3410.02</v>
      </c>
      <c r="R27">
        <f ca="1"/>
        <v>3369.21</v>
      </c>
      <c r="S27">
        <f ca="1"/>
        <v>3431.22</v>
      </c>
      <c r="T27">
        <f ca="1"/>
        <v>3380.87</v>
      </c>
      <c r="U27">
        <f ca="1"/>
        <v>3407.8999999999996</v>
      </c>
      <c r="V27">
        <f ca="1"/>
        <v>3301.37</v>
      </c>
      <c r="W27">
        <f ca="1"/>
        <v>3292.3599999999997</v>
      </c>
      <c r="X27">
        <f ca="1"/>
        <v>3325.75</v>
      </c>
      <c r="Y27">
        <f ca="1"/>
        <v>3323.63</v>
      </c>
      <c r="Z27">
        <f ca="1"/>
        <v>3324.69</v>
      </c>
      <c r="AA27">
        <f ca="1"/>
        <v>3365.5</v>
      </c>
      <c r="AB27">
        <f ca="1"/>
        <v>3349.6000000000004</v>
      </c>
      <c r="AC27">
        <f ca="1"/>
        <v>3320.98</v>
      </c>
      <c r="AD27">
        <f ca="1"/>
        <v>3352.7799999999997</v>
      </c>
      <c r="AE27">
        <f ca="1"/>
        <v>3364.44</v>
      </c>
      <c r="AF27">
        <f ca="1"/>
        <v>3372.92</v>
      </c>
      <c r="AG27">
        <f ca="1"/>
        <v>3342.71</v>
      </c>
      <c r="AH27">
        <f ca="1"/>
        <v>3355.96</v>
      </c>
      <c r="AI27">
        <f ca="1"/>
        <v>3385.1099999999997</v>
      </c>
      <c r="AJ27">
        <f ca="1"/>
        <v>3422.74</v>
      </c>
      <c r="AK27">
        <f ca="1"/>
        <v>3424.33</v>
      </c>
      <c r="AL27">
        <f ca="1"/>
        <v>3386.17</v>
      </c>
      <c r="AM27">
        <f ca="1"/>
        <v>3393.06</v>
      </c>
      <c r="AN27">
        <f ca="1"/>
        <v>3376.1000000000004</v>
      </c>
      <c r="AO27">
        <f ca="1"/>
        <v>3323.1000000000004</v>
      </c>
      <c r="AP27">
        <f ca="1"/>
        <v>3324.69</v>
      </c>
      <c r="AQ27">
        <f ca="1"/>
        <v>3322.5699999999997</v>
      </c>
      <c r="AR27">
        <f ca="1"/>
        <v>3375.5699999999997</v>
      </c>
      <c r="AS27">
        <f ca="1"/>
        <v>3358.6099999999997</v>
      </c>
      <c r="AT27">
        <f ca="1"/>
        <v>3307.73</v>
      </c>
      <c r="AU27">
        <f ca="1"/>
        <v>3325.75</v>
      </c>
      <c r="AV27">
        <f ca="1"/>
        <v>3267.45</v>
      </c>
      <c r="AW27">
        <f ca="1"/>
        <v>3258.44</v>
      </c>
      <c r="AX27">
        <f ca="1"/>
        <v>3261.09</v>
      </c>
      <c r="AY27">
        <f ca="1"/>
        <v>3269.04</v>
      </c>
      <c r="AZ27">
        <f ca="1"/>
        <v>3277.52</v>
      </c>
      <c r="BA27">
        <f ca="1"/>
        <v>3235.12</v>
      </c>
      <c r="BB27">
        <f ca="1"/>
        <v>3261.62</v>
      </c>
      <c r="BC27">
        <f ca="1"/>
        <v>3254.2</v>
      </c>
      <c r="BD27">
        <f ca="1"/>
        <v>3272.75</v>
      </c>
      <c r="BE27">
        <f ca="1"/>
        <v>3225.05</v>
      </c>
      <c r="BF27">
        <f ca="1"/>
        <v>3228.23</v>
      </c>
      <c r="BG27">
        <f ca="1"/>
        <v>3227.17</v>
      </c>
      <c r="BH27">
        <f ca="1"/>
        <v>3196.96</v>
      </c>
      <c r="BI27">
        <f ca="1"/>
        <v>3209.1499999999996</v>
      </c>
      <c r="BJ27">
        <f ca="1"/>
        <v>3177.3500000000004</v>
      </c>
      <c r="BK27">
        <f ca="1"/>
        <v>3222.3999999999996</v>
      </c>
      <c r="BL27">
        <f ca="1"/>
        <v>3231.41</v>
      </c>
      <c r="BM27">
        <f ca="1"/>
        <v>3281.76</v>
      </c>
      <c r="BN27">
        <f ca="1"/>
        <v>3291.3</v>
      </c>
      <c r="BO27">
        <f ca="1"/>
        <v>3281.23</v>
      </c>
      <c r="BP27">
        <f ca="1"/>
        <v>3263.74</v>
      </c>
      <c r="BQ27">
        <f ca="1"/>
        <v>3279.6400000000003</v>
      </c>
      <c r="BR27">
        <f ca="1"/>
        <v>3233.5299999999997</v>
      </c>
      <c r="BS27">
        <f ca="1"/>
        <v>3259.5</v>
      </c>
      <c r="BT27">
        <f ca="1"/>
        <v>3277.52</v>
      </c>
      <c r="BU27">
        <f ca="1"/>
        <v>3287.59</v>
      </c>
      <c r="BV27">
        <f ca="1"/>
        <v>3268.51</v>
      </c>
      <c r="BW27">
        <f ca="1"/>
        <v>3250.49</v>
      </c>
      <c r="BX27">
        <f ca="1"/>
        <v>3290.24</v>
      </c>
      <c r="BY27">
        <f ca="1"/>
        <v>3299.25</v>
      </c>
      <c r="BZ27">
        <f ca="1"/>
        <v>3325.75</v>
      </c>
      <c r="CA27">
        <f ca="1"/>
        <v>3377.69</v>
      </c>
      <c r="CB27">
        <f ca="1"/>
        <v>3413.2000000000003</v>
      </c>
      <c r="CC27">
        <f ca="1"/>
        <v>3424.86</v>
      </c>
      <c r="CD27">
        <f ca="1"/>
        <v>3432.28</v>
      </c>
      <c r="CE27">
        <f ca="1"/>
        <v>3428.5699999999997</v>
      </c>
      <c r="CF27">
        <f ca="1"/>
        <v>3469.91</v>
      </c>
      <c r="CG27">
        <f ca="1"/>
        <v>3457.19</v>
      </c>
      <c r="CH27">
        <f ca="1"/>
        <v>3478.92</v>
      </c>
      <c r="CI27">
        <f ca="1"/>
        <v>3527.1499999999996</v>
      </c>
      <c r="CJ27">
        <f ca="1"/>
        <v>3445.53</v>
      </c>
      <c r="CK27">
        <f ca="1"/>
        <v>3415.3199999999997</v>
      </c>
      <c r="CL27">
        <f ca="1"/>
        <v>3467.26</v>
      </c>
      <c r="CM27">
        <f ca="1"/>
        <v>3530.86</v>
      </c>
      <c r="CN27">
        <f ca="1"/>
        <v>3535.1000000000004</v>
      </c>
      <c r="CO27">
        <f ca="1"/>
        <v>3515.49</v>
      </c>
      <c r="CP27">
        <f ca="1"/>
        <v>3498.53</v>
      </c>
      <c r="CQ27">
        <f ca="1"/>
        <v>3481.0400000000004</v>
      </c>
      <c r="CR27">
        <f ca="1"/>
        <v>3481.5699999999997</v>
      </c>
      <c r="CS27">
        <f ca="1"/>
        <v>3486.34</v>
      </c>
      <c r="CT27">
        <f ca="1"/>
        <v>3521.8500000000004</v>
      </c>
      <c r="CU27">
        <f ca="1"/>
        <v>3527.6800000000003</v>
      </c>
      <c r="CV27">
        <f ca="1"/>
        <v>3534.0400000000004</v>
      </c>
      <c r="CW27">
        <f ca="1"/>
        <v>3528.74</v>
      </c>
      <c r="CX27">
        <f ca="1"/>
        <v>3544.11</v>
      </c>
      <c r="CY27">
        <f ca="1"/>
        <v>3537.75</v>
      </c>
      <c r="CZ27">
        <f ca="1"/>
        <v>3549.94</v>
      </c>
      <c r="DA27">
        <f ca="1"/>
        <v>3569.5499999999997</v>
      </c>
      <c r="DB27">
        <f ca="1"/>
        <v>3577.5</v>
      </c>
      <c r="DC27">
        <f ca="1"/>
        <v>3602.94</v>
      </c>
      <c r="DD27">
        <f ca="1"/>
        <v>3581.74</v>
      </c>
      <c r="DE27">
        <f ca="1"/>
        <v>3564.25</v>
      </c>
      <c r="DF27">
        <f ca="1"/>
        <v>3583.33</v>
      </c>
      <c r="DG27">
        <f ca="1"/>
        <v>3592.34</v>
      </c>
      <c r="DH27">
        <f ca="1"/>
        <v>3623.08</v>
      </c>
      <c r="DI27">
        <f ca="1"/>
        <v>3604</v>
      </c>
      <c r="DJ27">
        <f ca="1"/>
        <v>3637.92</v>
      </c>
      <c r="DK27">
        <f ca="1"/>
        <v>3682.44</v>
      </c>
      <c r="DL27">
        <f ca="1"/>
        <v>3662.83</v>
      </c>
      <c r="DM27">
        <f ca="1"/>
        <v>3661.77</v>
      </c>
      <c r="DN27">
        <f ca="1"/>
        <v>3669.19</v>
      </c>
      <c r="DO27">
        <f ca="1"/>
        <v>3721.1299999999997</v>
      </c>
      <c r="DP27">
        <f ca="1"/>
        <v>3665.48</v>
      </c>
      <c r="DQ27">
        <f ca="1"/>
        <v>3677.67</v>
      </c>
      <c r="DR27">
        <f ca="1"/>
        <v>3703.64</v>
      </c>
      <c r="DS27">
        <f ca="1"/>
        <v>3679.7900000000004</v>
      </c>
      <c r="DT27">
        <f ca="1"/>
        <v>3657.53</v>
      </c>
      <c r="DU27">
        <f ca="1"/>
        <v>3628.3799999999997</v>
      </c>
      <c r="DV27">
        <f ca="1"/>
        <v>3567.9599999999996</v>
      </c>
      <c r="DW27">
        <f ca="1"/>
        <v>3538.81</v>
      </c>
      <c r="DX27">
        <f ca="1"/>
        <v>3537.75</v>
      </c>
      <c r="DY27">
        <f ca="1"/>
        <v>3545.17</v>
      </c>
      <c r="DZ27">
        <f ca="1"/>
        <v>3518.14</v>
      </c>
      <c r="EA27">
        <f ca="1"/>
        <v>3496.94</v>
      </c>
      <c r="EB27">
        <f ca="1"/>
        <v>3510.72</v>
      </c>
      <c r="EC27">
        <f ca="1"/>
        <v>3513.3700000000003</v>
      </c>
      <c r="ED27">
        <f ca="1"/>
        <v>3536.69</v>
      </c>
      <c r="EE27">
        <f ca="1"/>
        <v>3496.94</v>
      </c>
      <c r="EF27">
        <f ca="1"/>
        <v>3479.4500000000003</v>
      </c>
      <c r="EG27">
        <f ca="1"/>
        <v>3507.5400000000004</v>
      </c>
      <c r="EH27">
        <f ca="1"/>
        <v>3479.4500000000003</v>
      </c>
      <c r="EI27">
        <f ca="1"/>
        <v>3451.36</v>
      </c>
      <c r="EJ27">
        <f ca="1"/>
        <v>3482.6299999999997</v>
      </c>
      <c r="EK27">
        <f ca="1"/>
        <v>3466.2000000000003</v>
      </c>
      <c r="EL27">
        <f ca="1"/>
        <v>3472.56</v>
      </c>
      <c r="EM27">
        <f ca="1"/>
        <v>3466.2000000000003</v>
      </c>
      <c r="EN27">
        <f ca="1"/>
        <v>3486.34</v>
      </c>
      <c r="EO27">
        <f ca="1"/>
        <v>3510.72</v>
      </c>
      <c r="EP27">
        <f ca="1"/>
        <v>3547.8199999999997</v>
      </c>
      <c r="EQ27">
        <f ca="1"/>
        <v>3558.9500000000003</v>
      </c>
      <c r="ER27">
        <f ca="1"/>
        <v>3587.0400000000004</v>
      </c>
      <c r="ES27">
        <f ca="1"/>
        <v>3617.25</v>
      </c>
      <c r="ET27">
        <f ca="1"/>
        <v>3591.28</v>
      </c>
      <c r="EU27">
        <f ca="1"/>
        <v>3559.48</v>
      </c>
      <c r="EV27">
        <f ca="1"/>
        <v>3556.83</v>
      </c>
      <c r="EW27">
        <f ca="1"/>
        <v>3578.03</v>
      </c>
      <c r="EX27">
        <f ca="1"/>
        <v>3624.67</v>
      </c>
      <c r="EY27">
        <f ca="1"/>
        <v>3610.89</v>
      </c>
      <c r="EZ27">
        <f ca="1"/>
        <v>3582.7999999999997</v>
      </c>
      <c r="FA27">
        <f ca="1"/>
        <v>3539.34</v>
      </c>
      <c r="FB27">
        <f ca="1"/>
        <v>3555.24</v>
      </c>
      <c r="FC27">
        <f ca="1"/>
        <v>3575.91</v>
      </c>
      <c r="FD27">
        <f ca="1"/>
        <v>3573.26</v>
      </c>
      <c r="FE27">
        <f ca="1"/>
        <v>3600.2900000000004</v>
      </c>
      <c r="FF27">
        <f ca="1"/>
        <v>3627.3199999999997</v>
      </c>
      <c r="FG27">
        <f ca="1"/>
        <v>3566.3700000000003</v>
      </c>
      <c r="FH27">
        <f ca="1"/>
        <v>3531.39</v>
      </c>
      <c r="FI27">
        <f ca="1"/>
        <v>3564.78</v>
      </c>
      <c r="FJ27">
        <f ca="1"/>
        <v>3528.74</v>
      </c>
      <c r="FK27">
        <f ca="1"/>
        <v>3540.9300000000003</v>
      </c>
      <c r="FL27">
        <f ca="1"/>
        <v>3491.11</v>
      </c>
      <c r="FM27">
        <f ca="1"/>
        <v>3451.89</v>
      </c>
      <c r="FN27">
        <f ca="1"/>
        <v>3457.72</v>
      </c>
      <c r="FO27">
        <f ca="1"/>
        <v>3469.3799999999997</v>
      </c>
      <c r="FP27">
        <f ca="1"/>
        <v>3479.98</v>
      </c>
      <c r="FQ27">
        <f ca="1"/>
        <v>3404.19</v>
      </c>
      <c r="FR27">
        <f ca="1"/>
        <v>3426.98</v>
      </c>
      <c r="FS27">
        <f ca="1"/>
        <v>3414.7900000000004</v>
      </c>
      <c r="FT27">
        <f ca="1"/>
        <v>3407.8999999999996</v>
      </c>
      <c r="FU27">
        <f ca="1"/>
        <v>3413.2000000000003</v>
      </c>
      <c r="FV27">
        <f ca="1"/>
        <v>3444.47</v>
      </c>
      <c r="FW27">
        <f ca="1"/>
        <v>3438.64</v>
      </c>
      <c r="FX27">
        <f ca="1"/>
        <v>3462.49</v>
      </c>
      <c r="FY27">
        <f ca="1"/>
        <v>3486.34</v>
      </c>
      <c r="FZ27">
        <f ca="1"/>
        <v>3481.0400000000004</v>
      </c>
      <c r="GA27">
        <f ca="1"/>
        <v>3501.1800000000003</v>
      </c>
      <c r="GB27">
        <f ca="1"/>
        <v>3395.7099999999996</v>
      </c>
      <c r="GC27">
        <f ca="1"/>
        <v>3346.95</v>
      </c>
      <c r="GD27">
        <f ca="1"/>
        <v>3323.63</v>
      </c>
      <c r="GE27">
        <f ca="1"/>
        <v>3330.52</v>
      </c>
      <c r="GF27">
        <f ca="1"/>
        <v>3367.62</v>
      </c>
      <c r="GG27">
        <f ca="1"/>
        <v>3376.63</v>
      </c>
      <c r="GH27">
        <f ca="1"/>
        <v>3409.49</v>
      </c>
      <c r="GI27">
        <f ca="1"/>
        <v>3426.98</v>
      </c>
      <c r="GJ27">
        <f ca="1"/>
        <v>3449.24</v>
      </c>
      <c r="GK27">
        <f ca="1"/>
        <v>3507.01</v>
      </c>
      <c r="GL27">
        <f ca="1"/>
        <v>3495.3500000000004</v>
      </c>
      <c r="GM27">
        <f ca="1"/>
        <v>3454.5400000000004</v>
      </c>
      <c r="GN27">
        <f ca="1"/>
        <v>3465.67</v>
      </c>
      <c r="GO27">
        <f ca="1"/>
        <v>3469.3799999999997</v>
      </c>
      <c r="GP27">
        <f ca="1"/>
        <v>3500.6499999999996</v>
      </c>
      <c r="GQ27">
        <f ca="1"/>
        <v>3478.92</v>
      </c>
      <c r="GR27">
        <f ca="1"/>
        <v>3455.0699999999997</v>
      </c>
      <c r="GS27">
        <f ca="1"/>
        <v>3487.3999999999996</v>
      </c>
      <c r="GT27">
        <f ca="1"/>
        <v>3520.7900000000004</v>
      </c>
      <c r="GU27">
        <f ca="1"/>
        <v>3522.91</v>
      </c>
      <c r="GV27">
        <f ca="1"/>
        <v>3497.47</v>
      </c>
      <c r="GW27">
        <f ca="1"/>
        <v>3565.31</v>
      </c>
      <c r="GX27">
        <f ca="1"/>
        <v>3632.6200000000003</v>
      </c>
      <c r="GY27">
        <f ca="1"/>
        <v>3664.42</v>
      </c>
      <c r="GZ27">
        <f ca="1"/>
        <v>3643.22</v>
      </c>
      <c r="HA27">
        <f ca="1"/>
        <v>3636.86</v>
      </c>
      <c r="HB27">
        <f ca="1"/>
        <v>3670.25</v>
      </c>
      <c r="HC27">
        <f ca="1"/>
        <v>3707.3500000000004</v>
      </c>
      <c r="HD27">
        <f ca="1"/>
        <v>3742.86</v>
      </c>
      <c r="HE27">
        <f ca="1"/>
        <v>3884.8999999999996</v>
      </c>
      <c r="HF27">
        <f ca="1"/>
        <v>3721.1299999999997</v>
      </c>
      <c r="HG27">
        <f ca="1"/>
        <v>3694.6299999999997</v>
      </c>
      <c r="HH27">
        <f ca="1"/>
        <v>3744.4500000000003</v>
      </c>
      <c r="HI27">
        <f ca="1"/>
        <v>3739.1499999999996</v>
      </c>
      <c r="HJ27">
        <f ca="1"/>
        <v>3802.75</v>
      </c>
      <c r="HK27">
        <f ca="1"/>
        <v>3805.3999999999996</v>
      </c>
      <c r="HL27">
        <f ca="1"/>
        <v>3799.5699999999997</v>
      </c>
      <c r="HM27">
        <f ca="1"/>
        <v>3787.3799999999997</v>
      </c>
      <c r="HN27">
        <f ca="1"/>
        <v>3840.91</v>
      </c>
      <c r="HO27">
        <f ca="1"/>
        <v>3907.16</v>
      </c>
      <c r="HP27">
        <f ca="1"/>
        <v>3937.8999999999996</v>
      </c>
      <c r="HQ27">
        <f ca="1"/>
        <v>3916.17</v>
      </c>
      <c r="HR27">
        <f ca="1"/>
        <v>3902.39</v>
      </c>
      <c r="HS27">
        <f ca="1"/>
        <v>3893.91</v>
      </c>
      <c r="HT27">
        <f ca="1"/>
        <v>3884.8999999999996</v>
      </c>
      <c r="HU27">
        <f ca="1"/>
        <v>3866.8799999999997</v>
      </c>
      <c r="HV27">
        <f ca="1"/>
        <v>3861.58</v>
      </c>
      <c r="HW27">
        <f ca="1"/>
        <v>3875.36</v>
      </c>
      <c r="HX27">
        <f ca="1"/>
        <v>3936.84</v>
      </c>
      <c r="HY27">
        <f ca="1"/>
        <v>3955.92</v>
      </c>
      <c r="HZ27">
        <f ca="1"/>
        <v>3920.94</v>
      </c>
      <c r="IA27">
        <f ca="1"/>
        <v>3873.24</v>
      </c>
      <c r="IB27">
        <f ca="1"/>
        <v>3931.5400000000004</v>
      </c>
      <c r="IC27">
        <f ca="1"/>
        <v>3885.9599999999996</v>
      </c>
      <c r="ID27">
        <f ca="1"/>
        <v>3940.5499999999997</v>
      </c>
      <c r="IE27">
        <f ca="1"/>
        <v>3970.23</v>
      </c>
      <c r="IF27">
        <f ca="1"/>
        <v>3990.3700000000003</v>
      </c>
      <c r="IG27">
        <f ca="1"/>
        <v>4000.97</v>
      </c>
      <c r="IH27">
        <f ca="1"/>
        <v>4018.99</v>
      </c>
      <c r="II27">
        <f ca="1"/>
        <v>4010.51</v>
      </c>
      <c r="IJ27">
        <f ca="1"/>
        <v>3996.73</v>
      </c>
      <c r="IK27">
        <f ca="1"/>
        <v>3950.6200000000003</v>
      </c>
      <c r="IL27">
        <f ca="1"/>
        <v>3996.2000000000003</v>
      </c>
      <c r="IM27">
        <f ca="1"/>
        <v>3963.34</v>
      </c>
      <c r="IN27">
        <f ca="1"/>
        <v>4004.6800000000003</v>
      </c>
      <c r="IO27">
        <f ca="1"/>
        <v>3997.7900000000004</v>
      </c>
      <c r="IP27">
        <f ca="1"/>
        <v>3995.67</v>
      </c>
      <c r="IQ27">
        <f ca="1"/>
        <v>3984.01</v>
      </c>
      <c r="IR27">
        <f ca="1"/>
        <v>3908.75</v>
      </c>
      <c r="IS27">
        <f ca="1"/>
        <v>3869</v>
      </c>
      <c r="IT27">
        <f ca="1"/>
        <v>3831.8999999999996</v>
      </c>
      <c r="IU27">
        <f ca="1"/>
        <v>3815.47</v>
      </c>
      <c r="IV27">
        <f ca="1"/>
        <v>3820.77</v>
      </c>
      <c r="IW27">
        <f ca="1"/>
        <v>3779.9599999999996</v>
      </c>
    </row>
    <row r="28" spans="2:257" x14ac:dyDescent="0.25">
      <c r="B28" t="str">
        <f t="shared" si="408"/>
        <v>20K6HZ6</v>
      </c>
      <c r="C28" t="s">
        <v>160</v>
      </c>
      <c r="D28" t="e" vm="531">
        <v>#VALUE!</v>
      </c>
      <c r="E28" t="str" cm="1">
        <f t="array" aca="1" ref="E28" ca="1">_FV(D28,"Code mnémonique",TRUE)</f>
        <v>FTS</v>
      </c>
      <c r="F28" s="12">
        <f>_xlfn.XLOOKUP(D28,Titres[Action],Titres[Nb d''actions])</f>
        <v>80</v>
      </c>
      <c r="G28" cm="1">
        <f t="array" aca="1" ref="G28:IW28" ca="1">IFERROR(TRANSPOSE(_xlfn.STOCKHISTORY(D28,TODAY()-365,TODAY(),0,0,1))*F28,"")</f>
        <v>5327.2000000000007</v>
      </c>
      <c r="H28">
        <f ca="1"/>
        <v>5411.2</v>
      </c>
      <c r="I28">
        <f ca="1"/>
        <v>5364.8</v>
      </c>
      <c r="J28">
        <f ca="1"/>
        <v>5383.2000000000007</v>
      </c>
      <c r="K28">
        <f ca="1"/>
        <v>5387.2000000000007</v>
      </c>
      <c r="L28">
        <f ca="1"/>
        <v>5374.4000000000005</v>
      </c>
      <c r="M28">
        <f ca="1"/>
        <v>5403.2000000000007</v>
      </c>
      <c r="N28">
        <f ca="1"/>
        <v>5461.5999999999995</v>
      </c>
      <c r="O28">
        <f ca="1"/>
        <v>5424</v>
      </c>
      <c r="P28">
        <f ca="1"/>
        <v>5366.4</v>
      </c>
      <c r="Q28">
        <f ca="1"/>
        <v>5385.5999999999995</v>
      </c>
      <c r="R28">
        <f ca="1"/>
        <v>5402.4</v>
      </c>
      <c r="S28">
        <f ca="1"/>
        <v>5507.2000000000007</v>
      </c>
      <c r="T28">
        <f ca="1"/>
        <v>5401.5999999999995</v>
      </c>
      <c r="U28">
        <f ca="1"/>
        <v>5352.7999999999993</v>
      </c>
      <c r="V28">
        <f ca="1"/>
        <v>5229.6000000000004</v>
      </c>
      <c r="W28">
        <f ca="1"/>
        <v>5191.2</v>
      </c>
      <c r="X28">
        <f ca="1"/>
        <v>5195.2</v>
      </c>
      <c r="Y28">
        <f ca="1"/>
        <v>5282.4</v>
      </c>
      <c r="Z28">
        <f ca="1"/>
        <v>5272</v>
      </c>
      <c r="AA28">
        <f ca="1"/>
        <v>5319.2</v>
      </c>
      <c r="AB28">
        <f ca="1"/>
        <v>5339.2</v>
      </c>
      <c r="AC28">
        <f ca="1"/>
        <v>5292.7999999999993</v>
      </c>
      <c r="AD28">
        <f ca="1"/>
        <v>5307.2000000000007</v>
      </c>
      <c r="AE28">
        <f ca="1"/>
        <v>5300.8</v>
      </c>
      <c r="AF28">
        <f ca="1"/>
        <v>5365.5999999999995</v>
      </c>
      <c r="AG28">
        <f ca="1"/>
        <v>5299.2</v>
      </c>
      <c r="AH28">
        <f ca="1"/>
        <v>5325.5999999999995</v>
      </c>
      <c r="AI28">
        <f ca="1"/>
        <v>5364</v>
      </c>
      <c r="AJ28">
        <f ca="1"/>
        <v>5339.2</v>
      </c>
      <c r="AK28">
        <f ca="1"/>
        <v>5314.4000000000005</v>
      </c>
      <c r="AL28">
        <f ca="1"/>
        <v>5272.7999999999993</v>
      </c>
      <c r="AM28">
        <f ca="1"/>
        <v>5253.6</v>
      </c>
      <c r="AN28">
        <f ca="1"/>
        <v>5203.2000000000007</v>
      </c>
      <c r="AO28">
        <f ca="1"/>
        <v>5182.3999999999996</v>
      </c>
      <c r="AP28">
        <f ca="1"/>
        <v>5194.4000000000005</v>
      </c>
      <c r="AQ28">
        <f ca="1"/>
        <v>5180.8</v>
      </c>
      <c r="AR28">
        <f ca="1"/>
        <v>5220</v>
      </c>
      <c r="AS28">
        <f ca="1"/>
        <v>5236</v>
      </c>
      <c r="AT28">
        <f ca="1"/>
        <v>5182.3999999999996</v>
      </c>
      <c r="AU28">
        <f ca="1"/>
        <v>5176</v>
      </c>
      <c r="AV28">
        <f ca="1"/>
        <v>5186.3999999999996</v>
      </c>
      <c r="AW28">
        <f ca="1"/>
        <v>5153.6000000000004</v>
      </c>
      <c r="AX28">
        <f ca="1"/>
        <v>5169.6000000000004</v>
      </c>
      <c r="AY28">
        <f ca="1"/>
        <v>5222.3999999999996</v>
      </c>
      <c r="AZ28">
        <f ca="1"/>
        <v>5198.4000000000005</v>
      </c>
      <c r="BA28">
        <f ca="1"/>
        <v>5117.6000000000004</v>
      </c>
      <c r="BB28">
        <f ca="1"/>
        <v>5140</v>
      </c>
      <c r="BC28">
        <f ca="1"/>
        <v>5171.2</v>
      </c>
      <c r="BD28">
        <f ca="1"/>
        <v>5201.5999999999995</v>
      </c>
      <c r="BE28">
        <f ca="1"/>
        <v>5116.8</v>
      </c>
      <c r="BF28">
        <f ca="1"/>
        <v>5129.6000000000004</v>
      </c>
      <c r="BG28">
        <f ca="1"/>
        <v>5144</v>
      </c>
      <c r="BH28">
        <f ca="1"/>
        <v>5121.5999999999995</v>
      </c>
      <c r="BI28">
        <f ca="1"/>
        <v>5126.3999999999996</v>
      </c>
      <c r="BJ28">
        <f ca="1"/>
        <v>5127.2000000000007</v>
      </c>
      <c r="BK28">
        <f ca="1"/>
        <v>5154.4000000000005</v>
      </c>
      <c r="BL28">
        <f ca="1"/>
        <v>5168.8</v>
      </c>
      <c r="BM28">
        <f ca="1"/>
        <v>5172</v>
      </c>
      <c r="BN28">
        <f ca="1"/>
        <v>5162.3999999999996</v>
      </c>
      <c r="BO28">
        <f ca="1"/>
        <v>5164</v>
      </c>
      <c r="BP28">
        <f ca="1"/>
        <v>5165.5999999999995</v>
      </c>
      <c r="BQ28">
        <f ca="1"/>
        <v>5188</v>
      </c>
      <c r="BR28">
        <f ca="1"/>
        <v>5268.8</v>
      </c>
      <c r="BS28">
        <f ca="1"/>
        <v>5339.2</v>
      </c>
      <c r="BT28">
        <f ca="1"/>
        <v>5304</v>
      </c>
      <c r="BU28">
        <f ca="1"/>
        <v>5355.2</v>
      </c>
      <c r="BV28">
        <f ca="1"/>
        <v>5382.4</v>
      </c>
      <c r="BW28">
        <f ca="1"/>
        <v>5313.6</v>
      </c>
      <c r="BX28">
        <f ca="1"/>
        <v>5377.6</v>
      </c>
      <c r="BY28">
        <f ca="1"/>
        <v>5424</v>
      </c>
      <c r="BZ28">
        <f ca="1"/>
        <v>5424</v>
      </c>
      <c r="CA28">
        <f ca="1"/>
        <v>5503.2000000000007</v>
      </c>
      <c r="CB28">
        <f ca="1"/>
        <v>5554.4000000000005</v>
      </c>
      <c r="CC28">
        <f ca="1"/>
        <v>5544</v>
      </c>
      <c r="CD28">
        <f ca="1"/>
        <v>5587.2000000000007</v>
      </c>
      <c r="CE28">
        <f ca="1"/>
        <v>5592.7999999999993</v>
      </c>
      <c r="CF28">
        <f ca="1"/>
        <v>5585.5999999999995</v>
      </c>
      <c r="CG28">
        <f ca="1"/>
        <v>5570.4</v>
      </c>
      <c r="CH28">
        <f ca="1"/>
        <v>5558.4000000000005</v>
      </c>
      <c r="CI28">
        <f ca="1"/>
        <v>5608</v>
      </c>
      <c r="CJ28">
        <f ca="1"/>
        <v>5612</v>
      </c>
      <c r="CK28">
        <f ca="1"/>
        <v>5586.4</v>
      </c>
      <c r="CL28">
        <f ca="1"/>
        <v>5572.7999999999993</v>
      </c>
      <c r="CM28">
        <f ca="1"/>
        <v>5642.4</v>
      </c>
      <c r="CN28">
        <f ca="1"/>
        <v>5648.8</v>
      </c>
      <c r="CO28">
        <f ca="1"/>
        <v>5604</v>
      </c>
      <c r="CP28">
        <f ca="1"/>
        <v>5567.2000000000007</v>
      </c>
      <c r="CQ28">
        <f ca="1"/>
        <v>5512</v>
      </c>
      <c r="CR28">
        <f ca="1"/>
        <v>5516</v>
      </c>
      <c r="CS28">
        <f ca="1"/>
        <v>5456.7999999999993</v>
      </c>
      <c r="CT28">
        <f ca="1"/>
        <v>5468</v>
      </c>
      <c r="CU28">
        <f ca="1"/>
        <v>5461.5999999999995</v>
      </c>
      <c r="CV28">
        <f ca="1"/>
        <v>5453.6</v>
      </c>
      <c r="CW28">
        <f ca="1"/>
        <v>5496.7999999999993</v>
      </c>
      <c r="CX28">
        <f ca="1"/>
        <v>5454.4000000000005</v>
      </c>
      <c r="CY28">
        <f ca="1"/>
        <v>5407.2000000000007</v>
      </c>
      <c r="CZ28">
        <f ca="1"/>
        <v>5430.4</v>
      </c>
      <c r="DA28">
        <f ca="1"/>
        <v>5432</v>
      </c>
      <c r="DB28">
        <f ca="1"/>
        <v>5445.5999999999995</v>
      </c>
      <c r="DC28">
        <f ca="1"/>
        <v>5469.6</v>
      </c>
      <c r="DD28">
        <f ca="1"/>
        <v>5441.5999999999995</v>
      </c>
      <c r="DE28">
        <f ca="1"/>
        <v>5391.2</v>
      </c>
      <c r="DF28">
        <f ca="1"/>
        <v>5401.5999999999995</v>
      </c>
      <c r="DG28">
        <f ca="1"/>
        <v>5390.4</v>
      </c>
      <c r="DH28">
        <f ca="1"/>
        <v>5435.2</v>
      </c>
      <c r="DI28">
        <f ca="1"/>
        <v>5438.4000000000005</v>
      </c>
      <c r="DJ28">
        <f ca="1"/>
        <v>5459.2</v>
      </c>
      <c r="DK28">
        <f ca="1"/>
        <v>5498.4000000000005</v>
      </c>
      <c r="DL28">
        <f ca="1"/>
        <v>5520.8</v>
      </c>
      <c r="DM28">
        <f ca="1"/>
        <v>5535.2</v>
      </c>
      <c r="DN28">
        <f ca="1"/>
        <v>5577.6</v>
      </c>
      <c r="DO28">
        <f ca="1"/>
        <v>5647.2000000000007</v>
      </c>
      <c r="DP28">
        <f ca="1"/>
        <v>5623.2000000000007</v>
      </c>
      <c r="DQ28">
        <f ca="1"/>
        <v>5615.2</v>
      </c>
      <c r="DR28">
        <f ca="1"/>
        <v>5611.2</v>
      </c>
      <c r="DS28">
        <f ca="1"/>
        <v>5633.6</v>
      </c>
      <c r="DT28">
        <f ca="1"/>
        <v>5627.2000000000007</v>
      </c>
      <c r="DU28">
        <f ca="1"/>
        <v>5624.8</v>
      </c>
      <c r="DV28">
        <f ca="1"/>
        <v>5614.4000000000005</v>
      </c>
      <c r="DW28">
        <f ca="1"/>
        <v>5716.7999999999993</v>
      </c>
      <c r="DX28">
        <f ca="1"/>
        <v>5726.4</v>
      </c>
      <c r="DY28">
        <f ca="1"/>
        <v>5772.7999999999993</v>
      </c>
      <c r="DZ28">
        <f ca="1"/>
        <v>5785.5999999999995</v>
      </c>
      <c r="EA28">
        <f ca="1"/>
        <v>5797.6</v>
      </c>
      <c r="EB28">
        <f ca="1"/>
        <v>5794.4000000000005</v>
      </c>
      <c r="EC28">
        <f ca="1"/>
        <v>5793.6</v>
      </c>
      <c r="ED28">
        <f ca="1"/>
        <v>5829.6</v>
      </c>
      <c r="EE28">
        <f ca="1"/>
        <v>5780.8</v>
      </c>
      <c r="EF28">
        <f ca="1"/>
        <v>5756.7999999999993</v>
      </c>
      <c r="EG28">
        <f ca="1"/>
        <v>5723.2000000000007</v>
      </c>
      <c r="EH28">
        <f ca="1"/>
        <v>5652</v>
      </c>
      <c r="EI28">
        <f ca="1"/>
        <v>5600</v>
      </c>
      <c r="EJ28">
        <f ca="1"/>
        <v>5652.7999999999993</v>
      </c>
      <c r="EK28">
        <f ca="1"/>
        <v>5640</v>
      </c>
      <c r="EL28">
        <f ca="1"/>
        <v>5599.2</v>
      </c>
      <c r="EM28">
        <f ca="1"/>
        <v>5699.2</v>
      </c>
      <c r="EN28">
        <f ca="1"/>
        <v>5704</v>
      </c>
      <c r="EO28">
        <f ca="1"/>
        <v>5769.6</v>
      </c>
      <c r="EP28">
        <f ca="1"/>
        <v>5756.7999999999993</v>
      </c>
      <c r="EQ28">
        <f ca="1"/>
        <v>5760.8</v>
      </c>
      <c r="ER28">
        <f ca="1"/>
        <v>5811.2</v>
      </c>
      <c r="ES28">
        <f ca="1"/>
        <v>5899.2</v>
      </c>
      <c r="ET28">
        <f ca="1"/>
        <v>5875.2</v>
      </c>
      <c r="EU28">
        <f ca="1"/>
        <v>5866.4</v>
      </c>
      <c r="EV28">
        <f ca="1"/>
        <v>5860.8</v>
      </c>
      <c r="EW28">
        <f ca="1"/>
        <v>5814.4000000000005</v>
      </c>
      <c r="EX28">
        <f ca="1"/>
        <v>5795.2</v>
      </c>
      <c r="EY28">
        <f ca="1"/>
        <v>5805.5999999999995</v>
      </c>
      <c r="EZ28">
        <f ca="1"/>
        <v>5812.7999999999993</v>
      </c>
      <c r="FA28">
        <f ca="1"/>
        <v>5804.8</v>
      </c>
      <c r="FB28">
        <f ca="1"/>
        <v>5860</v>
      </c>
      <c r="FC28">
        <f ca="1"/>
        <v>5887.2000000000007</v>
      </c>
      <c r="FD28">
        <f ca="1"/>
        <v>5859.2</v>
      </c>
      <c r="FE28">
        <f ca="1"/>
        <v>5860.8</v>
      </c>
      <c r="FF28">
        <f ca="1"/>
        <v>5845.5999999999995</v>
      </c>
      <c r="FG28">
        <f ca="1"/>
        <v>5781.5999999999995</v>
      </c>
      <c r="FH28">
        <f ca="1"/>
        <v>5703.2000000000007</v>
      </c>
      <c r="FI28">
        <f ca="1"/>
        <v>5688.8</v>
      </c>
      <c r="FJ28">
        <f ca="1"/>
        <v>5654.4000000000005</v>
      </c>
      <c r="FK28">
        <f ca="1"/>
        <v>5612.7999999999993</v>
      </c>
      <c r="FL28">
        <f ca="1"/>
        <v>5569.6</v>
      </c>
      <c r="FM28">
        <f ca="1"/>
        <v>5528.8</v>
      </c>
      <c r="FN28">
        <f ca="1"/>
        <v>5540</v>
      </c>
      <c r="FO28">
        <f ca="1"/>
        <v>5612.7999999999993</v>
      </c>
      <c r="FP28">
        <f ca="1"/>
        <v>5684</v>
      </c>
      <c r="FQ28">
        <f ca="1"/>
        <v>5644</v>
      </c>
      <c r="FR28">
        <f ca="1"/>
        <v>5694.4000000000005</v>
      </c>
      <c r="FS28">
        <f ca="1"/>
        <v>5670.4</v>
      </c>
      <c r="FT28">
        <f ca="1"/>
        <v>5608</v>
      </c>
      <c r="FU28">
        <f ca="1"/>
        <v>5632.7999999999993</v>
      </c>
      <c r="FV28">
        <f ca="1"/>
        <v>5675.2</v>
      </c>
      <c r="FW28">
        <f ca="1"/>
        <v>5651.2</v>
      </c>
      <c r="FX28">
        <f ca="1"/>
        <v>5678.4000000000005</v>
      </c>
      <c r="FY28">
        <f ca="1"/>
        <v>5704.8</v>
      </c>
      <c r="FZ28">
        <f ca="1"/>
        <v>5708.8</v>
      </c>
      <c r="GA28">
        <f ca="1"/>
        <v>5700</v>
      </c>
      <c r="GB28">
        <f ca="1"/>
        <v>5634.4000000000005</v>
      </c>
      <c r="GC28">
        <f ca="1"/>
        <v>5684</v>
      </c>
      <c r="GD28">
        <f ca="1"/>
        <v>5679.2</v>
      </c>
      <c r="GE28">
        <f ca="1"/>
        <v>5726.4</v>
      </c>
      <c r="GF28">
        <f ca="1"/>
        <v>5730.4</v>
      </c>
      <c r="GG28">
        <f ca="1"/>
        <v>5702.4</v>
      </c>
      <c r="GH28">
        <f ca="1"/>
        <v>5700</v>
      </c>
      <c r="GI28">
        <f ca="1"/>
        <v>5767.2000000000007</v>
      </c>
      <c r="GJ28">
        <f ca="1"/>
        <v>5744.8</v>
      </c>
      <c r="GK28">
        <f ca="1"/>
        <v>5782.4</v>
      </c>
      <c r="GL28">
        <f ca="1"/>
        <v>5799.2</v>
      </c>
      <c r="GM28">
        <f ca="1"/>
        <v>5797.6</v>
      </c>
      <c r="GN28">
        <f ca="1"/>
        <v>5786.4</v>
      </c>
      <c r="GO28">
        <f ca="1"/>
        <v>5767.2000000000007</v>
      </c>
      <c r="GP28">
        <f ca="1"/>
        <v>5775.2</v>
      </c>
      <c r="GQ28">
        <f ca="1"/>
        <v>5800</v>
      </c>
      <c r="GR28">
        <f ca="1"/>
        <v>5832.7999999999993</v>
      </c>
      <c r="GS28">
        <f ca="1"/>
        <v>5785.5999999999995</v>
      </c>
      <c r="GT28">
        <f ca="1"/>
        <v>5786.4</v>
      </c>
      <c r="GU28">
        <f ca="1"/>
        <v>5808</v>
      </c>
      <c r="GV28">
        <f ca="1"/>
        <v>5762.4</v>
      </c>
      <c r="GW28">
        <f ca="1"/>
        <v>5901.5999999999995</v>
      </c>
      <c r="GX28">
        <f ca="1"/>
        <v>5937.6</v>
      </c>
      <c r="GY28">
        <f ca="1"/>
        <v>6020.8</v>
      </c>
      <c r="GZ28">
        <f ca="1"/>
        <v>5899.2</v>
      </c>
      <c r="HA28">
        <f ca="1"/>
        <v>5871.2</v>
      </c>
      <c r="HB28">
        <f ca="1"/>
        <v>5917.6</v>
      </c>
      <c r="HC28">
        <f ca="1"/>
        <v>5919.2</v>
      </c>
      <c r="HD28">
        <f ca="1"/>
        <v>6105.5999999999995</v>
      </c>
      <c r="HE28">
        <f ca="1"/>
        <v>6193.6</v>
      </c>
      <c r="HF28">
        <f ca="1"/>
        <v>6216.7999999999993</v>
      </c>
      <c r="HG28">
        <f ca="1"/>
        <v>6174.4000000000005</v>
      </c>
      <c r="HH28">
        <f ca="1"/>
        <v>6190.4</v>
      </c>
      <c r="HI28">
        <f ca="1"/>
        <v>6159.2</v>
      </c>
      <c r="HJ28">
        <f ca="1"/>
        <v>6259.2</v>
      </c>
      <c r="HK28">
        <f ca="1"/>
        <v>6228</v>
      </c>
      <c r="HL28">
        <f ca="1"/>
        <v>6224.8</v>
      </c>
      <c r="HM28">
        <f ca="1"/>
        <v>6204</v>
      </c>
      <c r="HN28">
        <f ca="1"/>
        <v>6277.6</v>
      </c>
      <c r="HO28">
        <f ca="1"/>
        <v>6241.5999999999995</v>
      </c>
      <c r="HP28">
        <f ca="1"/>
        <v>6270.4</v>
      </c>
      <c r="HQ28">
        <f ca="1"/>
        <v>6298.4000000000005</v>
      </c>
      <c r="HR28">
        <f ca="1"/>
        <v>6264.8</v>
      </c>
      <c r="HS28">
        <f ca="1"/>
        <v>6287.2000000000007</v>
      </c>
      <c r="HT28">
        <f ca="1"/>
        <v>6280.8</v>
      </c>
      <c r="HU28">
        <f ca="1"/>
        <v>6255.2</v>
      </c>
      <c r="HV28">
        <f ca="1"/>
        <v>6234.4000000000005</v>
      </c>
      <c r="HW28">
        <f ca="1"/>
        <v>6332.7999999999993</v>
      </c>
      <c r="HX28">
        <f ca="1"/>
        <v>6393.6</v>
      </c>
      <c r="HY28">
        <f ca="1"/>
        <v>6408</v>
      </c>
      <c r="HZ28">
        <f ca="1"/>
        <v>6385.5999999999995</v>
      </c>
      <c r="IA28">
        <f ca="1"/>
        <v>6322.4</v>
      </c>
      <c r="IB28">
        <f ca="1"/>
        <v>6177.6</v>
      </c>
      <c r="IC28">
        <f ca="1"/>
        <v>6052</v>
      </c>
      <c r="ID28">
        <f ca="1"/>
        <v>6055.2</v>
      </c>
      <c r="IE28">
        <f ca="1"/>
        <v>6067.2000000000007</v>
      </c>
      <c r="IF28">
        <f ca="1"/>
        <v>6118.4000000000005</v>
      </c>
      <c r="IG28">
        <f ca="1"/>
        <v>6168</v>
      </c>
      <c r="IH28">
        <f ca="1"/>
        <v>6183.2000000000007</v>
      </c>
      <c r="II28">
        <f ca="1"/>
        <v>6244.8</v>
      </c>
      <c r="IJ28">
        <f ca="1"/>
        <v>6208.8</v>
      </c>
      <c r="IK28">
        <f ca="1"/>
        <v>6254.4000000000005</v>
      </c>
      <c r="IL28">
        <f ca="1"/>
        <v>6321.5999999999995</v>
      </c>
      <c r="IM28">
        <f ca="1"/>
        <v>6306.4</v>
      </c>
      <c r="IN28">
        <f ca="1"/>
        <v>6366.4</v>
      </c>
      <c r="IO28">
        <f ca="1"/>
        <v>6344.8</v>
      </c>
      <c r="IP28">
        <f ca="1"/>
        <v>6344</v>
      </c>
      <c r="IQ28">
        <f ca="1"/>
        <v>6377.6</v>
      </c>
      <c r="IR28">
        <f ca="1"/>
        <v>6276.7999999999993</v>
      </c>
      <c r="IS28">
        <f ca="1"/>
        <v>6271.2</v>
      </c>
      <c r="IT28">
        <f ca="1"/>
        <v>6252</v>
      </c>
      <c r="IU28">
        <f ca="1"/>
        <v>6235.2</v>
      </c>
      <c r="IV28">
        <f ca="1"/>
        <v>6234.4000000000005</v>
      </c>
      <c r="IW28">
        <f ca="1"/>
        <v>6156.7999999999993</v>
      </c>
    </row>
    <row r="29" spans="2:257" x14ac:dyDescent="0.25">
      <c r="B29" t="str">
        <f t="shared" si="408"/>
        <v>20K6HZ6</v>
      </c>
      <c r="C29" t="s">
        <v>160</v>
      </c>
      <c r="D29" t="e" vm="534">
        <v>#VALUE!</v>
      </c>
      <c r="E29" t="str" cm="1">
        <f t="array" aca="1" ref="E29" ca="1">_FV(D29,"Code mnémonique",TRUE)</f>
        <v>GEI</v>
      </c>
      <c r="F29" s="12">
        <f>_xlfn.XLOOKUP(D29,Titres[Action],Titres[Nb d''actions])</f>
        <v>200</v>
      </c>
      <c r="G29" cm="1">
        <f t="array" aca="1" ref="G29:IW29" ca="1">IFERROR(TRANSPOSE(_xlfn.STOCKHISTORY(D29,TODAY()-365,TODAY(),0,0,1))*F29,"")</f>
        <v>4246</v>
      </c>
      <c r="H29">
        <f ca="1"/>
        <v>4278</v>
      </c>
      <c r="I29">
        <f ca="1"/>
        <v>4332</v>
      </c>
      <c r="J29">
        <f ca="1"/>
        <v>4376</v>
      </c>
      <c r="K29">
        <f ca="1"/>
        <v>4408</v>
      </c>
      <c r="L29">
        <f ca="1"/>
        <v>4372</v>
      </c>
      <c r="M29">
        <f ca="1"/>
        <v>4382</v>
      </c>
      <c r="N29">
        <f ca="1"/>
        <v>4338</v>
      </c>
      <c r="O29">
        <f ca="1"/>
        <v>4342</v>
      </c>
      <c r="P29">
        <f ca="1"/>
        <v>4336</v>
      </c>
      <c r="Q29">
        <f ca="1"/>
        <v>4308</v>
      </c>
      <c r="R29">
        <f ca="1"/>
        <v>4412</v>
      </c>
      <c r="S29">
        <f ca="1"/>
        <v>4458</v>
      </c>
      <c r="T29">
        <f ca="1"/>
        <v>4474</v>
      </c>
      <c r="U29">
        <f ca="1"/>
        <v>4402</v>
      </c>
      <c r="V29">
        <f ca="1"/>
        <v>4424</v>
      </c>
      <c r="W29">
        <f ca="1"/>
        <v>4484</v>
      </c>
      <c r="X29">
        <f ca="1"/>
        <v>4526</v>
      </c>
      <c r="Y29">
        <f ca="1"/>
        <v>4550</v>
      </c>
      <c r="Z29">
        <f ca="1"/>
        <v>4514</v>
      </c>
      <c r="AA29">
        <f ca="1"/>
        <v>4484</v>
      </c>
      <c r="AB29">
        <f ca="1"/>
        <v>4474</v>
      </c>
      <c r="AC29">
        <f ca="1"/>
        <v>4492</v>
      </c>
      <c r="AD29">
        <f ca="1"/>
        <v>4504</v>
      </c>
      <c r="AE29">
        <f ca="1"/>
        <v>4540</v>
      </c>
      <c r="AF29">
        <f ca="1"/>
        <v>4572</v>
      </c>
      <c r="AG29">
        <f ca="1"/>
        <v>4562</v>
      </c>
      <c r="AH29">
        <f ca="1"/>
        <v>4594</v>
      </c>
      <c r="AI29">
        <f ca="1"/>
        <v>4532</v>
      </c>
      <c r="AJ29">
        <f ca="1"/>
        <v>4618</v>
      </c>
      <c r="AK29">
        <f ca="1"/>
        <v>4672</v>
      </c>
      <c r="AL29">
        <f ca="1"/>
        <v>4666</v>
      </c>
      <c r="AM29">
        <f ca="1"/>
        <v>4680</v>
      </c>
      <c r="AN29">
        <f ca="1"/>
        <v>4684</v>
      </c>
      <c r="AO29">
        <f ca="1"/>
        <v>4670</v>
      </c>
      <c r="AP29">
        <f ca="1"/>
        <v>4718</v>
      </c>
      <c r="AQ29">
        <f ca="1"/>
        <v>4786</v>
      </c>
      <c r="AR29">
        <f ca="1"/>
        <v>4904</v>
      </c>
      <c r="AS29">
        <f ca="1"/>
        <v>4948</v>
      </c>
      <c r="AT29">
        <f ca="1"/>
        <v>4880</v>
      </c>
      <c r="AU29">
        <f ca="1"/>
        <v>4854</v>
      </c>
      <c r="AV29">
        <f ca="1"/>
        <v>4788</v>
      </c>
      <c r="AW29">
        <f ca="1"/>
        <v>4804</v>
      </c>
      <c r="AX29">
        <f ca="1"/>
        <v>4816</v>
      </c>
      <c r="AY29">
        <f ca="1"/>
        <v>4768</v>
      </c>
      <c r="AZ29">
        <f ca="1"/>
        <v>4776</v>
      </c>
      <c r="BA29">
        <f ca="1"/>
        <v>4738</v>
      </c>
      <c r="BB29">
        <f ca="1"/>
        <v>4838</v>
      </c>
      <c r="BC29">
        <f ca="1"/>
        <v>4854</v>
      </c>
      <c r="BD29">
        <f ca="1"/>
        <v>4780</v>
      </c>
      <c r="BE29">
        <f ca="1"/>
        <v>4750</v>
      </c>
      <c r="BF29">
        <f ca="1"/>
        <v>4736</v>
      </c>
      <c r="BG29">
        <f ca="1"/>
        <v>4756</v>
      </c>
      <c r="BH29">
        <f ca="1"/>
        <v>4724</v>
      </c>
      <c r="BI29">
        <f ca="1"/>
        <v>4748</v>
      </c>
      <c r="BJ29">
        <f ca="1"/>
        <v>4730</v>
      </c>
      <c r="BK29">
        <f ca="1"/>
        <v>4770</v>
      </c>
      <c r="BL29">
        <f ca="1"/>
        <v>4816</v>
      </c>
      <c r="BM29">
        <f ca="1"/>
        <v>4892</v>
      </c>
      <c r="BN29">
        <f ca="1"/>
        <v>4908</v>
      </c>
      <c r="BO29">
        <f ca="1"/>
        <v>4920</v>
      </c>
      <c r="BP29">
        <f ca="1"/>
        <v>4924</v>
      </c>
      <c r="BQ29">
        <f ca="1"/>
        <v>4964</v>
      </c>
      <c r="BR29">
        <f ca="1"/>
        <v>4886</v>
      </c>
      <c r="BS29">
        <f ca="1"/>
        <v>4852</v>
      </c>
      <c r="BT29">
        <f ca="1"/>
        <v>4910</v>
      </c>
      <c r="BU29">
        <f ca="1"/>
        <v>4932</v>
      </c>
      <c r="BV29">
        <f ca="1"/>
        <v>4946</v>
      </c>
      <c r="BW29">
        <f ca="1"/>
        <v>4960</v>
      </c>
      <c r="BX29">
        <f ca="1"/>
        <v>5008</v>
      </c>
      <c r="BY29">
        <f ca="1"/>
        <v>4960</v>
      </c>
      <c r="BZ29">
        <f ca="1"/>
        <v>4996</v>
      </c>
      <c r="CA29">
        <f ca="1"/>
        <v>5028</v>
      </c>
      <c r="CB29">
        <f ca="1"/>
        <v>5008</v>
      </c>
      <c r="CC29">
        <f ca="1"/>
        <v>5028</v>
      </c>
      <c r="CD29">
        <f ca="1"/>
        <v>5074</v>
      </c>
      <c r="CE29">
        <f ca="1"/>
        <v>5066</v>
      </c>
      <c r="CF29">
        <f ca="1"/>
        <v>5092</v>
      </c>
      <c r="CG29">
        <f ca="1"/>
        <v>5104</v>
      </c>
      <c r="CH29">
        <f ca="1"/>
        <v>5120</v>
      </c>
      <c r="CI29">
        <f ca="1"/>
        <v>5154</v>
      </c>
      <c r="CJ29">
        <f ca="1"/>
        <v>5152</v>
      </c>
      <c r="CK29">
        <f ca="1"/>
        <v>5118</v>
      </c>
      <c r="CL29">
        <f ca="1"/>
        <v>5136</v>
      </c>
      <c r="CM29">
        <f ca="1"/>
        <v>5180</v>
      </c>
      <c r="CN29">
        <f ca="1"/>
        <v>5148</v>
      </c>
      <c r="CO29">
        <f ca="1"/>
        <v>5234</v>
      </c>
      <c r="CP29">
        <f ca="1"/>
        <v>5216</v>
      </c>
      <c r="CQ29">
        <f ca="1"/>
        <v>5150</v>
      </c>
      <c r="CR29">
        <f ca="1"/>
        <v>5172</v>
      </c>
      <c r="CS29">
        <f ca="1"/>
        <v>5162</v>
      </c>
      <c r="CT29">
        <f ca="1"/>
        <v>5206</v>
      </c>
      <c r="CU29">
        <f ca="1"/>
        <v>5200</v>
      </c>
      <c r="CV29">
        <f ca="1"/>
        <v>5224</v>
      </c>
      <c r="CW29">
        <f ca="1"/>
        <v>5200</v>
      </c>
      <c r="CX29">
        <f ca="1"/>
        <v>5262</v>
      </c>
      <c r="CY29">
        <f ca="1"/>
        <v>5128</v>
      </c>
      <c r="CZ29">
        <f ca="1"/>
        <v>5196</v>
      </c>
      <c r="DA29">
        <f ca="1"/>
        <v>5184</v>
      </c>
      <c r="DB29">
        <f ca="1"/>
        <v>5184</v>
      </c>
      <c r="DC29">
        <f ca="1"/>
        <v>5246</v>
      </c>
      <c r="DD29">
        <f ca="1"/>
        <v>5238</v>
      </c>
      <c r="DE29">
        <f ca="1"/>
        <v>5280</v>
      </c>
      <c r="DF29">
        <f ca="1"/>
        <v>5316</v>
      </c>
      <c r="DG29">
        <f ca="1"/>
        <v>5306</v>
      </c>
      <c r="DH29">
        <f ca="1"/>
        <v>5304</v>
      </c>
      <c r="DI29">
        <f ca="1"/>
        <v>5320</v>
      </c>
      <c r="DJ29">
        <f ca="1"/>
        <v>5372</v>
      </c>
      <c r="DK29">
        <f ca="1"/>
        <v>5428</v>
      </c>
      <c r="DL29">
        <f ca="1"/>
        <v>5422</v>
      </c>
      <c r="DM29">
        <f ca="1"/>
        <v>5400</v>
      </c>
      <c r="DN29">
        <f ca="1"/>
        <v>5306</v>
      </c>
      <c r="DO29">
        <f ca="1"/>
        <v>5174</v>
      </c>
      <c r="DP29">
        <f ca="1"/>
        <v>5178</v>
      </c>
      <c r="DQ29">
        <f ca="1"/>
        <v>5138</v>
      </c>
      <c r="DR29">
        <f ca="1"/>
        <v>5218</v>
      </c>
      <c r="DS29">
        <f ca="1"/>
        <v>5188</v>
      </c>
      <c r="DT29">
        <f ca="1"/>
        <v>5022</v>
      </c>
      <c r="DU29">
        <f ca="1"/>
        <v>5056</v>
      </c>
      <c r="DV29">
        <f ca="1"/>
        <v>4964</v>
      </c>
      <c r="DW29">
        <f ca="1"/>
        <v>4838</v>
      </c>
      <c r="DX29">
        <f ca="1"/>
        <v>4824</v>
      </c>
      <c r="DY29">
        <f ca="1"/>
        <v>4828</v>
      </c>
      <c r="DZ29">
        <f ca="1"/>
        <v>4800</v>
      </c>
      <c r="EA29">
        <f ca="1"/>
        <v>4730</v>
      </c>
      <c r="EB29">
        <f ca="1"/>
        <v>4692</v>
      </c>
      <c r="EC29">
        <f ca="1"/>
        <v>4724</v>
      </c>
      <c r="ED29">
        <f ca="1"/>
        <v>4810</v>
      </c>
      <c r="EE29">
        <f ca="1"/>
        <v>4822</v>
      </c>
      <c r="EF29">
        <f ca="1"/>
        <v>4810</v>
      </c>
      <c r="EG29">
        <f ca="1"/>
        <v>4814</v>
      </c>
      <c r="EH29">
        <f ca="1"/>
        <v>4892</v>
      </c>
      <c r="EI29">
        <f ca="1"/>
        <v>4756</v>
      </c>
      <c r="EJ29">
        <f ca="1"/>
        <v>4742</v>
      </c>
      <c r="EK29">
        <f ca="1"/>
        <v>4782</v>
      </c>
      <c r="EL29">
        <f ca="1"/>
        <v>4750</v>
      </c>
      <c r="EM29">
        <f ca="1"/>
        <v>4532</v>
      </c>
      <c r="EN29">
        <f ca="1"/>
        <v>4590</v>
      </c>
      <c r="EO29">
        <f ca="1"/>
        <v>4616</v>
      </c>
      <c r="EP29">
        <f ca="1"/>
        <v>4644</v>
      </c>
      <c r="EQ29">
        <f ca="1"/>
        <v>4678</v>
      </c>
      <c r="ER29">
        <f ca="1"/>
        <v>4744</v>
      </c>
      <c r="ES29">
        <f ca="1"/>
        <v>4760</v>
      </c>
      <c r="ET29">
        <f ca="1"/>
        <v>4676</v>
      </c>
      <c r="EU29">
        <f ca="1"/>
        <v>4770</v>
      </c>
      <c r="EV29">
        <f ca="1"/>
        <v>4730</v>
      </c>
      <c r="EW29">
        <f ca="1"/>
        <v>4842</v>
      </c>
      <c r="EX29">
        <f ca="1"/>
        <v>4986</v>
      </c>
      <c r="EY29">
        <f ca="1"/>
        <v>5066</v>
      </c>
      <c r="EZ29">
        <f ca="1"/>
        <v>5004</v>
      </c>
      <c r="FA29">
        <f ca="1"/>
        <v>5000</v>
      </c>
      <c r="FB29">
        <f ca="1"/>
        <v>4970</v>
      </c>
      <c r="FC29">
        <f ca="1"/>
        <v>4980</v>
      </c>
      <c r="FD29">
        <f ca="1"/>
        <v>5000</v>
      </c>
      <c r="FE29">
        <f ca="1"/>
        <v>5082</v>
      </c>
      <c r="FF29">
        <f ca="1"/>
        <v>5096</v>
      </c>
      <c r="FG29">
        <f ca="1"/>
        <v>5218</v>
      </c>
      <c r="FH29">
        <f ca="1"/>
        <v>5310</v>
      </c>
      <c r="FI29">
        <f ca="1"/>
        <v>5166</v>
      </c>
      <c r="FJ29">
        <f ca="1"/>
        <v>5176</v>
      </c>
      <c r="FK29">
        <f ca="1"/>
        <v>5186</v>
      </c>
      <c r="FL29">
        <f ca="1"/>
        <v>5166</v>
      </c>
      <c r="FM29">
        <f ca="1"/>
        <v>5100</v>
      </c>
      <c r="FN29">
        <f ca="1"/>
        <v>5180</v>
      </c>
      <c r="FO29">
        <f ca="1"/>
        <v>5202</v>
      </c>
      <c r="FP29">
        <f ca="1"/>
        <v>5160</v>
      </c>
      <c r="FQ29">
        <f ca="1"/>
        <v>5042</v>
      </c>
      <c r="FR29">
        <f ca="1"/>
        <v>5078</v>
      </c>
      <c r="FS29">
        <f ca="1"/>
        <v>4982</v>
      </c>
      <c r="FT29">
        <f ca="1"/>
        <v>5062</v>
      </c>
      <c r="FU29">
        <f ca="1"/>
        <v>5084</v>
      </c>
      <c r="FV29">
        <f ca="1"/>
        <v>5146</v>
      </c>
      <c r="FW29">
        <f ca="1"/>
        <v>5172</v>
      </c>
      <c r="FX29">
        <f ca="1"/>
        <v>5140</v>
      </c>
      <c r="FY29">
        <f ca="1"/>
        <v>5044</v>
      </c>
      <c r="FZ29">
        <f ca="1"/>
        <v>5024</v>
      </c>
      <c r="GA29">
        <f ca="1"/>
        <v>5120</v>
      </c>
      <c r="GB29">
        <f ca="1"/>
        <v>5026</v>
      </c>
      <c r="GC29">
        <f ca="1"/>
        <v>4932</v>
      </c>
      <c r="GD29">
        <f ca="1"/>
        <v>4838</v>
      </c>
      <c r="GE29">
        <f ca="1"/>
        <v>4922</v>
      </c>
      <c r="GF29">
        <f ca="1"/>
        <v>5002</v>
      </c>
      <c r="GG29">
        <f ca="1"/>
        <v>5024</v>
      </c>
      <c r="GH29">
        <f ca="1"/>
        <v>5134</v>
      </c>
      <c r="GI29">
        <f ca="1"/>
        <v>5168</v>
      </c>
      <c r="GJ29">
        <f ca="1"/>
        <v>5176</v>
      </c>
      <c r="GK29">
        <f ca="1"/>
        <v>5176</v>
      </c>
      <c r="GL29">
        <f ca="1"/>
        <v>5126</v>
      </c>
      <c r="GM29">
        <f ca="1"/>
        <v>5136</v>
      </c>
      <c r="GN29">
        <f ca="1"/>
        <v>5134</v>
      </c>
      <c r="GO29">
        <f ca="1"/>
        <v>5148</v>
      </c>
      <c r="GP29">
        <f ca="1"/>
        <v>5240</v>
      </c>
      <c r="GQ29">
        <f ca="1"/>
        <v>5270</v>
      </c>
      <c r="GR29">
        <f ca="1"/>
        <v>5324</v>
      </c>
      <c r="GS29">
        <f ca="1"/>
        <v>5330</v>
      </c>
      <c r="GT29">
        <f ca="1"/>
        <v>5386</v>
      </c>
      <c r="GU29">
        <f ca="1"/>
        <v>5362</v>
      </c>
      <c r="GV29">
        <f ca="1"/>
        <v>5410</v>
      </c>
      <c r="GW29">
        <f ca="1"/>
        <v>5456</v>
      </c>
      <c r="GX29">
        <f ca="1"/>
        <v>5492</v>
      </c>
      <c r="GY29">
        <f ca="1"/>
        <v>5466</v>
      </c>
      <c r="GZ29">
        <f ca="1"/>
        <v>5520</v>
      </c>
      <c r="HA29">
        <f ca="1"/>
        <v>5502</v>
      </c>
      <c r="HB29">
        <f ca="1"/>
        <v>5474</v>
      </c>
      <c r="HC29">
        <f ca="1"/>
        <v>5480</v>
      </c>
      <c r="HD29">
        <f ca="1"/>
        <v>5550</v>
      </c>
      <c r="HE29">
        <f ca="1"/>
        <v>5620</v>
      </c>
      <c r="HF29">
        <f ca="1"/>
        <v>5692</v>
      </c>
      <c r="HG29">
        <f ca="1"/>
        <v>5582</v>
      </c>
      <c r="HH29">
        <f ca="1"/>
        <v>5744</v>
      </c>
      <c r="HI29">
        <f ca="1"/>
        <v>5798</v>
      </c>
      <c r="HJ29">
        <f ca="1"/>
        <v>5880</v>
      </c>
      <c r="HK29">
        <f ca="1"/>
        <v>5880</v>
      </c>
      <c r="HL29">
        <f ca="1"/>
        <v>5856</v>
      </c>
      <c r="HM29">
        <f ca="1"/>
        <v>5790</v>
      </c>
      <c r="HN29">
        <f ca="1"/>
        <v>5862</v>
      </c>
      <c r="HO29">
        <f ca="1"/>
        <v>5950</v>
      </c>
      <c r="HP29">
        <f ca="1"/>
        <v>5928</v>
      </c>
      <c r="HQ29">
        <f ca="1"/>
        <v>5902</v>
      </c>
      <c r="HR29">
        <f ca="1"/>
        <v>5974</v>
      </c>
      <c r="HS29">
        <f ca="1"/>
        <v>5920</v>
      </c>
      <c r="HT29">
        <f ca="1"/>
        <v>5924</v>
      </c>
      <c r="HU29">
        <f ca="1"/>
        <v>5816</v>
      </c>
      <c r="HV29">
        <f ca="1"/>
        <v>5934</v>
      </c>
      <c r="HW29">
        <f ca="1"/>
        <v>5862</v>
      </c>
      <c r="HX29">
        <f ca="1"/>
        <v>5954</v>
      </c>
      <c r="HY29">
        <f ca="1"/>
        <v>5964</v>
      </c>
      <c r="HZ29">
        <f ca="1"/>
        <v>5934</v>
      </c>
      <c r="IA29">
        <f ca="1"/>
        <v>5928</v>
      </c>
      <c r="IB29">
        <f ca="1"/>
        <v>5936</v>
      </c>
      <c r="IC29">
        <f ca="1"/>
        <v>5980</v>
      </c>
      <c r="ID29">
        <f ca="1"/>
        <v>5982</v>
      </c>
      <c r="IE29">
        <f ca="1"/>
        <v>5972</v>
      </c>
      <c r="IF29">
        <f ca="1"/>
        <v>6006</v>
      </c>
      <c r="IG29">
        <f ca="1"/>
        <v>6048</v>
      </c>
      <c r="IH29">
        <f ca="1"/>
        <v>6004</v>
      </c>
      <c r="II29">
        <f ca="1"/>
        <v>5952</v>
      </c>
      <c r="IJ29">
        <f ca="1"/>
        <v>5936</v>
      </c>
      <c r="IK29">
        <f ca="1"/>
        <v>5858</v>
      </c>
      <c r="IL29">
        <f ca="1"/>
        <v>5996</v>
      </c>
      <c r="IM29">
        <f ca="1"/>
        <v>5872</v>
      </c>
      <c r="IN29">
        <f ca="1"/>
        <v>5992</v>
      </c>
      <c r="IO29">
        <f ca="1"/>
        <v>5904</v>
      </c>
      <c r="IP29">
        <f ca="1"/>
        <v>5826</v>
      </c>
      <c r="IQ29">
        <f ca="1"/>
        <v>5718</v>
      </c>
      <c r="IR29">
        <f ca="1"/>
        <v>5616</v>
      </c>
      <c r="IS29">
        <f ca="1"/>
        <v>5524</v>
      </c>
      <c r="IT29">
        <f ca="1"/>
        <v>5472</v>
      </c>
      <c r="IU29">
        <f ca="1"/>
        <v>5496</v>
      </c>
      <c r="IV29">
        <f ca="1"/>
        <v>5468</v>
      </c>
      <c r="IW29">
        <f ca="1"/>
        <v>5448</v>
      </c>
    </row>
    <row r="30" spans="2:257" x14ac:dyDescent="0.25">
      <c r="B30" t="str">
        <f t="shared" si="408"/>
        <v>20K6HZ6</v>
      </c>
      <c r="C30" t="s">
        <v>160</v>
      </c>
      <c r="D30" t="e" vm="536">
        <v>#VALUE!</v>
      </c>
      <c r="E30" t="str" cm="1">
        <f t="array" aca="1" ref="E30" ca="1">_FV(D30,"Code mnémonique",TRUE)</f>
        <v>GWO</v>
      </c>
      <c r="F30" s="12">
        <f>_xlfn.XLOOKUP(D30,Titres[Action],Titres[Nb d''actions])</f>
        <v>145</v>
      </c>
      <c r="G30" cm="1">
        <f t="array" aca="1" ref="G30:IW30" ca="1">IFERROR(TRANSPOSE(_xlfn.STOCKHISTORY(D30,TODAY()-365,TODAY(),0,0,1))*F30,"")</f>
        <v>7564.6500000000005</v>
      </c>
      <c r="H30">
        <f ca="1"/>
        <v>7570.45</v>
      </c>
      <c r="I30">
        <f ca="1"/>
        <v>7653.1</v>
      </c>
      <c r="J30">
        <f ca="1"/>
        <v>7700.95</v>
      </c>
      <c r="K30">
        <f ca="1"/>
        <v>7666.15</v>
      </c>
      <c r="L30">
        <f ca="1"/>
        <v>7670.5</v>
      </c>
      <c r="M30">
        <f ca="1"/>
        <v>7685</v>
      </c>
      <c r="N30">
        <f ca="1"/>
        <v>7773.45</v>
      </c>
      <c r="O30">
        <f ca="1"/>
        <v>7595.1</v>
      </c>
      <c r="P30">
        <f ca="1"/>
        <v>7519.7</v>
      </c>
      <c r="Q30">
        <f ca="1"/>
        <v>7592.2</v>
      </c>
      <c r="R30">
        <f ca="1"/>
        <v>7615.4000000000005</v>
      </c>
      <c r="S30">
        <f ca="1"/>
        <v>7415.3</v>
      </c>
      <c r="T30">
        <f ca="1"/>
        <v>7518.25</v>
      </c>
      <c r="U30">
        <f ca="1"/>
        <v>7570.45</v>
      </c>
      <c r="V30">
        <f ca="1"/>
        <v>7432.7</v>
      </c>
      <c r="W30">
        <f ca="1"/>
        <v>7367.4500000000007</v>
      </c>
      <c r="X30">
        <f ca="1"/>
        <v>7264.5</v>
      </c>
      <c r="Y30">
        <f ca="1"/>
        <v>7413.85</v>
      </c>
      <c r="Z30">
        <f ca="1"/>
        <v>7437.05</v>
      </c>
      <c r="AA30">
        <f ca="1"/>
        <v>7500.8499999999995</v>
      </c>
      <c r="AB30">
        <f ca="1"/>
        <v>7592.2</v>
      </c>
      <c r="AC30">
        <f ca="1"/>
        <v>7471.85</v>
      </c>
      <c r="AD30">
        <f ca="1"/>
        <v>7461.7</v>
      </c>
      <c r="AE30">
        <f ca="1"/>
        <v>7534.2</v>
      </c>
      <c r="AF30">
        <f ca="1"/>
        <v>7526.95</v>
      </c>
      <c r="AG30">
        <f ca="1"/>
        <v>7561.75</v>
      </c>
      <c r="AH30">
        <f ca="1"/>
        <v>7583.5</v>
      </c>
      <c r="AI30">
        <f ca="1"/>
        <v>7553.05</v>
      </c>
      <c r="AJ30">
        <f ca="1"/>
        <v>7537.0999999999995</v>
      </c>
      <c r="AK30">
        <f ca="1"/>
        <v>7441.4</v>
      </c>
      <c r="AL30">
        <f ca="1"/>
        <v>7441.4</v>
      </c>
      <c r="AM30">
        <f ca="1"/>
        <v>7387.75</v>
      </c>
      <c r="AN30">
        <f ca="1"/>
        <v>7444.3</v>
      </c>
      <c r="AO30">
        <f ca="1"/>
        <v>7473.3</v>
      </c>
      <c r="AP30">
        <f ca="1"/>
        <v>7364.55</v>
      </c>
      <c r="AQ30">
        <f ca="1"/>
        <v>7318.15</v>
      </c>
      <c r="AR30">
        <f ca="1"/>
        <v>7368.9</v>
      </c>
      <c r="AS30">
        <f ca="1"/>
        <v>7422.5499999999993</v>
      </c>
      <c r="AT30">
        <f ca="1"/>
        <v>7497.95</v>
      </c>
      <c r="AU30">
        <f ca="1"/>
        <v>7258.7000000000007</v>
      </c>
      <c r="AV30">
        <f ca="1"/>
        <v>7248.55</v>
      </c>
      <c r="AW30">
        <f ca="1"/>
        <v>7242.75</v>
      </c>
      <c r="AX30">
        <f ca="1"/>
        <v>7328.3</v>
      </c>
      <c r="AY30">
        <f ca="1"/>
        <v>7360.2</v>
      </c>
      <c r="AZ30">
        <f ca="1"/>
        <v>7406.5999999999995</v>
      </c>
      <c r="BA30">
        <f ca="1"/>
        <v>7470.4000000000005</v>
      </c>
      <c r="BB30">
        <f ca="1"/>
        <v>7444.3</v>
      </c>
      <c r="BC30">
        <f ca="1"/>
        <v>7511</v>
      </c>
      <c r="BD30">
        <f ca="1"/>
        <v>7509.55</v>
      </c>
      <c r="BE30">
        <f ca="1"/>
        <v>7248.55</v>
      </c>
      <c r="BF30">
        <f ca="1"/>
        <v>7265.95</v>
      </c>
      <c r="BG30">
        <f ca="1"/>
        <v>7280.45</v>
      </c>
      <c r="BH30">
        <f ca="1"/>
        <v>7509.55</v>
      </c>
      <c r="BI30">
        <f ca="1"/>
        <v>7422.5499999999993</v>
      </c>
      <c r="BJ30">
        <f ca="1"/>
        <v>7461.7</v>
      </c>
      <c r="BK30">
        <f ca="1"/>
        <v>7554.5</v>
      </c>
      <c r="BL30">
        <f ca="1"/>
        <v>7596.55</v>
      </c>
      <c r="BM30">
        <f ca="1"/>
        <v>7567.5499999999993</v>
      </c>
      <c r="BN30">
        <f ca="1"/>
        <v>7515.3499999999995</v>
      </c>
      <c r="BO30">
        <f ca="1"/>
        <v>7495.0499999999993</v>
      </c>
      <c r="BP30">
        <f ca="1"/>
        <v>7516.8</v>
      </c>
      <c r="BQ30">
        <f ca="1"/>
        <v>7541.45</v>
      </c>
      <c r="BR30">
        <f ca="1"/>
        <v>7548.7000000000007</v>
      </c>
      <c r="BS30">
        <f ca="1"/>
        <v>7592.2</v>
      </c>
      <c r="BT30">
        <f ca="1"/>
        <v>7627</v>
      </c>
      <c r="BU30">
        <f ca="1"/>
        <v>7656</v>
      </c>
      <c r="BV30">
        <f ca="1"/>
        <v>7603.7999999999993</v>
      </c>
      <c r="BW30">
        <f ca="1"/>
        <v>7544.35</v>
      </c>
      <c r="BX30">
        <f ca="1"/>
        <v>7503.75</v>
      </c>
      <c r="BY30">
        <f ca="1"/>
        <v>7542.9000000000005</v>
      </c>
      <c r="BZ30">
        <f ca="1"/>
        <v>7544.35</v>
      </c>
      <c r="CA30">
        <f ca="1"/>
        <v>7548.7000000000007</v>
      </c>
      <c r="CB30">
        <f ca="1"/>
        <v>7577.7</v>
      </c>
      <c r="CC30">
        <f ca="1"/>
        <v>7856.1</v>
      </c>
      <c r="CD30">
        <f ca="1"/>
        <v>7685</v>
      </c>
      <c r="CE30">
        <f ca="1"/>
        <v>7725.6</v>
      </c>
      <c r="CF30">
        <f ca="1"/>
        <v>7690.8</v>
      </c>
      <c r="CG30">
        <f ca="1"/>
        <v>7748.7999999999993</v>
      </c>
      <c r="CH30">
        <f ca="1"/>
        <v>7654.55</v>
      </c>
      <c r="CI30">
        <f ca="1"/>
        <v>7772</v>
      </c>
      <c r="CJ30">
        <f ca="1"/>
        <v>7877.8499999999995</v>
      </c>
      <c r="CK30">
        <f ca="1"/>
        <v>7901.05</v>
      </c>
      <c r="CL30">
        <f ca="1"/>
        <v>7908.3</v>
      </c>
      <c r="CM30">
        <f ca="1"/>
        <v>7977.9000000000005</v>
      </c>
      <c r="CN30">
        <f ca="1"/>
        <v>7992.4</v>
      </c>
      <c r="CO30">
        <f ca="1"/>
        <v>8008.3499999999995</v>
      </c>
      <c r="CP30">
        <f ca="1"/>
        <v>7967.75</v>
      </c>
      <c r="CQ30">
        <f ca="1"/>
        <v>7921.35</v>
      </c>
      <c r="CR30">
        <f ca="1"/>
        <v>7961.95</v>
      </c>
      <c r="CS30">
        <f ca="1"/>
        <v>7975</v>
      </c>
      <c r="CT30">
        <f ca="1"/>
        <v>7888</v>
      </c>
      <c r="CU30">
        <f ca="1"/>
        <v>7879.3</v>
      </c>
      <c r="CV30">
        <f ca="1"/>
        <v>7909.75</v>
      </c>
      <c r="CW30">
        <f ca="1"/>
        <v>7930.0499999999993</v>
      </c>
      <c r="CX30">
        <f ca="1"/>
        <v>7856.1</v>
      </c>
      <c r="CY30">
        <f ca="1"/>
        <v>7860.45</v>
      </c>
      <c r="CZ30">
        <f ca="1"/>
        <v>7932.95</v>
      </c>
      <c r="DA30">
        <f ca="1"/>
        <v>7921.35</v>
      </c>
      <c r="DB30">
        <f ca="1"/>
        <v>7995.3</v>
      </c>
      <c r="DC30">
        <f ca="1"/>
        <v>7953.25</v>
      </c>
      <c r="DD30">
        <f ca="1"/>
        <v>7845.95</v>
      </c>
      <c r="DE30">
        <f ca="1"/>
        <v>7642.95</v>
      </c>
      <c r="DF30">
        <f ca="1"/>
        <v>7725.6</v>
      </c>
      <c r="DG30">
        <f ca="1"/>
        <v>7714</v>
      </c>
      <c r="DH30">
        <f ca="1"/>
        <v>7806.8</v>
      </c>
      <c r="DI30">
        <f ca="1"/>
        <v>7914.0999999999995</v>
      </c>
      <c r="DJ30">
        <f ca="1"/>
        <v>7925.7</v>
      </c>
      <c r="DK30">
        <f ca="1"/>
        <v>7832.9000000000005</v>
      </c>
      <c r="DL30">
        <f ca="1"/>
        <v>7861.9</v>
      </c>
      <c r="DM30">
        <f ca="1"/>
        <v>7990.95</v>
      </c>
      <c r="DN30">
        <f ca="1"/>
        <v>8121.45</v>
      </c>
      <c r="DO30">
        <f ca="1"/>
        <v>8189.5999999999995</v>
      </c>
      <c r="DP30">
        <f ca="1"/>
        <v>8166.4</v>
      </c>
      <c r="DQ30">
        <f ca="1"/>
        <v>8192.5</v>
      </c>
      <c r="DR30">
        <f ca="1"/>
        <v>8222.9500000000007</v>
      </c>
      <c r="DS30">
        <f ca="1"/>
        <v>8323</v>
      </c>
      <c r="DT30">
        <f ca="1"/>
        <v>8337.5</v>
      </c>
      <c r="DU30">
        <f ca="1"/>
        <v>8449.15</v>
      </c>
      <c r="DV30">
        <f ca="1"/>
        <v>8421.6</v>
      </c>
      <c r="DW30">
        <f ca="1"/>
        <v>8459.3000000000011</v>
      </c>
      <c r="DX30">
        <f ca="1"/>
        <v>8515.85</v>
      </c>
      <c r="DY30">
        <f ca="1"/>
        <v>8439</v>
      </c>
      <c r="DZ30">
        <f ca="1"/>
        <v>8523.1</v>
      </c>
      <c r="EA30">
        <f ca="1"/>
        <v>8378.1</v>
      </c>
      <c r="EB30">
        <f ca="1"/>
        <v>8392.6</v>
      </c>
      <c r="EC30">
        <f ca="1"/>
        <v>8437.5499999999993</v>
      </c>
      <c r="ED30">
        <f ca="1"/>
        <v>8508.6</v>
      </c>
      <c r="EE30">
        <f ca="1"/>
        <v>8549.2000000000007</v>
      </c>
      <c r="EF30">
        <f ca="1"/>
        <v>8591.25</v>
      </c>
      <c r="EG30">
        <f ca="1"/>
        <v>8586.9</v>
      </c>
      <c r="EH30">
        <f ca="1"/>
        <v>8604.3000000000011</v>
      </c>
      <c r="EI30">
        <f ca="1"/>
        <v>8530.35</v>
      </c>
      <c r="EJ30">
        <f ca="1"/>
        <v>8621.7000000000007</v>
      </c>
      <c r="EK30">
        <f ca="1"/>
        <v>8621.7000000000007</v>
      </c>
      <c r="EL30">
        <f ca="1"/>
        <v>8633.2999999999993</v>
      </c>
      <c r="EM30">
        <f ca="1"/>
        <v>8631.85</v>
      </c>
      <c r="EN30">
        <f ca="1"/>
        <v>8601.4</v>
      </c>
      <c r="EO30">
        <f ca="1"/>
        <v>8827.6</v>
      </c>
      <c r="EP30">
        <f ca="1"/>
        <v>8685.5</v>
      </c>
      <c r="EQ30">
        <f ca="1"/>
        <v>8704.35</v>
      </c>
      <c r="ER30">
        <f ca="1"/>
        <v>8831.9499999999989</v>
      </c>
      <c r="ES30">
        <f ca="1"/>
        <v>9030.6</v>
      </c>
      <c r="ET30">
        <f ca="1"/>
        <v>9082.7999999999993</v>
      </c>
      <c r="EU30">
        <f ca="1"/>
        <v>9069.75</v>
      </c>
      <c r="EV30">
        <f ca="1"/>
        <v>9094.4</v>
      </c>
      <c r="EW30">
        <f ca="1"/>
        <v>9117.6</v>
      </c>
      <c r="EX30">
        <f ca="1"/>
        <v>9129.2000000000007</v>
      </c>
      <c r="EY30">
        <f ca="1"/>
        <v>9136.4499999999989</v>
      </c>
      <c r="EZ30">
        <f ca="1"/>
        <v>9300.2999999999993</v>
      </c>
      <c r="FA30">
        <f ca="1"/>
        <v>9356.85</v>
      </c>
      <c r="FB30">
        <f ca="1"/>
        <v>9361.2000000000007</v>
      </c>
      <c r="FC30">
        <f ca="1"/>
        <v>9385.85</v>
      </c>
      <c r="FD30">
        <f ca="1"/>
        <v>9435.15</v>
      </c>
      <c r="FE30">
        <f ca="1"/>
        <v>9394.5500000000011</v>
      </c>
      <c r="FF30">
        <f ca="1"/>
        <v>9356.85</v>
      </c>
      <c r="FG30">
        <f ca="1"/>
        <v>9242.3000000000011</v>
      </c>
      <c r="FH30">
        <f ca="1"/>
        <v>9126.2999999999993</v>
      </c>
      <c r="FI30">
        <f ca="1"/>
        <v>9153.85</v>
      </c>
      <c r="FJ30">
        <f ca="1"/>
        <v>9185.75</v>
      </c>
      <c r="FK30">
        <f ca="1"/>
        <v>9245.1999999999989</v>
      </c>
      <c r="FL30">
        <f ca="1"/>
        <v>9358.3000000000011</v>
      </c>
      <c r="FM30">
        <f ca="1"/>
        <v>9462.7000000000007</v>
      </c>
      <c r="FN30">
        <f ca="1"/>
        <v>9580.15</v>
      </c>
      <c r="FO30">
        <f ca="1"/>
        <v>9686</v>
      </c>
      <c r="FP30">
        <f ca="1"/>
        <v>9765.75</v>
      </c>
      <c r="FQ30">
        <f ca="1"/>
        <v>9787.5</v>
      </c>
      <c r="FR30">
        <f ca="1"/>
        <v>9652.65</v>
      </c>
      <c r="FS30">
        <f ca="1"/>
        <v>9722.25</v>
      </c>
      <c r="FT30">
        <f ca="1"/>
        <v>9700.5</v>
      </c>
      <c r="FU30">
        <f ca="1"/>
        <v>9762.85</v>
      </c>
      <c r="FV30">
        <f ca="1"/>
        <v>9783.15</v>
      </c>
      <c r="FW30">
        <f ca="1"/>
        <v>9777.35</v>
      </c>
      <c r="FX30">
        <f ca="1"/>
        <v>9786.0499999999993</v>
      </c>
      <c r="FY30">
        <f ca="1"/>
        <v>9839.7000000000007</v>
      </c>
      <c r="FZ30">
        <f ca="1"/>
        <v>9815.0499999999993</v>
      </c>
      <c r="GA30">
        <f ca="1"/>
        <v>9729.5</v>
      </c>
      <c r="GB30">
        <f ca="1"/>
        <v>9771.5499999999993</v>
      </c>
      <c r="GC30">
        <f ca="1"/>
        <v>9873.0500000000011</v>
      </c>
      <c r="GD30">
        <f ca="1"/>
        <v>9893.35</v>
      </c>
      <c r="GE30">
        <f ca="1"/>
        <v>9775.9</v>
      </c>
      <c r="GF30">
        <f ca="1"/>
        <v>9752.7000000000007</v>
      </c>
      <c r="GG30">
        <f ca="1"/>
        <v>9745.4499999999989</v>
      </c>
      <c r="GH30">
        <f ca="1"/>
        <v>9601.9</v>
      </c>
      <c r="GI30">
        <f ca="1"/>
        <v>9658.4500000000007</v>
      </c>
      <c r="GJ30">
        <f ca="1"/>
        <v>9694.7000000000007</v>
      </c>
      <c r="GK30">
        <f ca="1"/>
        <v>9678.75</v>
      </c>
      <c r="GL30">
        <f ca="1"/>
        <v>9596.1</v>
      </c>
      <c r="GM30">
        <f ca="1"/>
        <v>9406.1500000000015</v>
      </c>
      <c r="GN30">
        <f ca="1"/>
        <v>9388.75</v>
      </c>
      <c r="GO30">
        <f ca="1"/>
        <v>9364.1</v>
      </c>
      <c r="GP30">
        <f ca="1"/>
        <v>9355.4</v>
      </c>
      <c r="GQ30">
        <f ca="1"/>
        <v>9336.5499999999993</v>
      </c>
      <c r="GR30">
        <f ca="1"/>
        <v>9294.5</v>
      </c>
      <c r="GS30">
        <f ca="1"/>
        <v>9239.4</v>
      </c>
      <c r="GT30">
        <f ca="1"/>
        <v>9201.7000000000007</v>
      </c>
      <c r="GU30">
        <f ca="1"/>
        <v>9242.3000000000011</v>
      </c>
      <c r="GV30">
        <f ca="1"/>
        <v>9295.9500000000007</v>
      </c>
      <c r="GW30">
        <f ca="1"/>
        <v>9156.75</v>
      </c>
      <c r="GX30">
        <f ca="1"/>
        <v>9130.65</v>
      </c>
      <c r="GY30">
        <f ca="1"/>
        <v>9106</v>
      </c>
      <c r="GZ30">
        <f ca="1"/>
        <v>8921.85</v>
      </c>
      <c r="HA30">
        <f ca="1"/>
        <v>8672.4500000000007</v>
      </c>
      <c r="HB30">
        <f ca="1"/>
        <v>8733.35</v>
      </c>
      <c r="HC30">
        <f ca="1"/>
        <v>8755.1</v>
      </c>
      <c r="HD30">
        <f ca="1"/>
        <v>8850.7999999999993</v>
      </c>
      <c r="HE30">
        <f ca="1"/>
        <v>8958.1</v>
      </c>
      <c r="HF30">
        <f ca="1"/>
        <v>9156.75</v>
      </c>
      <c r="HG30">
        <f ca="1"/>
        <v>9181.4</v>
      </c>
      <c r="HH30">
        <f ca="1"/>
        <v>9245.1999999999989</v>
      </c>
      <c r="HI30">
        <f ca="1"/>
        <v>9256.8000000000011</v>
      </c>
      <c r="HJ30">
        <f ca="1"/>
        <v>9409.0499999999993</v>
      </c>
      <c r="HK30">
        <f ca="1"/>
        <v>9269.85</v>
      </c>
      <c r="HL30">
        <f ca="1"/>
        <v>9361.2000000000007</v>
      </c>
      <c r="HM30">
        <f ca="1"/>
        <v>9568.5499999999993</v>
      </c>
      <c r="HN30">
        <f ca="1"/>
        <v>9555.5</v>
      </c>
      <c r="HO30">
        <f ca="1"/>
        <v>9497.5</v>
      </c>
      <c r="HP30">
        <f ca="1"/>
        <v>9185.75</v>
      </c>
      <c r="HQ30">
        <f ca="1"/>
        <v>9137.9</v>
      </c>
      <c r="HR30">
        <f ca="1"/>
        <v>9171.25</v>
      </c>
      <c r="HS30">
        <f ca="1"/>
        <v>8995.7999999999993</v>
      </c>
      <c r="HT30">
        <f ca="1"/>
        <v>8950.85</v>
      </c>
      <c r="HU30">
        <f ca="1"/>
        <v>9069.75</v>
      </c>
      <c r="HV30">
        <f ca="1"/>
        <v>9063.9499999999989</v>
      </c>
      <c r="HW30">
        <f ca="1"/>
        <v>9045.1</v>
      </c>
      <c r="HX30">
        <f ca="1"/>
        <v>9172.6999999999989</v>
      </c>
      <c r="HY30">
        <f ca="1"/>
        <v>9280</v>
      </c>
      <c r="HZ30">
        <f ca="1"/>
        <v>9306.1</v>
      </c>
      <c r="IA30">
        <f ca="1"/>
        <v>9361.2000000000007</v>
      </c>
      <c r="IB30">
        <f ca="1"/>
        <v>9108.9</v>
      </c>
      <c r="IC30">
        <f ca="1"/>
        <v>9127.75</v>
      </c>
      <c r="ID30">
        <f ca="1"/>
        <v>9165.4500000000007</v>
      </c>
      <c r="IE30">
        <f ca="1"/>
        <v>9248.1</v>
      </c>
      <c r="IF30">
        <f ca="1"/>
        <v>9387.2999999999993</v>
      </c>
      <c r="IG30">
        <f ca="1"/>
        <v>9319.15</v>
      </c>
      <c r="IH30">
        <f ca="1"/>
        <v>9203.15</v>
      </c>
      <c r="II30">
        <f ca="1"/>
        <v>9256.8000000000011</v>
      </c>
      <c r="IJ30">
        <f ca="1"/>
        <v>9446.75</v>
      </c>
      <c r="IK30">
        <f ca="1"/>
        <v>9507.65</v>
      </c>
      <c r="IL30">
        <f ca="1"/>
        <v>9570</v>
      </c>
      <c r="IM30">
        <f ca="1"/>
        <v>9575.8000000000011</v>
      </c>
      <c r="IN30">
        <f ca="1"/>
        <v>9578.7000000000007</v>
      </c>
      <c r="IO30">
        <f ca="1"/>
        <v>9684.5500000000011</v>
      </c>
      <c r="IP30">
        <f ca="1"/>
        <v>9796.2000000000007</v>
      </c>
      <c r="IQ30">
        <f ca="1"/>
        <v>9833.9</v>
      </c>
      <c r="IR30">
        <f ca="1"/>
        <v>9976</v>
      </c>
      <c r="IS30">
        <f ca="1"/>
        <v>10044.15</v>
      </c>
      <c r="IT30">
        <f ca="1"/>
        <v>10237</v>
      </c>
      <c r="IU30">
        <f ca="1"/>
        <v>10087.65</v>
      </c>
      <c r="IV30">
        <f ca="1"/>
        <v>10226.85</v>
      </c>
      <c r="IW30">
        <f ca="1"/>
        <v>10231.200000000001</v>
      </c>
    </row>
    <row r="31" spans="2:257" x14ac:dyDescent="0.25">
      <c r="B31" t="str">
        <f t="shared" si="408"/>
        <v>20K6HZ6</v>
      </c>
      <c r="C31" t="s">
        <v>160</v>
      </c>
      <c r="D31" t="e" vm="537">
        <v>#VALUE!</v>
      </c>
      <c r="E31" t="str" cm="1">
        <f t="array" aca="1" ref="E31" ca="1">_FV(D31,"Code mnémonique",TRUE)</f>
        <v>HR.UN</v>
      </c>
      <c r="F31" s="12">
        <f>_xlfn.XLOOKUP(D31,Titres[Action],Titres[Nb d''actions])</f>
        <v>160</v>
      </c>
      <c r="G31" cm="1">
        <f t="array" aca="1" ref="G31:IW31" ca="1">IFERROR(TRANSPOSE(_xlfn.STOCKHISTORY(D31,TODAY()-365,TODAY(),0,0,1))*F31,"")</f>
        <v>1518.4</v>
      </c>
      <c r="H31">
        <f ca="1"/>
        <v>1545.6</v>
      </c>
      <c r="I31">
        <f ca="1"/>
        <v>1544</v>
      </c>
      <c r="J31">
        <f ca="1"/>
        <v>1544</v>
      </c>
      <c r="K31">
        <f ca="1"/>
        <v>1568</v>
      </c>
      <c r="L31">
        <f ca="1"/>
        <v>1564.8</v>
      </c>
      <c r="M31">
        <f ca="1"/>
        <v>1566.3999999999999</v>
      </c>
      <c r="N31">
        <f ca="1"/>
        <v>1569.6000000000001</v>
      </c>
      <c r="O31">
        <f ca="1"/>
        <v>1588.8</v>
      </c>
      <c r="P31">
        <f ca="1"/>
        <v>1595.2</v>
      </c>
      <c r="Q31">
        <f ca="1"/>
        <v>1568</v>
      </c>
      <c r="R31">
        <f ca="1"/>
        <v>1563.1999999999998</v>
      </c>
      <c r="S31">
        <f ca="1"/>
        <v>1572.8</v>
      </c>
      <c r="T31">
        <f ca="1"/>
        <v>1569.6000000000001</v>
      </c>
      <c r="U31">
        <f ca="1"/>
        <v>1588.8</v>
      </c>
      <c r="V31">
        <f ca="1"/>
        <v>1595.2</v>
      </c>
      <c r="W31">
        <f ca="1"/>
        <v>1636.8000000000002</v>
      </c>
      <c r="X31">
        <f ca="1"/>
        <v>1620.8000000000002</v>
      </c>
      <c r="Y31">
        <f ca="1"/>
        <v>1617.6</v>
      </c>
      <c r="Z31">
        <f ca="1"/>
        <v>1622.4</v>
      </c>
      <c r="AA31">
        <f ca="1"/>
        <v>1587.2</v>
      </c>
      <c r="AB31">
        <f ca="1"/>
        <v>1572.8</v>
      </c>
      <c r="AC31">
        <f ca="1"/>
        <v>1576</v>
      </c>
      <c r="AD31">
        <f ca="1"/>
        <v>1574.4</v>
      </c>
      <c r="AE31">
        <f ca="1"/>
        <v>1595.2</v>
      </c>
      <c r="AF31">
        <f ca="1"/>
        <v>1632</v>
      </c>
      <c r="AG31">
        <f ca="1"/>
        <v>1624</v>
      </c>
      <c r="AH31">
        <f ca="1"/>
        <v>1683.1999999999998</v>
      </c>
      <c r="AI31">
        <f ca="1"/>
        <v>1668.8</v>
      </c>
      <c r="AJ31">
        <f ca="1"/>
        <v>1673.6000000000001</v>
      </c>
      <c r="AK31">
        <f ca="1"/>
        <v>1704</v>
      </c>
      <c r="AL31">
        <f ca="1"/>
        <v>1692.8</v>
      </c>
      <c r="AM31">
        <f ca="1"/>
        <v>1692.8</v>
      </c>
      <c r="AN31">
        <f ca="1"/>
        <v>1713.6000000000001</v>
      </c>
      <c r="AO31">
        <f ca="1"/>
        <v>1723.1999999999998</v>
      </c>
      <c r="AP31">
        <f ca="1"/>
        <v>1715.2</v>
      </c>
      <c r="AQ31">
        <f ca="1"/>
        <v>1708.8</v>
      </c>
      <c r="AR31">
        <f ca="1"/>
        <v>1731.2</v>
      </c>
      <c r="AS31">
        <f ca="1"/>
        <v>1728</v>
      </c>
      <c r="AT31">
        <f ca="1"/>
        <v>1732.8</v>
      </c>
      <c r="AU31">
        <f ca="1"/>
        <v>1731.2</v>
      </c>
      <c r="AV31">
        <f ca="1"/>
        <v>1732.8</v>
      </c>
      <c r="AW31">
        <f ca="1"/>
        <v>1728</v>
      </c>
      <c r="AX31">
        <f ca="1"/>
        <v>1745.6</v>
      </c>
      <c r="AY31">
        <f ca="1"/>
        <v>1745.6</v>
      </c>
      <c r="AZ31">
        <f ca="1"/>
        <v>1726.3999999999999</v>
      </c>
      <c r="BA31">
        <f ca="1"/>
        <v>1728</v>
      </c>
      <c r="BB31">
        <f ca="1"/>
        <v>1721.6</v>
      </c>
      <c r="BC31">
        <f ca="1"/>
        <v>1708.8</v>
      </c>
      <c r="BD31">
        <f ca="1"/>
        <v>1708.8</v>
      </c>
      <c r="BE31">
        <f ca="1"/>
        <v>1704</v>
      </c>
      <c r="BF31">
        <f ca="1"/>
        <v>1700.8000000000002</v>
      </c>
      <c r="BG31">
        <f ca="1"/>
        <v>1993.6000000000001</v>
      </c>
      <c r="BH31">
        <f ca="1"/>
        <v>1929.6000000000001</v>
      </c>
      <c r="BI31">
        <f ca="1"/>
        <v>1918.4</v>
      </c>
      <c r="BJ31">
        <f ca="1"/>
        <v>1998.4</v>
      </c>
      <c r="BK31">
        <f ca="1"/>
        <v>1961.6</v>
      </c>
      <c r="BL31">
        <f ca="1"/>
        <v>1948.8</v>
      </c>
      <c r="BM31">
        <f ca="1"/>
        <v>1952</v>
      </c>
      <c r="BN31">
        <f ca="1"/>
        <v>1934.4</v>
      </c>
      <c r="BO31">
        <f ca="1"/>
        <v>1897.6</v>
      </c>
      <c r="BP31">
        <f ca="1"/>
        <v>1907.2</v>
      </c>
      <c r="BQ31">
        <f ca="1"/>
        <v>1902.4</v>
      </c>
      <c r="BR31">
        <f ca="1"/>
        <v>1896</v>
      </c>
      <c r="BS31">
        <f ca="1"/>
        <v>1892.8</v>
      </c>
      <c r="BT31">
        <f ca="1"/>
        <v>1894.4</v>
      </c>
      <c r="BU31">
        <f ca="1"/>
        <v>1876.8000000000002</v>
      </c>
      <c r="BV31">
        <f ca="1"/>
        <v>1884.8</v>
      </c>
      <c r="BW31">
        <f ca="1"/>
        <v>1881.6</v>
      </c>
      <c r="BX31">
        <f ca="1"/>
        <v>1894.4</v>
      </c>
      <c r="BY31">
        <f ca="1"/>
        <v>1883.1999999999998</v>
      </c>
      <c r="BZ31">
        <f ca="1"/>
        <v>1854.4</v>
      </c>
      <c r="CA31">
        <f ca="1"/>
        <v>1846.3999999999999</v>
      </c>
      <c r="CB31">
        <f ca="1"/>
        <v>1854.4</v>
      </c>
      <c r="CC31">
        <f ca="1"/>
        <v>1843.1999999999998</v>
      </c>
      <c r="CD31">
        <f ca="1"/>
        <v>1848</v>
      </c>
      <c r="CE31">
        <f ca="1"/>
        <v>1856</v>
      </c>
      <c r="CF31">
        <f ca="1"/>
        <v>1857.6</v>
      </c>
      <c r="CG31">
        <f ca="1"/>
        <v>1870.3999999999999</v>
      </c>
      <c r="CH31">
        <f ca="1"/>
        <v>1888</v>
      </c>
      <c r="CI31">
        <f ca="1"/>
        <v>1908.8</v>
      </c>
      <c r="CJ31">
        <f ca="1"/>
        <v>1897.6</v>
      </c>
      <c r="CK31">
        <f ca="1"/>
        <v>1891.2</v>
      </c>
      <c r="CL31">
        <f ca="1"/>
        <v>1900.8000000000002</v>
      </c>
      <c r="CM31">
        <f ca="1"/>
        <v>1905.6</v>
      </c>
      <c r="CN31">
        <f ca="1"/>
        <v>1915.2</v>
      </c>
      <c r="CO31">
        <f ca="1"/>
        <v>1937.6</v>
      </c>
      <c r="CP31">
        <f ca="1"/>
        <v>1923.1999999999998</v>
      </c>
      <c r="CQ31">
        <f ca="1"/>
        <v>1915.2</v>
      </c>
      <c r="CR31">
        <f ca="1"/>
        <v>1936</v>
      </c>
      <c r="CS31">
        <f ca="1"/>
        <v>1950.3999999999999</v>
      </c>
      <c r="CT31">
        <f ca="1"/>
        <v>1945.6</v>
      </c>
      <c r="CU31">
        <f ca="1"/>
        <v>1905.6</v>
      </c>
      <c r="CV31">
        <f ca="1"/>
        <v>1905.6</v>
      </c>
      <c r="CW31">
        <f ca="1"/>
        <v>1912</v>
      </c>
      <c r="CX31">
        <f ca="1"/>
        <v>1936</v>
      </c>
      <c r="CY31">
        <f ca="1"/>
        <v>1913.6000000000001</v>
      </c>
      <c r="CZ31">
        <f ca="1"/>
        <v>1905.6</v>
      </c>
      <c r="DA31">
        <f ca="1"/>
        <v>1924.8</v>
      </c>
      <c r="DB31">
        <f ca="1"/>
        <v>1939.1999999999998</v>
      </c>
      <c r="DC31">
        <f ca="1"/>
        <v>1939.1999999999998</v>
      </c>
      <c r="DD31">
        <f ca="1"/>
        <v>1944</v>
      </c>
      <c r="DE31">
        <f ca="1"/>
        <v>1945.6</v>
      </c>
      <c r="DF31">
        <f ca="1"/>
        <v>1928</v>
      </c>
      <c r="DG31">
        <f ca="1"/>
        <v>1921.6</v>
      </c>
      <c r="DH31">
        <f ca="1"/>
        <v>1929.6000000000001</v>
      </c>
      <c r="DI31">
        <f ca="1"/>
        <v>1915.2</v>
      </c>
      <c r="DJ31">
        <f ca="1"/>
        <v>1907.2</v>
      </c>
      <c r="DK31">
        <f ca="1"/>
        <v>1896</v>
      </c>
      <c r="DL31">
        <f ca="1"/>
        <v>1873.6000000000001</v>
      </c>
      <c r="DM31">
        <f ca="1"/>
        <v>1908.8</v>
      </c>
      <c r="DN31">
        <f ca="1"/>
        <v>1910.3999999999999</v>
      </c>
      <c r="DO31">
        <f ca="1"/>
        <v>1800</v>
      </c>
      <c r="DP31">
        <f ca="1"/>
        <v>1843.1999999999998</v>
      </c>
      <c r="DQ31">
        <f ca="1"/>
        <v>1833.6000000000001</v>
      </c>
      <c r="DR31">
        <f ca="1"/>
        <v>1859.1999999999998</v>
      </c>
      <c r="DS31">
        <f ca="1"/>
        <v>1838.4</v>
      </c>
      <c r="DT31">
        <f ca="1"/>
        <v>1832</v>
      </c>
      <c r="DU31">
        <f ca="1"/>
        <v>1827.2</v>
      </c>
      <c r="DV31">
        <f ca="1"/>
        <v>1819.1999999999998</v>
      </c>
      <c r="DW31">
        <f ca="1"/>
        <v>1808</v>
      </c>
      <c r="DX31">
        <f ca="1"/>
        <v>1811.2</v>
      </c>
      <c r="DY31">
        <f ca="1"/>
        <v>1825.6</v>
      </c>
      <c r="DZ31">
        <f ca="1"/>
        <v>1833.6000000000001</v>
      </c>
      <c r="EA31">
        <f ca="1"/>
        <v>1849.6000000000001</v>
      </c>
      <c r="EB31">
        <f ca="1"/>
        <v>1870.3999999999999</v>
      </c>
      <c r="EC31">
        <f ca="1"/>
        <v>1875.2</v>
      </c>
      <c r="ED31">
        <f ca="1"/>
        <v>1868.8</v>
      </c>
      <c r="EE31">
        <f ca="1"/>
        <v>1880</v>
      </c>
      <c r="EF31">
        <f ca="1"/>
        <v>1875.2</v>
      </c>
      <c r="EG31">
        <f ca="1"/>
        <v>1860.8000000000002</v>
      </c>
      <c r="EH31">
        <f ca="1"/>
        <v>1840</v>
      </c>
      <c r="EI31">
        <f ca="1"/>
        <v>1814.4</v>
      </c>
      <c r="EJ31">
        <f ca="1"/>
        <v>1784</v>
      </c>
      <c r="EK31">
        <f ca="1"/>
        <v>1790.3999999999999</v>
      </c>
      <c r="EL31">
        <f ca="1"/>
        <v>1790.3999999999999</v>
      </c>
      <c r="EM31">
        <f ca="1"/>
        <v>1774.4</v>
      </c>
      <c r="EN31">
        <f ca="1"/>
        <v>1809.6000000000001</v>
      </c>
      <c r="EO31">
        <f ca="1"/>
        <v>1798.4</v>
      </c>
      <c r="EP31">
        <f ca="1"/>
        <v>1796.8000000000002</v>
      </c>
      <c r="EQ31">
        <f ca="1"/>
        <v>1785.6</v>
      </c>
      <c r="ER31">
        <f ca="1"/>
        <v>1790.3999999999999</v>
      </c>
      <c r="ES31">
        <f ca="1"/>
        <v>1787.2</v>
      </c>
      <c r="ET31">
        <f ca="1"/>
        <v>1771.2</v>
      </c>
      <c r="EU31">
        <f ca="1"/>
        <v>1598.4</v>
      </c>
      <c r="EV31">
        <f ca="1"/>
        <v>1582.4</v>
      </c>
      <c r="EW31">
        <f ca="1"/>
        <v>1593.6000000000001</v>
      </c>
      <c r="EX31">
        <f ca="1"/>
        <v>1587.2</v>
      </c>
      <c r="EY31">
        <f ca="1"/>
        <v>1590.3999999999999</v>
      </c>
      <c r="EZ31">
        <f ca="1"/>
        <v>1612.8</v>
      </c>
      <c r="FA31">
        <f ca="1"/>
        <v>1619.1999999999998</v>
      </c>
      <c r="FB31">
        <f ca="1"/>
        <v>1659.1999999999998</v>
      </c>
      <c r="FC31">
        <f ca="1"/>
        <v>1662.4</v>
      </c>
      <c r="FD31">
        <f ca="1"/>
        <v>1664</v>
      </c>
      <c r="FE31">
        <f ca="1"/>
        <v>1651.2</v>
      </c>
      <c r="FF31">
        <f ca="1"/>
        <v>1649.6000000000001</v>
      </c>
      <c r="FG31">
        <f ca="1"/>
        <v>1643.1999999999998</v>
      </c>
      <c r="FH31">
        <f ca="1"/>
        <v>1627.2</v>
      </c>
      <c r="FI31">
        <f ca="1"/>
        <v>1616</v>
      </c>
      <c r="FJ31">
        <f ca="1"/>
        <v>1601.6</v>
      </c>
      <c r="FK31">
        <f ca="1"/>
        <v>1588.8</v>
      </c>
      <c r="FL31">
        <f ca="1"/>
        <v>1579.1999999999998</v>
      </c>
      <c r="FM31">
        <f ca="1"/>
        <v>1598.4</v>
      </c>
      <c r="FN31">
        <f ca="1"/>
        <v>1588.8</v>
      </c>
      <c r="FO31">
        <f ca="1"/>
        <v>1612.8</v>
      </c>
      <c r="FP31">
        <f ca="1"/>
        <v>1630.3999999999999</v>
      </c>
      <c r="FQ31">
        <f ca="1"/>
        <v>1644.8</v>
      </c>
      <c r="FR31">
        <f ca="1"/>
        <v>1665.6</v>
      </c>
      <c r="FS31">
        <f ca="1"/>
        <v>1672</v>
      </c>
      <c r="FT31">
        <f ca="1"/>
        <v>1678.4</v>
      </c>
      <c r="FU31">
        <f ca="1"/>
        <v>1665.6</v>
      </c>
      <c r="FV31">
        <f ca="1"/>
        <v>1635.2</v>
      </c>
      <c r="FW31">
        <f ca="1"/>
        <v>1635.2</v>
      </c>
      <c r="FX31">
        <f ca="1"/>
        <v>1643.1999999999998</v>
      </c>
      <c r="FY31">
        <f ca="1"/>
        <v>1646.3999999999999</v>
      </c>
      <c r="FZ31">
        <f ca="1"/>
        <v>1636.8000000000002</v>
      </c>
      <c r="GA31">
        <f ca="1"/>
        <v>1648</v>
      </c>
      <c r="GB31">
        <f ca="1"/>
        <v>1689.6000000000001</v>
      </c>
      <c r="GC31">
        <f ca="1"/>
        <v>1689.6000000000001</v>
      </c>
      <c r="GD31">
        <f ca="1"/>
        <v>1729.6000000000001</v>
      </c>
      <c r="GE31">
        <f ca="1"/>
        <v>1750.3999999999999</v>
      </c>
      <c r="GF31">
        <f ca="1"/>
        <v>1760</v>
      </c>
      <c r="GG31">
        <f ca="1"/>
        <v>1763.1999999999998</v>
      </c>
      <c r="GH31">
        <f ca="1"/>
        <v>1750.3999999999999</v>
      </c>
      <c r="GI31">
        <f ca="1"/>
        <v>1737.6</v>
      </c>
      <c r="GJ31">
        <f ca="1"/>
        <v>1731.2</v>
      </c>
      <c r="GK31">
        <f ca="1"/>
        <v>1748.8</v>
      </c>
      <c r="GL31">
        <f ca="1"/>
        <v>1723.1999999999998</v>
      </c>
      <c r="GM31">
        <f ca="1"/>
        <v>1697.6</v>
      </c>
      <c r="GN31">
        <f ca="1"/>
        <v>1694.4</v>
      </c>
      <c r="GO31">
        <f ca="1"/>
        <v>1708.8</v>
      </c>
      <c r="GP31">
        <f ca="1"/>
        <v>1718.4</v>
      </c>
      <c r="GQ31">
        <f ca="1"/>
        <v>1712</v>
      </c>
      <c r="GR31">
        <f ca="1"/>
        <v>1707.2</v>
      </c>
      <c r="GS31">
        <f ca="1"/>
        <v>1692.8</v>
      </c>
      <c r="GT31">
        <f ca="1"/>
        <v>1720</v>
      </c>
      <c r="GU31">
        <f ca="1"/>
        <v>1720</v>
      </c>
      <c r="GV31">
        <f ca="1"/>
        <v>1736</v>
      </c>
      <c r="GW31">
        <f ca="1"/>
        <v>1713.6000000000001</v>
      </c>
      <c r="GX31">
        <f ca="1"/>
        <v>1739.1999999999998</v>
      </c>
      <c r="GY31">
        <f ca="1"/>
        <v>1721.6</v>
      </c>
      <c r="GZ31">
        <f ca="1"/>
        <v>1734.4</v>
      </c>
      <c r="HA31">
        <f ca="1"/>
        <v>1729.6000000000001</v>
      </c>
      <c r="HB31">
        <f ca="1"/>
        <v>1734.4</v>
      </c>
      <c r="HC31">
        <f ca="1"/>
        <v>1731.2</v>
      </c>
      <c r="HD31">
        <f ca="1"/>
        <v>1680</v>
      </c>
      <c r="HE31">
        <f ca="1"/>
        <v>1672</v>
      </c>
      <c r="HF31">
        <f ca="1"/>
        <v>1688</v>
      </c>
      <c r="HG31">
        <f ca="1"/>
        <v>1681.6</v>
      </c>
      <c r="HH31">
        <f ca="1"/>
        <v>1680</v>
      </c>
      <c r="HI31">
        <f ca="1"/>
        <v>1689.6000000000001</v>
      </c>
      <c r="HJ31">
        <f ca="1"/>
        <v>1699.1999999999998</v>
      </c>
      <c r="HK31">
        <f ca="1"/>
        <v>1678.4</v>
      </c>
      <c r="HL31">
        <f ca="1"/>
        <v>1689.6000000000001</v>
      </c>
      <c r="HM31">
        <f ca="1"/>
        <v>1700.8000000000002</v>
      </c>
      <c r="HN31">
        <f ca="1"/>
        <v>1668.8</v>
      </c>
      <c r="HO31">
        <f ca="1"/>
        <v>1662.4</v>
      </c>
      <c r="HP31">
        <f ca="1"/>
        <v>1670.3999999999999</v>
      </c>
      <c r="HQ31">
        <f ca="1"/>
        <v>1676.8000000000002</v>
      </c>
      <c r="HR31">
        <f ca="1"/>
        <v>1676.8000000000002</v>
      </c>
      <c r="HS31">
        <f ca="1"/>
        <v>1665.6</v>
      </c>
      <c r="HT31">
        <f ca="1"/>
        <v>1646.3999999999999</v>
      </c>
      <c r="HU31">
        <f ca="1"/>
        <v>1638.4</v>
      </c>
      <c r="HV31">
        <f ca="1"/>
        <v>1624</v>
      </c>
      <c r="HW31">
        <f ca="1"/>
        <v>1609.6000000000001</v>
      </c>
      <c r="HX31">
        <f ca="1"/>
        <v>1611.2</v>
      </c>
      <c r="HY31">
        <f ca="1"/>
        <v>1635.2</v>
      </c>
      <c r="HZ31">
        <f ca="1"/>
        <v>1656</v>
      </c>
      <c r="IA31">
        <f ca="1"/>
        <v>1638.4</v>
      </c>
      <c r="IB31">
        <f ca="1"/>
        <v>1619.1999999999998</v>
      </c>
      <c r="IC31">
        <f ca="1"/>
        <v>1577.6</v>
      </c>
      <c r="ID31">
        <f ca="1"/>
        <v>1592</v>
      </c>
      <c r="IE31">
        <f ca="1"/>
        <v>1588.8</v>
      </c>
      <c r="IF31">
        <f ca="1"/>
        <v>1595.2</v>
      </c>
      <c r="IG31">
        <f ca="1"/>
        <v>1576</v>
      </c>
      <c r="IH31">
        <f ca="1"/>
        <v>1564.8</v>
      </c>
      <c r="II31">
        <f ca="1"/>
        <v>1566.3999999999999</v>
      </c>
      <c r="IJ31">
        <f ca="1"/>
        <v>1563.1999999999998</v>
      </c>
      <c r="IK31">
        <f ca="1"/>
        <v>1584</v>
      </c>
      <c r="IL31">
        <f ca="1"/>
        <v>1585.6</v>
      </c>
      <c r="IM31">
        <f ca="1"/>
        <v>1588.8</v>
      </c>
      <c r="IN31">
        <f ca="1"/>
        <v>1609.6000000000001</v>
      </c>
      <c r="IO31">
        <f ca="1"/>
        <v>1636.8000000000002</v>
      </c>
      <c r="IP31">
        <f ca="1"/>
        <v>1620.8000000000002</v>
      </c>
      <c r="IQ31">
        <f ca="1"/>
        <v>1649.6000000000001</v>
      </c>
      <c r="IR31">
        <f ca="1"/>
        <v>1665.6</v>
      </c>
      <c r="IS31">
        <f ca="1"/>
        <v>1688</v>
      </c>
      <c r="IT31">
        <f ca="1"/>
        <v>1681.6</v>
      </c>
      <c r="IU31">
        <f ca="1"/>
        <v>1681.6</v>
      </c>
      <c r="IV31">
        <f ca="1"/>
        <v>1681.6</v>
      </c>
      <c r="IW31">
        <f ca="1"/>
        <v>1649.6000000000001</v>
      </c>
    </row>
    <row r="32" spans="2:257" x14ac:dyDescent="0.25">
      <c r="B32" t="str">
        <f t="shared" si="408"/>
        <v>20K6HZ6</v>
      </c>
      <c r="C32" t="s">
        <v>160</v>
      </c>
      <c r="D32" t="e" vm="538">
        <v>#VALUE!</v>
      </c>
      <c r="E32" t="str" cm="1">
        <f t="array" aca="1" ref="E32" ca="1">_FV(D32,"Code mnémonique",TRUE)</f>
        <v>IAG</v>
      </c>
      <c r="F32" s="12">
        <f>_xlfn.XLOOKUP(D32,Titres[Action],Titres[Nb d''actions])</f>
        <v>69</v>
      </c>
      <c r="G32" cm="1">
        <f t="array" aca="1" ref="G32:IW32" ca="1">IFERROR(TRANSPOSE(_xlfn.STOCKHISTORY(D32,TODAY()-365,TODAY(),0,0,1))*F32,"")</f>
        <v>8640.8700000000008</v>
      </c>
      <c r="H32">
        <f ca="1"/>
        <v>8703.66</v>
      </c>
      <c r="I32">
        <f ca="1"/>
        <v>8947.92</v>
      </c>
      <c r="J32">
        <f ca="1"/>
        <v>9085.23</v>
      </c>
      <c r="K32">
        <f ca="1"/>
        <v>9111.4500000000007</v>
      </c>
      <c r="L32">
        <f ca="1"/>
        <v>9112.83</v>
      </c>
      <c r="M32">
        <f ca="1"/>
        <v>9167.34</v>
      </c>
      <c r="N32">
        <f ca="1"/>
        <v>9240.48</v>
      </c>
      <c r="O32">
        <f ca="1"/>
        <v>9150.7800000000007</v>
      </c>
      <c r="P32">
        <f ca="1"/>
        <v>9454.380000000001</v>
      </c>
      <c r="Q32">
        <f ca="1"/>
        <v>9280.5</v>
      </c>
      <c r="R32">
        <f ca="1"/>
        <v>9176.3100000000013</v>
      </c>
      <c r="S32">
        <f ca="1"/>
        <v>9277.74</v>
      </c>
      <c r="T32">
        <f ca="1"/>
        <v>9234.27</v>
      </c>
      <c r="U32">
        <f ca="1"/>
        <v>9336.39</v>
      </c>
      <c r="V32">
        <f ca="1"/>
        <v>9435.0600000000013</v>
      </c>
      <c r="W32">
        <f ca="1"/>
        <v>9490.9500000000007</v>
      </c>
      <c r="X32">
        <f ca="1"/>
        <v>9611.7000000000007</v>
      </c>
      <c r="Y32">
        <f ca="1"/>
        <v>9764.880000000001</v>
      </c>
      <c r="Z32">
        <f ca="1"/>
        <v>9800.07</v>
      </c>
      <c r="AA32">
        <f ca="1"/>
        <v>9797.3100000000013</v>
      </c>
      <c r="AB32">
        <f ca="1"/>
        <v>9661.380000000001</v>
      </c>
      <c r="AC32">
        <f ca="1"/>
        <v>9666.2100000000009</v>
      </c>
      <c r="AD32">
        <f ca="1"/>
        <v>9583.41</v>
      </c>
      <c r="AE32">
        <f ca="1"/>
        <v>9699.33</v>
      </c>
      <c r="AF32">
        <f ca="1"/>
        <v>9786.9600000000009</v>
      </c>
      <c r="AG32">
        <f ca="1"/>
        <v>9894.6</v>
      </c>
      <c r="AH32">
        <f ca="1"/>
        <v>9719.34</v>
      </c>
      <c r="AI32">
        <f ca="1"/>
        <v>9640.68</v>
      </c>
      <c r="AJ32">
        <f ca="1"/>
        <v>9617.91</v>
      </c>
      <c r="AK32">
        <f ca="1"/>
        <v>9671.0399999999991</v>
      </c>
      <c r="AL32">
        <f ca="1"/>
        <v>9637.23</v>
      </c>
      <c r="AM32">
        <f ca="1"/>
        <v>9675.18</v>
      </c>
      <c r="AN32">
        <f ca="1"/>
        <v>9820.08</v>
      </c>
      <c r="AO32">
        <f ca="1"/>
        <v>9725.5499999999993</v>
      </c>
      <c r="AP32">
        <f ca="1"/>
        <v>9661.380000000001</v>
      </c>
      <c r="AQ32">
        <f ca="1"/>
        <v>9709.68</v>
      </c>
      <c r="AR32">
        <f ca="1"/>
        <v>9749.7000000000007</v>
      </c>
      <c r="AS32">
        <f ca="1"/>
        <v>9815.9399999999987</v>
      </c>
      <c r="AT32">
        <f ca="1"/>
        <v>9918.75</v>
      </c>
      <c r="AU32">
        <f ca="1"/>
        <v>9836.64</v>
      </c>
      <c r="AV32">
        <f ca="1"/>
        <v>9798.6899999999987</v>
      </c>
      <c r="AW32">
        <f ca="1"/>
        <v>9946.35</v>
      </c>
      <c r="AX32">
        <f ca="1"/>
        <v>9947.0399999999991</v>
      </c>
      <c r="AY32">
        <f ca="1"/>
        <v>10005.689999999999</v>
      </c>
      <c r="AZ32">
        <f ca="1"/>
        <v>9930.48</v>
      </c>
      <c r="BA32">
        <f ca="1"/>
        <v>10042.950000000001</v>
      </c>
      <c r="BB32">
        <f ca="1"/>
        <v>10109.189999999999</v>
      </c>
      <c r="BC32">
        <f ca="1"/>
        <v>10169.219999999999</v>
      </c>
      <c r="BD32">
        <f ca="1"/>
        <v>10301.01</v>
      </c>
      <c r="BE32">
        <f ca="1"/>
        <v>10060.89</v>
      </c>
      <c r="BF32">
        <f ca="1"/>
        <v>10098.15</v>
      </c>
      <c r="BG32">
        <f ca="1"/>
        <v>10116.09</v>
      </c>
      <c r="BH32">
        <f ca="1"/>
        <v>10002.24</v>
      </c>
      <c r="BI32">
        <f ca="1"/>
        <v>9993.27</v>
      </c>
      <c r="BJ32">
        <f ca="1"/>
        <v>9946.35</v>
      </c>
      <c r="BK32">
        <f ca="1"/>
        <v>9949.11</v>
      </c>
      <c r="BL32">
        <f ca="1"/>
        <v>9897.36</v>
      </c>
      <c r="BM32">
        <f ca="1"/>
        <v>9978.09</v>
      </c>
      <c r="BN32">
        <f ca="1"/>
        <v>9915.99</v>
      </c>
      <c r="BO32">
        <f ca="1"/>
        <v>9965.67</v>
      </c>
      <c r="BP32">
        <f ca="1"/>
        <v>10007.76</v>
      </c>
      <c r="BQ32">
        <f ca="1"/>
        <v>9998.1</v>
      </c>
      <c r="BR32">
        <f ca="1"/>
        <v>9904.9500000000007</v>
      </c>
      <c r="BS32">
        <f ca="1"/>
        <v>9989.82</v>
      </c>
      <c r="BT32">
        <f ca="1"/>
        <v>9875.2800000000007</v>
      </c>
      <c r="BU32">
        <f ca="1"/>
        <v>9880.11</v>
      </c>
      <c r="BV32">
        <f ca="1"/>
        <v>9962.91</v>
      </c>
      <c r="BW32">
        <f ca="1"/>
        <v>9892.5300000000007</v>
      </c>
      <c r="BX32">
        <f ca="1"/>
        <v>9872.52</v>
      </c>
      <c r="BY32">
        <f ca="1"/>
        <v>9406.08</v>
      </c>
      <c r="BZ32">
        <f ca="1"/>
        <v>9358.4699999999993</v>
      </c>
      <c r="CA32">
        <f ca="1"/>
        <v>9338.4600000000009</v>
      </c>
      <c r="CB32">
        <f ca="1"/>
        <v>9553.0499999999993</v>
      </c>
      <c r="CC32">
        <f ca="1"/>
        <v>9807.66</v>
      </c>
      <c r="CD32">
        <f ca="1"/>
        <v>9828.36</v>
      </c>
      <c r="CE32">
        <f ca="1"/>
        <v>9747.630000000001</v>
      </c>
      <c r="CF32">
        <f ca="1"/>
        <v>9885.630000000001</v>
      </c>
      <c r="CG32">
        <f ca="1"/>
        <v>10047.09</v>
      </c>
      <c r="CH32">
        <f ca="1"/>
        <v>10156.11</v>
      </c>
      <c r="CI32">
        <f ca="1"/>
        <v>10281</v>
      </c>
      <c r="CJ32">
        <f ca="1"/>
        <v>10167.15</v>
      </c>
      <c r="CK32">
        <f ca="1"/>
        <v>10220.280000000001</v>
      </c>
      <c r="CL32">
        <f ca="1"/>
        <v>10100.219999999999</v>
      </c>
      <c r="CM32">
        <f ca="1"/>
        <v>10155.42</v>
      </c>
      <c r="CN32">
        <f ca="1"/>
        <v>10352.76</v>
      </c>
      <c r="CO32">
        <f ca="1"/>
        <v>10423.14</v>
      </c>
      <c r="CP32">
        <f ca="1"/>
        <v>10319.64</v>
      </c>
      <c r="CQ32">
        <f ca="1"/>
        <v>10216.83</v>
      </c>
      <c r="CR32">
        <f ca="1"/>
        <v>10235.460000000001</v>
      </c>
      <c r="CS32">
        <f ca="1"/>
        <v>10297.560000000001</v>
      </c>
      <c r="CT32">
        <f ca="1"/>
        <v>10194.75</v>
      </c>
      <c r="CU32">
        <f ca="1"/>
        <v>10302.39</v>
      </c>
      <c r="CV32">
        <f ca="1"/>
        <v>10506.630000000001</v>
      </c>
      <c r="CW32">
        <f ca="1"/>
        <v>10597.710000000001</v>
      </c>
      <c r="CX32">
        <f ca="1"/>
        <v>10293.42</v>
      </c>
      <c r="CY32">
        <f ca="1"/>
        <v>10452.810000000001</v>
      </c>
      <c r="CZ32">
        <f ca="1"/>
        <v>10531.47</v>
      </c>
      <c r="DA32">
        <f ca="1"/>
        <v>10534.92</v>
      </c>
      <c r="DB32">
        <f ca="1"/>
        <v>10759.86</v>
      </c>
      <c r="DC32">
        <f ca="1"/>
        <v>10706.73</v>
      </c>
      <c r="DD32">
        <f ca="1"/>
        <v>10764</v>
      </c>
      <c r="DE32">
        <f ca="1"/>
        <v>10579.08</v>
      </c>
      <c r="DF32">
        <f ca="1"/>
        <v>10616.34</v>
      </c>
      <c r="DG32">
        <f ca="1"/>
        <v>10674.99</v>
      </c>
      <c r="DH32">
        <f ca="1"/>
        <v>10788.84</v>
      </c>
      <c r="DI32">
        <f ca="1"/>
        <v>10772.97</v>
      </c>
      <c r="DJ32">
        <f ca="1"/>
        <v>10705.35</v>
      </c>
      <c r="DK32">
        <f ca="1"/>
        <v>10576.32</v>
      </c>
      <c r="DL32">
        <f ca="1"/>
        <v>10576.32</v>
      </c>
      <c r="DM32">
        <f ca="1"/>
        <v>10569.42</v>
      </c>
      <c r="DN32">
        <f ca="1"/>
        <v>10845.42</v>
      </c>
      <c r="DO32">
        <f ca="1"/>
        <v>10917.869999999999</v>
      </c>
      <c r="DP32">
        <f ca="1"/>
        <v>10939.26</v>
      </c>
      <c r="DQ32">
        <f ca="1"/>
        <v>11002.74</v>
      </c>
      <c r="DR32">
        <f ca="1"/>
        <v>11057.939999999999</v>
      </c>
      <c r="DS32">
        <f ca="1"/>
        <v>11122.8</v>
      </c>
      <c r="DT32">
        <f ca="1"/>
        <v>11100.72</v>
      </c>
      <c r="DU32">
        <f ca="1"/>
        <v>11023.439999999999</v>
      </c>
      <c r="DV32">
        <f ca="1"/>
        <v>10858.53</v>
      </c>
      <c r="DW32">
        <f ca="1"/>
        <v>10916.49</v>
      </c>
      <c r="DX32">
        <f ca="1"/>
        <v>10959.27</v>
      </c>
      <c r="DY32">
        <f ca="1"/>
        <v>11026.2</v>
      </c>
      <c r="DZ32">
        <f ca="1"/>
        <v>10841.28</v>
      </c>
      <c r="EA32">
        <f ca="1"/>
        <v>10766.76</v>
      </c>
      <c r="EB32">
        <f ca="1"/>
        <v>10856.460000000001</v>
      </c>
      <c r="EC32">
        <f ca="1"/>
        <v>10999.289999999999</v>
      </c>
      <c r="ED32">
        <f ca="1"/>
        <v>10957.89</v>
      </c>
      <c r="EE32">
        <f ca="1"/>
        <v>11088.3</v>
      </c>
      <c r="EF32">
        <f ca="1"/>
        <v>11270.460000000001</v>
      </c>
      <c r="EG32">
        <f ca="1"/>
        <v>11327.039999999999</v>
      </c>
      <c r="EH32">
        <f ca="1"/>
        <v>11361.539999999999</v>
      </c>
      <c r="EI32">
        <f ca="1"/>
        <v>11242.17</v>
      </c>
      <c r="EJ32">
        <f ca="1"/>
        <v>11252.52</v>
      </c>
      <c r="EK32">
        <f ca="1"/>
        <v>11423.64</v>
      </c>
      <c r="EL32">
        <f ca="1"/>
        <v>11558.880000000001</v>
      </c>
      <c r="EM32">
        <f ca="1"/>
        <v>11560.95</v>
      </c>
      <c r="EN32">
        <f ca="1"/>
        <v>11236.65</v>
      </c>
      <c r="EO32">
        <f ca="1"/>
        <v>11186.28</v>
      </c>
      <c r="EP32">
        <f ca="1"/>
        <v>11131.77</v>
      </c>
      <c r="EQ32">
        <f ca="1"/>
        <v>11142.810000000001</v>
      </c>
      <c r="ER32">
        <f ca="1"/>
        <v>11231.130000000001</v>
      </c>
      <c r="ES32">
        <f ca="1"/>
        <v>11530.59</v>
      </c>
      <c r="ET32">
        <f ca="1"/>
        <v>11447.1</v>
      </c>
      <c r="EU32">
        <f ca="1"/>
        <v>11370.51</v>
      </c>
      <c r="EV32">
        <f ca="1"/>
        <v>11287.02</v>
      </c>
      <c r="EW32">
        <f ca="1"/>
        <v>11401.560000000001</v>
      </c>
      <c r="EX32">
        <f ca="1"/>
        <v>11336.7</v>
      </c>
      <c r="EY32">
        <f ca="1"/>
        <v>11309.1</v>
      </c>
      <c r="EZ32">
        <f ca="1"/>
        <v>11460.210000000001</v>
      </c>
      <c r="FA32">
        <f ca="1"/>
        <v>11661.689999999999</v>
      </c>
      <c r="FB32">
        <f ca="1"/>
        <v>11754.84</v>
      </c>
      <c r="FC32">
        <f ca="1"/>
        <v>11369.82</v>
      </c>
      <c r="FD32">
        <f ca="1"/>
        <v>11368.439999999999</v>
      </c>
      <c r="FE32">
        <f ca="1"/>
        <v>11389.14</v>
      </c>
      <c r="FF32">
        <f ca="1"/>
        <v>11433.3</v>
      </c>
      <c r="FG32">
        <f ca="1"/>
        <v>11301.51</v>
      </c>
      <c r="FH32">
        <f ca="1"/>
        <v>11398.8</v>
      </c>
      <c r="FI32">
        <f ca="1"/>
        <v>11427.09</v>
      </c>
      <c r="FJ32">
        <f ca="1"/>
        <v>11454.689999999999</v>
      </c>
      <c r="FK32">
        <f ca="1"/>
        <v>11540.25</v>
      </c>
      <c r="FL32">
        <f ca="1"/>
        <v>11610.630000000001</v>
      </c>
      <c r="FM32">
        <f ca="1"/>
        <v>11795.55</v>
      </c>
      <c r="FN32">
        <f ca="1"/>
        <v>11972.880000000001</v>
      </c>
      <c r="FO32">
        <f ca="1"/>
        <v>12061.2</v>
      </c>
      <c r="FP32">
        <f ca="1"/>
        <v>12152.97</v>
      </c>
      <c r="FQ32">
        <f ca="1"/>
        <v>12192.99</v>
      </c>
      <c r="FR32">
        <f ca="1"/>
        <v>12155.039999999999</v>
      </c>
      <c r="FS32">
        <f ca="1"/>
        <v>12250.26</v>
      </c>
      <c r="FT32">
        <f ca="1"/>
        <v>12093.630000000001</v>
      </c>
      <c r="FU32">
        <f ca="1"/>
        <v>12324.78</v>
      </c>
      <c r="FV32">
        <f ca="1"/>
        <v>12337.2</v>
      </c>
      <c r="FW32">
        <f ca="1"/>
        <v>12272.34</v>
      </c>
      <c r="FX32">
        <f ca="1"/>
        <v>12337.2</v>
      </c>
      <c r="FY32">
        <f ca="1"/>
        <v>12282</v>
      </c>
      <c r="FZ32">
        <f ca="1"/>
        <v>12270.27</v>
      </c>
      <c r="GA32">
        <f ca="1"/>
        <v>12241.289999999999</v>
      </c>
      <c r="GB32">
        <f ca="1"/>
        <v>12424.14</v>
      </c>
      <c r="GC32">
        <f ca="1"/>
        <v>12533.85</v>
      </c>
      <c r="GD32">
        <f ca="1"/>
        <v>12489.689999999999</v>
      </c>
      <c r="GE32">
        <f ca="1"/>
        <v>12298.560000000001</v>
      </c>
      <c r="GF32">
        <f ca="1"/>
        <v>12397.23</v>
      </c>
      <c r="GG32">
        <f ca="1"/>
        <v>12388.26</v>
      </c>
      <c r="GH32">
        <f ca="1"/>
        <v>12172.289999999999</v>
      </c>
      <c r="GI32">
        <f ca="1"/>
        <v>12255.09</v>
      </c>
      <c r="GJ32">
        <f ca="1"/>
        <v>12551.1</v>
      </c>
      <c r="GK32">
        <f ca="1"/>
        <v>12029.460000000001</v>
      </c>
      <c r="GL32">
        <f ca="1"/>
        <v>12066.72</v>
      </c>
      <c r="GM32">
        <f ca="1"/>
        <v>11774.85</v>
      </c>
      <c r="GN32">
        <f ca="1"/>
        <v>11839.02</v>
      </c>
      <c r="GO32">
        <f ca="1"/>
        <v>11750.7</v>
      </c>
      <c r="GP32">
        <f ca="1"/>
        <v>11650.65</v>
      </c>
      <c r="GQ32">
        <f ca="1"/>
        <v>11594.07</v>
      </c>
      <c r="GR32">
        <f ca="1"/>
        <v>11473.32</v>
      </c>
      <c r="GS32">
        <f ca="1"/>
        <v>11451.24</v>
      </c>
      <c r="GT32">
        <f ca="1"/>
        <v>11516.789999999999</v>
      </c>
      <c r="GU32">
        <f ca="1"/>
        <v>11544.39</v>
      </c>
      <c r="GV32">
        <f ca="1"/>
        <v>11679.630000000001</v>
      </c>
      <c r="GW32">
        <f ca="1"/>
        <v>11787.960000000001</v>
      </c>
      <c r="GX32">
        <f ca="1"/>
        <v>11794.86</v>
      </c>
      <c r="GY32">
        <f ca="1"/>
        <v>11827.289999999999</v>
      </c>
      <c r="GZ32">
        <f ca="1"/>
        <v>11928.03</v>
      </c>
      <c r="HA32">
        <f ca="1"/>
        <v>11868</v>
      </c>
      <c r="HB32">
        <f ca="1"/>
        <v>11850.060000000001</v>
      </c>
      <c r="HC32">
        <f ca="1"/>
        <v>11653.41</v>
      </c>
      <c r="HD32">
        <f ca="1"/>
        <v>11488.5</v>
      </c>
      <c r="HE32">
        <f ca="1"/>
        <v>11593.380000000001</v>
      </c>
      <c r="HF32">
        <f ca="1"/>
        <v>11734.14</v>
      </c>
      <c r="HG32">
        <f ca="1"/>
        <v>10442.460000000001</v>
      </c>
      <c r="HH32">
        <f ca="1"/>
        <v>10339.65</v>
      </c>
      <c r="HI32">
        <f ca="1"/>
        <v>10726.05</v>
      </c>
      <c r="HJ32">
        <f ca="1"/>
        <v>10609.439999999999</v>
      </c>
      <c r="HK32">
        <f ca="1"/>
        <v>10754.34</v>
      </c>
      <c r="HL32">
        <f ca="1"/>
        <v>10793.67</v>
      </c>
      <c r="HM32">
        <f ca="1"/>
        <v>10836.45</v>
      </c>
      <c r="HN32">
        <f ca="1"/>
        <v>10703.97</v>
      </c>
      <c r="HO32">
        <f ca="1"/>
        <v>10630.83</v>
      </c>
      <c r="HP32">
        <f ca="1"/>
        <v>10524.57</v>
      </c>
      <c r="HQ32">
        <f ca="1"/>
        <v>10514.91</v>
      </c>
      <c r="HR32">
        <f ca="1"/>
        <v>10416.93</v>
      </c>
      <c r="HS32">
        <f ca="1"/>
        <v>10294.799999999999</v>
      </c>
      <c r="HT32">
        <f ca="1"/>
        <v>10303.77</v>
      </c>
      <c r="HU32">
        <f ca="1"/>
        <v>10387.950000000001</v>
      </c>
      <c r="HV32">
        <f ca="1"/>
        <v>10312.74</v>
      </c>
      <c r="HW32">
        <f ca="1"/>
        <v>10281</v>
      </c>
      <c r="HX32">
        <f ca="1"/>
        <v>10165.77</v>
      </c>
      <c r="HY32">
        <f ca="1"/>
        <v>10332.060000000001</v>
      </c>
      <c r="HZ32">
        <f ca="1"/>
        <v>10431.42</v>
      </c>
      <c r="IA32">
        <f ca="1"/>
        <v>10377.6</v>
      </c>
      <c r="IB32">
        <f ca="1"/>
        <v>10155.42</v>
      </c>
      <c r="IC32">
        <f ca="1"/>
        <v>10086.42</v>
      </c>
      <c r="ID32">
        <f ca="1"/>
        <v>10329.299999999999</v>
      </c>
      <c r="IE32">
        <f ca="1"/>
        <v>10431.42</v>
      </c>
      <c r="IF32">
        <f ca="1"/>
        <v>10552.86</v>
      </c>
      <c r="IG32">
        <f ca="1"/>
        <v>10536.3</v>
      </c>
      <c r="IH32">
        <f ca="1"/>
        <v>10445.219999999999</v>
      </c>
      <c r="II32">
        <f ca="1"/>
        <v>10403.130000000001</v>
      </c>
      <c r="IJ32">
        <f ca="1"/>
        <v>10652.22</v>
      </c>
      <c r="IK32">
        <f ca="1"/>
        <v>10783.32</v>
      </c>
      <c r="IL32">
        <f ca="1"/>
        <v>10859.91</v>
      </c>
      <c r="IM32">
        <f ca="1"/>
        <v>10947.539999999999</v>
      </c>
      <c r="IN32">
        <f ca="1"/>
        <v>11091.060000000001</v>
      </c>
      <c r="IO32">
        <f ca="1"/>
        <v>11316.689999999999</v>
      </c>
      <c r="IP32">
        <f ca="1"/>
        <v>11492.64</v>
      </c>
      <c r="IQ32">
        <f ca="1"/>
        <v>11455.380000000001</v>
      </c>
      <c r="IR32">
        <f ca="1"/>
        <v>11624.43</v>
      </c>
      <c r="IS32">
        <f ca="1"/>
        <v>11812.11</v>
      </c>
      <c r="IT32">
        <f ca="1"/>
        <v>11914.23</v>
      </c>
      <c r="IU32">
        <f ca="1"/>
        <v>11801.07</v>
      </c>
      <c r="IV32">
        <f ca="1"/>
        <v>11908.02</v>
      </c>
      <c r="IW32">
        <f ca="1"/>
        <v>11896.98</v>
      </c>
    </row>
    <row r="33" spans="2:257" x14ac:dyDescent="0.25">
      <c r="B33" t="str">
        <f t="shared" si="408"/>
        <v>20K6HZ6</v>
      </c>
      <c r="C33" t="s">
        <v>160</v>
      </c>
      <c r="D33" t="e" vm="542">
        <v>#VALUE!</v>
      </c>
      <c r="E33" t="str" cm="1">
        <f t="array" aca="1" ref="E33" ca="1">_FV(D33,"Code mnémonique",TRUE)</f>
        <v>IFC</v>
      </c>
      <c r="F33" s="12">
        <f>_xlfn.XLOOKUP(D33,Titres[Action],Titres[Nb d''actions])</f>
        <v>40</v>
      </c>
      <c r="G33" cm="1">
        <f t="array" aca="1" ref="G33:IW33" ca="1">IFERROR(TRANSPOSE(_xlfn.STOCKHISTORY(D33,TODAY()-365,TODAY(),0,0,1))*F33,"")</f>
        <v>11746.400000000001</v>
      </c>
      <c r="H33">
        <f ca="1"/>
        <v>11848</v>
      </c>
      <c r="I33">
        <f ca="1"/>
        <v>11948.800000000001</v>
      </c>
      <c r="J33">
        <f ca="1"/>
        <v>11951.6</v>
      </c>
      <c r="K33">
        <f ca="1"/>
        <v>11876.400000000001</v>
      </c>
      <c r="L33">
        <f ca="1"/>
        <v>11931.199999999999</v>
      </c>
      <c r="M33">
        <f ca="1"/>
        <v>12132</v>
      </c>
      <c r="N33">
        <f ca="1"/>
        <v>12246.800000000001</v>
      </c>
      <c r="O33">
        <f ca="1"/>
        <v>12170</v>
      </c>
      <c r="P33">
        <f ca="1"/>
        <v>12218.800000000001</v>
      </c>
      <c r="Q33">
        <f ca="1"/>
        <v>12272.8</v>
      </c>
      <c r="R33">
        <f ca="1"/>
        <v>12370</v>
      </c>
      <c r="S33">
        <f ca="1"/>
        <v>12357.6</v>
      </c>
      <c r="T33">
        <f ca="1"/>
        <v>12076</v>
      </c>
      <c r="U33">
        <f ca="1"/>
        <v>11921.6</v>
      </c>
      <c r="V33">
        <f ca="1"/>
        <v>11615.599999999999</v>
      </c>
      <c r="W33">
        <f ca="1"/>
        <v>11508.800000000001</v>
      </c>
      <c r="X33">
        <f ca="1"/>
        <v>11610.4</v>
      </c>
      <c r="Y33">
        <f ca="1"/>
        <v>11879.6</v>
      </c>
      <c r="Z33">
        <f ca="1"/>
        <v>11968.800000000001</v>
      </c>
      <c r="AA33">
        <f ca="1"/>
        <v>12196</v>
      </c>
      <c r="AB33">
        <f ca="1"/>
        <v>12140</v>
      </c>
      <c r="AC33">
        <f ca="1"/>
        <v>12139.2</v>
      </c>
      <c r="AD33">
        <f ca="1"/>
        <v>12112</v>
      </c>
      <c r="AE33">
        <f ca="1"/>
        <v>12166</v>
      </c>
      <c r="AF33">
        <f ca="1"/>
        <v>12218.800000000001</v>
      </c>
      <c r="AG33">
        <f ca="1"/>
        <v>12446</v>
      </c>
      <c r="AH33">
        <f ca="1"/>
        <v>12478.800000000001</v>
      </c>
      <c r="AI33">
        <f ca="1"/>
        <v>12454</v>
      </c>
      <c r="AJ33">
        <f ca="1"/>
        <v>12508</v>
      </c>
      <c r="AK33">
        <f ca="1"/>
        <v>12397.2</v>
      </c>
      <c r="AL33">
        <f ca="1"/>
        <v>12408</v>
      </c>
      <c r="AM33">
        <f ca="1"/>
        <v>12590.8</v>
      </c>
      <c r="AN33">
        <f ca="1"/>
        <v>12477.6</v>
      </c>
      <c r="AO33">
        <f ca="1"/>
        <v>12316.800000000001</v>
      </c>
      <c r="AP33">
        <f ca="1"/>
        <v>12284</v>
      </c>
      <c r="AQ33">
        <f ca="1"/>
        <v>12157.6</v>
      </c>
      <c r="AR33">
        <f ca="1"/>
        <v>12416.800000000001</v>
      </c>
      <c r="AS33">
        <f ca="1"/>
        <v>12380</v>
      </c>
      <c r="AT33">
        <f ca="1"/>
        <v>12366.800000000001</v>
      </c>
      <c r="AU33">
        <f ca="1"/>
        <v>12287.6</v>
      </c>
      <c r="AV33">
        <f ca="1"/>
        <v>12239.6</v>
      </c>
      <c r="AW33">
        <f ca="1"/>
        <v>12200</v>
      </c>
      <c r="AX33">
        <f ca="1"/>
        <v>12213.599999999999</v>
      </c>
      <c r="AY33">
        <f ca="1"/>
        <v>12423.599999999999</v>
      </c>
      <c r="AZ33">
        <f ca="1"/>
        <v>12532.4</v>
      </c>
      <c r="BA33">
        <f ca="1"/>
        <v>12426.800000000001</v>
      </c>
      <c r="BB33">
        <f ca="1"/>
        <v>12427.6</v>
      </c>
      <c r="BC33">
        <f ca="1"/>
        <v>12493.599999999999</v>
      </c>
      <c r="BD33">
        <f ca="1"/>
        <v>12666</v>
      </c>
      <c r="BE33">
        <f ca="1"/>
        <v>12346.400000000001</v>
      </c>
      <c r="BF33">
        <f ca="1"/>
        <v>12425.2</v>
      </c>
      <c r="BG33">
        <f ca="1"/>
        <v>12476.400000000001</v>
      </c>
      <c r="BH33">
        <f ca="1"/>
        <v>12550</v>
      </c>
      <c r="BI33">
        <f ca="1"/>
        <v>12432.8</v>
      </c>
      <c r="BJ33">
        <f ca="1"/>
        <v>12352.4</v>
      </c>
      <c r="BK33">
        <f ca="1"/>
        <v>12360</v>
      </c>
      <c r="BL33">
        <f ca="1"/>
        <v>12374.8</v>
      </c>
      <c r="BM33">
        <f ca="1"/>
        <v>12311.6</v>
      </c>
      <c r="BN33">
        <f ca="1"/>
        <v>12147.2</v>
      </c>
      <c r="BO33">
        <f ca="1"/>
        <v>12132</v>
      </c>
      <c r="BP33">
        <f ca="1"/>
        <v>11976.400000000001</v>
      </c>
      <c r="BQ33">
        <f ca="1"/>
        <v>12161.6</v>
      </c>
      <c r="BR33">
        <f ca="1"/>
        <v>12069.2</v>
      </c>
      <c r="BS33">
        <f ca="1"/>
        <v>12124.400000000001</v>
      </c>
      <c r="BT33">
        <f ca="1"/>
        <v>12120</v>
      </c>
      <c r="BU33">
        <f ca="1"/>
        <v>12108.800000000001</v>
      </c>
      <c r="BV33">
        <f ca="1"/>
        <v>12206</v>
      </c>
      <c r="BW33">
        <f ca="1"/>
        <v>12084.8</v>
      </c>
      <c r="BX33">
        <f ca="1"/>
        <v>12208.4</v>
      </c>
      <c r="BY33">
        <f ca="1"/>
        <v>11418</v>
      </c>
      <c r="BZ33">
        <f ca="1"/>
        <v>11456</v>
      </c>
      <c r="CA33">
        <f ca="1"/>
        <v>11322.8</v>
      </c>
      <c r="CB33">
        <f ca="1"/>
        <v>11540</v>
      </c>
      <c r="CC33">
        <f ca="1"/>
        <v>11501.199999999999</v>
      </c>
      <c r="CD33">
        <f ca="1"/>
        <v>11349.2</v>
      </c>
      <c r="CE33">
        <f ca="1"/>
        <v>11160</v>
      </c>
      <c r="CF33">
        <f ca="1"/>
        <v>11153.199999999999</v>
      </c>
      <c r="CG33">
        <f ca="1"/>
        <v>11120.4</v>
      </c>
      <c r="CH33">
        <f ca="1"/>
        <v>11120</v>
      </c>
      <c r="CI33">
        <f ca="1"/>
        <v>11120</v>
      </c>
      <c r="CJ33">
        <f ca="1"/>
        <v>11166.800000000001</v>
      </c>
      <c r="CK33">
        <f ca="1"/>
        <v>11184</v>
      </c>
      <c r="CL33">
        <f ca="1"/>
        <v>11140.4</v>
      </c>
      <c r="CM33">
        <f ca="1"/>
        <v>11190</v>
      </c>
      <c r="CN33">
        <f ca="1"/>
        <v>11272</v>
      </c>
      <c r="CO33">
        <f ca="1"/>
        <v>11179.6</v>
      </c>
      <c r="CP33">
        <f ca="1"/>
        <v>11014.8</v>
      </c>
      <c r="CQ33">
        <f ca="1"/>
        <v>10892.8</v>
      </c>
      <c r="CR33">
        <f ca="1"/>
        <v>11032.4</v>
      </c>
      <c r="CS33">
        <f ca="1"/>
        <v>11037.6</v>
      </c>
      <c r="CT33">
        <f ca="1"/>
        <v>11001.199999999999</v>
      </c>
      <c r="CU33">
        <f ca="1"/>
        <v>11046.400000000001</v>
      </c>
      <c r="CV33">
        <f ca="1"/>
        <v>11050</v>
      </c>
      <c r="CW33">
        <f ca="1"/>
        <v>11028.800000000001</v>
      </c>
      <c r="CX33">
        <f ca="1"/>
        <v>11133.199999999999</v>
      </c>
      <c r="CY33">
        <f ca="1"/>
        <v>11104.400000000001</v>
      </c>
      <c r="CZ33">
        <f ca="1"/>
        <v>11115.2</v>
      </c>
      <c r="DA33">
        <f ca="1"/>
        <v>11088</v>
      </c>
      <c r="DB33">
        <f ca="1"/>
        <v>11218.800000000001</v>
      </c>
      <c r="DC33">
        <f ca="1"/>
        <v>11118.800000000001</v>
      </c>
      <c r="DD33">
        <f ca="1"/>
        <v>10937.2</v>
      </c>
      <c r="DE33">
        <f ca="1"/>
        <v>10648.800000000001</v>
      </c>
      <c r="DF33">
        <f ca="1"/>
        <v>10660</v>
      </c>
      <c r="DG33">
        <f ca="1"/>
        <v>10689.6</v>
      </c>
      <c r="DH33">
        <f ca="1"/>
        <v>10863.199999999999</v>
      </c>
      <c r="DI33">
        <f ca="1"/>
        <v>10674</v>
      </c>
      <c r="DJ33">
        <f ca="1"/>
        <v>10585.2</v>
      </c>
      <c r="DK33">
        <f ca="1"/>
        <v>10619.2</v>
      </c>
      <c r="DL33">
        <f ca="1"/>
        <v>10491.6</v>
      </c>
      <c r="DM33">
        <f ca="1"/>
        <v>10544</v>
      </c>
      <c r="DN33">
        <f ca="1"/>
        <v>10588.4</v>
      </c>
      <c r="DO33">
        <f ca="1"/>
        <v>10830.8</v>
      </c>
      <c r="DP33">
        <f ca="1"/>
        <v>10676.400000000001</v>
      </c>
      <c r="DQ33">
        <f ca="1"/>
        <v>10730</v>
      </c>
      <c r="DR33">
        <f ca="1"/>
        <v>10764.400000000001</v>
      </c>
      <c r="DS33">
        <f ca="1"/>
        <v>10694.8</v>
      </c>
      <c r="DT33">
        <f ca="1"/>
        <v>10628</v>
      </c>
      <c r="DU33">
        <f ca="1"/>
        <v>10686.800000000001</v>
      </c>
      <c r="DV33">
        <f ca="1"/>
        <v>10641.6</v>
      </c>
      <c r="DW33">
        <f ca="1"/>
        <v>10784</v>
      </c>
      <c r="DX33">
        <f ca="1"/>
        <v>10786</v>
      </c>
      <c r="DY33">
        <f ca="1"/>
        <v>10640</v>
      </c>
      <c r="DZ33">
        <f ca="1"/>
        <v>10393.199999999999</v>
      </c>
      <c r="EA33">
        <f ca="1"/>
        <v>10344.799999999999</v>
      </c>
      <c r="EB33">
        <f ca="1"/>
        <v>10193.200000000001</v>
      </c>
      <c r="EC33">
        <f ca="1"/>
        <v>10387.200000000001</v>
      </c>
      <c r="ED33">
        <f ca="1"/>
        <v>10478.800000000001</v>
      </c>
      <c r="EE33">
        <f ca="1"/>
        <v>10604</v>
      </c>
      <c r="EF33">
        <f ca="1"/>
        <v>10508</v>
      </c>
      <c r="EG33">
        <f ca="1"/>
        <v>10548.4</v>
      </c>
      <c r="EH33">
        <f ca="1"/>
        <v>10516</v>
      </c>
      <c r="EI33">
        <f ca="1"/>
        <v>10344.400000000001</v>
      </c>
      <c r="EJ33">
        <f ca="1"/>
        <v>10376.400000000001</v>
      </c>
      <c r="EK33">
        <f ca="1"/>
        <v>10465.200000000001</v>
      </c>
      <c r="EL33">
        <f ca="1"/>
        <v>10536</v>
      </c>
      <c r="EM33">
        <f ca="1"/>
        <v>10607.2</v>
      </c>
      <c r="EN33">
        <f ca="1"/>
        <v>10789.2</v>
      </c>
      <c r="EO33">
        <f ca="1"/>
        <v>10725.2</v>
      </c>
      <c r="EP33">
        <f ca="1"/>
        <v>11206.800000000001</v>
      </c>
      <c r="EQ33">
        <f ca="1"/>
        <v>11275.2</v>
      </c>
      <c r="ER33">
        <f ca="1"/>
        <v>11056.800000000001</v>
      </c>
      <c r="ES33">
        <f ca="1"/>
        <v>11369.2</v>
      </c>
      <c r="ET33">
        <f ca="1"/>
        <v>11251.199999999999</v>
      </c>
      <c r="EU33">
        <f ca="1"/>
        <v>11287.2</v>
      </c>
      <c r="EV33">
        <f ca="1"/>
        <v>11428.800000000001</v>
      </c>
      <c r="EW33">
        <f ca="1"/>
        <v>11346.400000000001</v>
      </c>
      <c r="EX33">
        <f ca="1"/>
        <v>11295.2</v>
      </c>
      <c r="EY33">
        <f ca="1"/>
        <v>11240</v>
      </c>
      <c r="EZ33">
        <f ca="1"/>
        <v>11367.6</v>
      </c>
      <c r="FA33">
        <f ca="1"/>
        <v>11357.2</v>
      </c>
      <c r="FB33">
        <f ca="1"/>
        <v>11490</v>
      </c>
      <c r="FC33">
        <f ca="1"/>
        <v>11479.2</v>
      </c>
      <c r="FD33">
        <f ca="1"/>
        <v>11378.800000000001</v>
      </c>
      <c r="FE33">
        <f ca="1"/>
        <v>11416</v>
      </c>
      <c r="FF33">
        <f ca="1"/>
        <v>11213.599999999999</v>
      </c>
      <c r="FG33">
        <f ca="1"/>
        <v>11075.599999999999</v>
      </c>
      <c r="FH33">
        <f ca="1"/>
        <v>10932.8</v>
      </c>
      <c r="FI33">
        <f ca="1"/>
        <v>11081.6</v>
      </c>
      <c r="FJ33">
        <f ca="1"/>
        <v>10960</v>
      </c>
      <c r="FK33">
        <f ca="1"/>
        <v>10990.4</v>
      </c>
      <c r="FL33">
        <f ca="1"/>
        <v>11054.400000000001</v>
      </c>
      <c r="FM33">
        <f ca="1"/>
        <v>11228.800000000001</v>
      </c>
      <c r="FN33">
        <f ca="1"/>
        <v>11251.6</v>
      </c>
      <c r="FO33">
        <f ca="1"/>
        <v>11301.6</v>
      </c>
      <c r="FP33">
        <f ca="1"/>
        <v>11248.4</v>
      </c>
      <c r="FQ33">
        <f ca="1"/>
        <v>11217.2</v>
      </c>
      <c r="FR33">
        <f ca="1"/>
        <v>11259.6</v>
      </c>
      <c r="FS33">
        <f ca="1"/>
        <v>11362</v>
      </c>
      <c r="FT33">
        <f ca="1"/>
        <v>11348.800000000001</v>
      </c>
      <c r="FU33">
        <f ca="1"/>
        <v>11378.800000000001</v>
      </c>
      <c r="FV33">
        <f ca="1"/>
        <v>11420.8</v>
      </c>
      <c r="FW33">
        <f ca="1"/>
        <v>11353.199999999999</v>
      </c>
      <c r="FX33">
        <f ca="1"/>
        <v>11404</v>
      </c>
      <c r="FY33">
        <f ca="1"/>
        <v>11407.6</v>
      </c>
      <c r="FZ33">
        <f ca="1"/>
        <v>11429.2</v>
      </c>
      <c r="GA33">
        <f ca="1"/>
        <v>11407.2</v>
      </c>
      <c r="GB33">
        <f ca="1"/>
        <v>11306.400000000001</v>
      </c>
      <c r="GC33">
        <f ca="1"/>
        <v>11199.6</v>
      </c>
      <c r="GD33">
        <f ca="1"/>
        <v>11089.2</v>
      </c>
      <c r="GE33">
        <f ca="1"/>
        <v>11168.4</v>
      </c>
      <c r="GF33">
        <f ca="1"/>
        <v>11151.199999999999</v>
      </c>
      <c r="GG33">
        <f ca="1"/>
        <v>11078</v>
      </c>
      <c r="GH33">
        <f ca="1"/>
        <v>10810</v>
      </c>
      <c r="GI33">
        <f ca="1"/>
        <v>10863.199999999999</v>
      </c>
      <c r="GJ33">
        <f ca="1"/>
        <v>10814.8</v>
      </c>
      <c r="GK33">
        <f ca="1"/>
        <v>10652</v>
      </c>
      <c r="GL33">
        <f ca="1"/>
        <v>10484</v>
      </c>
      <c r="GM33">
        <f ca="1"/>
        <v>10661.199999999999</v>
      </c>
      <c r="GN33">
        <f ca="1"/>
        <v>10526.800000000001</v>
      </c>
      <c r="GO33">
        <f ca="1"/>
        <v>10491.199999999999</v>
      </c>
      <c r="GP33">
        <f ca="1"/>
        <v>10391.6</v>
      </c>
      <c r="GQ33">
        <f ca="1"/>
        <v>10338</v>
      </c>
      <c r="GR33">
        <f ca="1"/>
        <v>10069.6</v>
      </c>
      <c r="GS33">
        <f ca="1"/>
        <v>9894.7999999999993</v>
      </c>
      <c r="GT33">
        <f ca="1"/>
        <v>9886.4</v>
      </c>
      <c r="GU33">
        <f ca="1"/>
        <v>9916.4</v>
      </c>
      <c r="GV33">
        <f ca="1"/>
        <v>10140</v>
      </c>
      <c r="GW33">
        <f ca="1"/>
        <v>10224.799999999999</v>
      </c>
      <c r="GX33">
        <f ca="1"/>
        <v>10531.6</v>
      </c>
      <c r="GY33">
        <f ca="1"/>
        <v>10600.8</v>
      </c>
      <c r="GZ33">
        <f ca="1"/>
        <v>10432.799999999999</v>
      </c>
      <c r="HA33">
        <f ca="1"/>
        <v>10560</v>
      </c>
      <c r="HB33">
        <f ca="1"/>
        <v>10542</v>
      </c>
      <c r="HC33">
        <f ca="1"/>
        <v>10142</v>
      </c>
      <c r="HD33">
        <f ca="1"/>
        <v>10416</v>
      </c>
      <c r="HE33">
        <f ca="1"/>
        <v>10527.2</v>
      </c>
      <c r="HF33">
        <f ca="1"/>
        <v>10482.4</v>
      </c>
      <c r="HG33">
        <f ca="1"/>
        <v>10654.8</v>
      </c>
      <c r="HH33">
        <f ca="1"/>
        <v>10532</v>
      </c>
      <c r="HI33">
        <f ca="1"/>
        <v>10478.4</v>
      </c>
      <c r="HJ33">
        <f ca="1"/>
        <v>10353.199999999999</v>
      </c>
      <c r="HK33">
        <f ca="1"/>
        <v>10435.200000000001</v>
      </c>
      <c r="HL33">
        <f ca="1"/>
        <v>10470</v>
      </c>
      <c r="HM33">
        <f ca="1"/>
        <v>10561.199999999999</v>
      </c>
      <c r="HN33">
        <f ca="1"/>
        <v>10534</v>
      </c>
      <c r="HO33">
        <f ca="1"/>
        <v>10478.4</v>
      </c>
      <c r="HP33">
        <f ca="1"/>
        <v>10404</v>
      </c>
      <c r="HQ33">
        <f ca="1"/>
        <v>10264.799999999999</v>
      </c>
      <c r="HR33">
        <f ca="1"/>
        <v>10223.6</v>
      </c>
      <c r="HS33">
        <f ca="1"/>
        <v>10018</v>
      </c>
      <c r="HT33">
        <f ca="1"/>
        <v>10031.200000000001</v>
      </c>
      <c r="HU33">
        <f ca="1"/>
        <v>10174</v>
      </c>
      <c r="HV33">
        <f ca="1"/>
        <v>10000</v>
      </c>
      <c r="HW33">
        <f ca="1"/>
        <v>10240.799999999999</v>
      </c>
      <c r="HX33">
        <f ca="1"/>
        <v>10320.799999999999</v>
      </c>
      <c r="HY33">
        <f ca="1"/>
        <v>10362.799999999999</v>
      </c>
      <c r="HZ33">
        <f ca="1"/>
        <v>10304.400000000001</v>
      </c>
      <c r="IA33">
        <f ca="1"/>
        <v>10204.400000000001</v>
      </c>
      <c r="IB33">
        <f ca="1"/>
        <v>9915.5999999999985</v>
      </c>
      <c r="IC33">
        <f ca="1"/>
        <v>10008.799999999999</v>
      </c>
      <c r="ID33">
        <f ca="1"/>
        <v>10160.4</v>
      </c>
      <c r="IE33">
        <f ca="1"/>
        <v>10110</v>
      </c>
      <c r="IF33">
        <f ca="1"/>
        <v>10045.599999999999</v>
      </c>
      <c r="IG33">
        <f ca="1"/>
        <v>9973.2000000000007</v>
      </c>
      <c r="IH33">
        <f ca="1"/>
        <v>9864</v>
      </c>
      <c r="II33">
        <f ca="1"/>
        <v>9978.7999999999993</v>
      </c>
      <c r="IJ33">
        <f ca="1"/>
        <v>10083.200000000001</v>
      </c>
      <c r="IK33">
        <f ca="1"/>
        <v>9771.2000000000007</v>
      </c>
      <c r="IL33">
        <f ca="1"/>
        <v>9887.2000000000007</v>
      </c>
      <c r="IM33">
        <f ca="1"/>
        <v>9874.7999999999993</v>
      </c>
      <c r="IN33">
        <f ca="1"/>
        <v>9919.1999999999989</v>
      </c>
      <c r="IO33">
        <f ca="1"/>
        <v>10042.799999999999</v>
      </c>
      <c r="IP33">
        <f ca="1"/>
        <v>10112</v>
      </c>
      <c r="IQ33">
        <f ca="1"/>
        <v>10068</v>
      </c>
      <c r="IR33">
        <f ca="1"/>
        <v>10153.200000000001</v>
      </c>
      <c r="IS33">
        <f ca="1"/>
        <v>10250.799999999999</v>
      </c>
      <c r="IT33">
        <f ca="1"/>
        <v>10358.800000000001</v>
      </c>
      <c r="IU33">
        <f ca="1"/>
        <v>10291.199999999999</v>
      </c>
      <c r="IV33">
        <f ca="1"/>
        <v>10486.400000000001</v>
      </c>
      <c r="IW33">
        <f ca="1"/>
        <v>10455.200000000001</v>
      </c>
    </row>
    <row r="34" spans="2:257" x14ac:dyDescent="0.25">
      <c r="B34" t="str">
        <f t="shared" si="408"/>
        <v>20K6HZ6</v>
      </c>
      <c r="C34" t="s">
        <v>160</v>
      </c>
      <c r="D34" t="e" vm="541">
        <v>#VALUE!</v>
      </c>
      <c r="E34" t="str" cm="1">
        <f t="array" aca="1" ref="E34" ca="1">_FV(D34,"Code mnémonique",TRUE)</f>
        <v>IGM</v>
      </c>
      <c r="F34" s="12">
        <f>_xlfn.XLOOKUP(D34,Titres[Action],Titres[Nb d''actions])</f>
        <v>85</v>
      </c>
      <c r="G34" cm="1">
        <f t="array" aca="1" ref="G34:IW34" ca="1">IFERROR(TRANSPOSE(_xlfn.STOCKHISTORY(D34,TODAY()-365,TODAY(),0,0,1))*F34,"")</f>
        <v>3517.3</v>
      </c>
      <c r="H34">
        <f ca="1"/>
        <v>3572.55</v>
      </c>
      <c r="I34">
        <f ca="1"/>
        <v>3634.6</v>
      </c>
      <c r="J34">
        <f ca="1"/>
        <v>3651.6</v>
      </c>
      <c r="K34">
        <f ca="1"/>
        <v>3649.05</v>
      </c>
      <c r="L34">
        <f ca="1"/>
        <v>3649.8999999999996</v>
      </c>
      <c r="M34">
        <f ca="1"/>
        <v>3667.75</v>
      </c>
      <c r="N34">
        <f ca="1"/>
        <v>3723.8500000000004</v>
      </c>
      <c r="O34">
        <f ca="1"/>
        <v>3694.1</v>
      </c>
      <c r="P34">
        <f ca="1"/>
        <v>3730.65</v>
      </c>
      <c r="Q34">
        <f ca="1"/>
        <v>3717.0499999999997</v>
      </c>
      <c r="R34">
        <f ca="1"/>
        <v>3723.8500000000004</v>
      </c>
      <c r="S34">
        <f ca="1"/>
        <v>3711.9500000000003</v>
      </c>
      <c r="T34">
        <f ca="1"/>
        <v>3767.2</v>
      </c>
      <c r="U34">
        <f ca="1"/>
        <v>3716.2</v>
      </c>
      <c r="V34">
        <f ca="1"/>
        <v>3735.7500000000005</v>
      </c>
      <c r="W34">
        <f ca="1"/>
        <v>3745.95</v>
      </c>
      <c r="X34">
        <f ca="1"/>
        <v>3706</v>
      </c>
      <c r="Y34">
        <f ca="1"/>
        <v>3760.4</v>
      </c>
      <c r="Z34">
        <f ca="1"/>
        <v>3741.7000000000003</v>
      </c>
      <c r="AA34">
        <f ca="1"/>
        <v>3772.3</v>
      </c>
      <c r="AB34">
        <f ca="1"/>
        <v>3759.5499999999997</v>
      </c>
      <c r="AC34">
        <f ca="1"/>
        <v>3756.1499999999996</v>
      </c>
      <c r="AD34">
        <f ca="1"/>
        <v>3756.1499999999996</v>
      </c>
      <c r="AE34">
        <f ca="1"/>
        <v>3786.7499999999995</v>
      </c>
      <c r="AF34">
        <f ca="1"/>
        <v>3805.4500000000003</v>
      </c>
      <c r="AG34">
        <f ca="1"/>
        <v>3808.8500000000004</v>
      </c>
      <c r="AH34">
        <f ca="1"/>
        <v>3800.35</v>
      </c>
      <c r="AI34">
        <f ca="1"/>
        <v>3723.8500000000004</v>
      </c>
      <c r="AJ34">
        <f ca="1"/>
        <v>3789.2999999999997</v>
      </c>
      <c r="AK34">
        <f ca="1"/>
        <v>3772.3</v>
      </c>
      <c r="AL34">
        <f ca="1"/>
        <v>3775.7000000000003</v>
      </c>
      <c r="AM34">
        <f ca="1"/>
        <v>3745.1000000000004</v>
      </c>
      <c r="AN34">
        <f ca="1"/>
        <v>3730.65</v>
      </c>
      <c r="AO34">
        <f ca="1"/>
        <v>3740</v>
      </c>
      <c r="AP34">
        <f ca="1"/>
        <v>3710.25</v>
      </c>
      <c r="AQ34">
        <f ca="1"/>
        <v>3676.25</v>
      </c>
      <c r="AR34">
        <f ca="1"/>
        <v>3722.15</v>
      </c>
      <c r="AS34">
        <f ca="1"/>
        <v>3660.95</v>
      </c>
      <c r="AT34">
        <f ca="1"/>
        <v>3703.45</v>
      </c>
      <c r="AU34">
        <f ca="1"/>
        <v>3677.9500000000003</v>
      </c>
      <c r="AV34">
        <f ca="1"/>
        <v>3664.35</v>
      </c>
      <c r="AW34">
        <f ca="1"/>
        <v>3672.0000000000005</v>
      </c>
      <c r="AX34">
        <f ca="1"/>
        <v>3660.95</v>
      </c>
      <c r="AY34">
        <f ca="1"/>
        <v>3669.4500000000003</v>
      </c>
      <c r="AZ34">
        <f ca="1"/>
        <v>3684.75</v>
      </c>
      <c r="BA34">
        <f ca="1"/>
        <v>3682.2</v>
      </c>
      <c r="BB34">
        <f ca="1"/>
        <v>3687.3</v>
      </c>
      <c r="BC34">
        <f ca="1"/>
        <v>3671.1499999999996</v>
      </c>
      <c r="BD34">
        <f ca="1"/>
        <v>3656.7000000000003</v>
      </c>
      <c r="BE34">
        <f ca="1"/>
        <v>3653.2999999999997</v>
      </c>
      <c r="BF34">
        <f ca="1"/>
        <v>3672.85</v>
      </c>
      <c r="BG34">
        <f ca="1"/>
        <v>3673.7</v>
      </c>
      <c r="BH34">
        <f ca="1"/>
        <v>3611.65</v>
      </c>
      <c r="BI34">
        <f ca="1"/>
        <v>3603.15</v>
      </c>
      <c r="BJ34">
        <f ca="1"/>
        <v>3612.5</v>
      </c>
      <c r="BK34">
        <f ca="1"/>
        <v>3619.2999999999997</v>
      </c>
      <c r="BL34">
        <f ca="1"/>
        <v>3600.6</v>
      </c>
      <c r="BM34">
        <f ca="1"/>
        <v>3635.4500000000003</v>
      </c>
      <c r="BN34">
        <f ca="1"/>
        <v>3649.8999999999996</v>
      </c>
      <c r="BO34">
        <f ca="1"/>
        <v>3680.4999999999995</v>
      </c>
      <c r="BP34">
        <f ca="1"/>
        <v>3702.6000000000004</v>
      </c>
      <c r="BQ34">
        <f ca="1"/>
        <v>3722.9999999999995</v>
      </c>
      <c r="BR34">
        <f ca="1"/>
        <v>3751.05</v>
      </c>
      <c r="BS34">
        <f ca="1"/>
        <v>3785.9</v>
      </c>
      <c r="BT34">
        <f ca="1"/>
        <v>3867.5</v>
      </c>
      <c r="BU34">
        <f ca="1"/>
        <v>3944</v>
      </c>
      <c r="BV34">
        <f ca="1"/>
        <v>3956.7499999999995</v>
      </c>
      <c r="BW34">
        <f ca="1"/>
        <v>3964.4</v>
      </c>
      <c r="BX34">
        <f ca="1"/>
        <v>3929.5499999999997</v>
      </c>
      <c r="BY34">
        <f ca="1"/>
        <v>3918.5</v>
      </c>
      <c r="BZ34">
        <f ca="1"/>
        <v>3899.8</v>
      </c>
      <c r="CA34">
        <f ca="1"/>
        <v>3819.05</v>
      </c>
      <c r="CB34">
        <f ca="1"/>
        <v>3949.95</v>
      </c>
      <c r="CC34">
        <f ca="1"/>
        <v>3940.6</v>
      </c>
      <c r="CD34">
        <f ca="1"/>
        <v>4000.1000000000004</v>
      </c>
      <c r="CE34">
        <f ca="1"/>
        <v>4023.9</v>
      </c>
      <c r="CF34">
        <f ca="1"/>
        <v>4046.85</v>
      </c>
      <c r="CG34">
        <f ca="1"/>
        <v>4097.8500000000004</v>
      </c>
      <c r="CH34">
        <f ca="1"/>
        <v>4092.75</v>
      </c>
      <c r="CI34">
        <f ca="1"/>
        <v>4119.95</v>
      </c>
      <c r="CJ34">
        <f ca="1"/>
        <v>4107.2</v>
      </c>
      <c r="CK34">
        <f ca="1"/>
        <v>4130.1500000000005</v>
      </c>
      <c r="CL34">
        <f ca="1"/>
        <v>4120.8</v>
      </c>
      <c r="CM34">
        <f ca="1"/>
        <v>4129.3</v>
      </c>
      <c r="CN34">
        <f ca="1"/>
        <v>4122.5</v>
      </c>
      <c r="CO34">
        <f ca="1"/>
        <v>4143.75</v>
      </c>
      <c r="CP34">
        <f ca="1"/>
        <v>4109.75</v>
      </c>
      <c r="CQ34">
        <f ca="1"/>
        <v>4193.05</v>
      </c>
      <c r="CR34">
        <f ca="1"/>
        <v>4169.25</v>
      </c>
      <c r="CS34">
        <f ca="1"/>
        <v>4214.3</v>
      </c>
      <c r="CT34">
        <f ca="1"/>
        <v>4185.4000000000005</v>
      </c>
      <c r="CU34">
        <f ca="1"/>
        <v>4172.6500000000005</v>
      </c>
      <c r="CV34">
        <f ca="1"/>
        <v>4195.6000000000004</v>
      </c>
      <c r="CW34">
        <f ca="1"/>
        <v>4269.55</v>
      </c>
      <c r="CX34">
        <f ca="1"/>
        <v>4247.45</v>
      </c>
      <c r="CY34">
        <f ca="1"/>
        <v>4232.1499999999996</v>
      </c>
      <c r="CZ34">
        <f ca="1"/>
        <v>4231.3</v>
      </c>
      <c r="DA34">
        <f ca="1"/>
        <v>4238.95</v>
      </c>
      <c r="DB34">
        <f ca="1"/>
        <v>4320.55</v>
      </c>
      <c r="DC34">
        <f ca="1"/>
        <v>4340.1000000000004</v>
      </c>
      <c r="DD34">
        <f ca="1"/>
        <v>4331.6000000000004</v>
      </c>
      <c r="DE34">
        <f ca="1"/>
        <v>4316.3</v>
      </c>
      <c r="DF34">
        <f ca="1"/>
        <v>4296.75</v>
      </c>
      <c r="DG34">
        <f ca="1"/>
        <v>4353.7</v>
      </c>
      <c r="DH34">
        <f ca="1"/>
        <v>4340.95</v>
      </c>
      <c r="DI34">
        <f ca="1"/>
        <v>4361.3500000000004</v>
      </c>
      <c r="DJ34">
        <f ca="1"/>
        <v>4361.3500000000004</v>
      </c>
      <c r="DK34">
        <f ca="1"/>
        <v>4366.45</v>
      </c>
      <c r="DL34">
        <f ca="1"/>
        <v>4329.05</v>
      </c>
      <c r="DM34">
        <f ca="1"/>
        <v>4263.5999999999995</v>
      </c>
      <c r="DN34">
        <f ca="1"/>
        <v>4292.5</v>
      </c>
      <c r="DO34">
        <f ca="1"/>
        <v>4306.0999999999995</v>
      </c>
      <c r="DP34">
        <f ca="1"/>
        <v>4299.3</v>
      </c>
      <c r="DQ34">
        <f ca="1"/>
        <v>4326.5</v>
      </c>
      <c r="DR34">
        <f ca="1"/>
        <v>4373.25</v>
      </c>
      <c r="DS34">
        <f ca="1"/>
        <v>4361.3500000000004</v>
      </c>
      <c r="DT34">
        <f ca="1"/>
        <v>4356.25</v>
      </c>
      <c r="DU34">
        <f ca="1"/>
        <v>4412.3499999999995</v>
      </c>
      <c r="DV34">
        <f ca="1"/>
        <v>4385.1500000000005</v>
      </c>
      <c r="DW34">
        <f ca="1"/>
        <v>4364.75</v>
      </c>
      <c r="DX34">
        <f ca="1"/>
        <v>4517.75</v>
      </c>
      <c r="DY34">
        <f ca="1"/>
        <v>4612.0999999999995</v>
      </c>
      <c r="DZ34">
        <f ca="1"/>
        <v>4517.75</v>
      </c>
      <c r="EA34">
        <f ca="1"/>
        <v>4501.6000000000004</v>
      </c>
      <c r="EB34">
        <f ca="1"/>
        <v>4577.25</v>
      </c>
      <c r="EC34">
        <f ca="1"/>
        <v>4614.6499999999996</v>
      </c>
      <c r="ED34">
        <f ca="1"/>
        <v>4548.3499999999995</v>
      </c>
      <c r="EE34">
        <f ca="1"/>
        <v>4521.1499999999996</v>
      </c>
      <c r="EF34">
        <f ca="1"/>
        <v>4614.6499999999996</v>
      </c>
      <c r="EG34">
        <f ca="1"/>
        <v>4625.7</v>
      </c>
      <c r="EH34">
        <f ca="1"/>
        <v>4635.05</v>
      </c>
      <c r="EI34">
        <f ca="1"/>
        <v>4547.5</v>
      </c>
      <c r="EJ34">
        <f ca="1"/>
        <v>4547.5</v>
      </c>
      <c r="EK34">
        <f ca="1"/>
        <v>4585.75</v>
      </c>
      <c r="EL34">
        <f ca="1"/>
        <v>4650.3500000000004</v>
      </c>
      <c r="EM34">
        <f ca="1"/>
        <v>4615.5</v>
      </c>
      <c r="EN34">
        <f ca="1"/>
        <v>4659.7</v>
      </c>
      <c r="EO34">
        <f ca="1"/>
        <v>4547.5</v>
      </c>
      <c r="EP34">
        <f ca="1"/>
        <v>4565.3500000000004</v>
      </c>
      <c r="EQ34">
        <f ca="1"/>
        <v>4769.3500000000004</v>
      </c>
      <c r="ER34">
        <f ca="1"/>
        <v>4782.0999999999995</v>
      </c>
      <c r="ES34">
        <f ca="1"/>
        <v>4872.2</v>
      </c>
      <c r="ET34">
        <f ca="1"/>
        <v>4794.8499999999995</v>
      </c>
      <c r="EU34">
        <f ca="1"/>
        <v>4726.8500000000004</v>
      </c>
      <c r="EV34">
        <f ca="1"/>
        <v>4722.6000000000004</v>
      </c>
      <c r="EW34">
        <f ca="1"/>
        <v>4717.5</v>
      </c>
      <c r="EX34">
        <f ca="1"/>
        <v>4754.8999999999996</v>
      </c>
      <c r="EY34">
        <f ca="1"/>
        <v>4718.3499999999995</v>
      </c>
      <c r="EZ34">
        <f ca="1"/>
        <v>4765.95</v>
      </c>
      <c r="FA34">
        <f ca="1"/>
        <v>4811.8500000000004</v>
      </c>
      <c r="FB34">
        <f ca="1"/>
        <v>4868.8</v>
      </c>
      <c r="FC34">
        <f ca="1"/>
        <v>4884.1000000000004</v>
      </c>
      <c r="FD34">
        <f ca="1"/>
        <v>4881.55</v>
      </c>
      <c r="FE34">
        <f ca="1"/>
        <v>4849.25</v>
      </c>
      <c r="FF34">
        <f ca="1"/>
        <v>4859.45</v>
      </c>
      <c r="FG34">
        <f ca="1"/>
        <v>4834.8</v>
      </c>
      <c r="FH34">
        <f ca="1"/>
        <v>4856.8999999999996</v>
      </c>
      <c r="FI34">
        <f ca="1"/>
        <v>4924.8999999999996</v>
      </c>
      <c r="FJ34">
        <f ca="1"/>
        <v>4926.6000000000004</v>
      </c>
      <c r="FK34">
        <f ca="1"/>
        <v>4956.3500000000004</v>
      </c>
      <c r="FL34">
        <f ca="1"/>
        <v>5015</v>
      </c>
      <c r="FM34">
        <f ca="1"/>
        <v>5063.45</v>
      </c>
      <c r="FN34">
        <f ca="1"/>
        <v>5138.25</v>
      </c>
      <c r="FO34">
        <f ca="1"/>
        <v>5159.5</v>
      </c>
      <c r="FP34">
        <f ca="1"/>
        <v>5251.3</v>
      </c>
      <c r="FQ34">
        <f ca="1"/>
        <v>5303.15</v>
      </c>
      <c r="FR34">
        <f ca="1"/>
        <v>5273.4</v>
      </c>
      <c r="FS34">
        <f ca="1"/>
        <v>5321</v>
      </c>
      <c r="FT34">
        <f ca="1"/>
        <v>5248.75</v>
      </c>
      <c r="FU34">
        <f ca="1"/>
        <v>5354.1500000000005</v>
      </c>
      <c r="FV34">
        <f ca="1"/>
        <v>5323.55</v>
      </c>
      <c r="FW34">
        <f ca="1"/>
        <v>5296.35</v>
      </c>
      <c r="FX34">
        <f ca="1"/>
        <v>5320.1500000000005</v>
      </c>
      <c r="FY34">
        <f ca="1"/>
        <v>5250.45</v>
      </c>
      <c r="FZ34">
        <f ca="1"/>
        <v>5253.85</v>
      </c>
      <c r="GA34">
        <f ca="1"/>
        <v>5263.2</v>
      </c>
      <c r="GB34">
        <f ca="1"/>
        <v>5399.2</v>
      </c>
      <c r="GC34">
        <f ca="1"/>
        <v>5415.35</v>
      </c>
      <c r="GD34">
        <f ca="1"/>
        <v>5412.8</v>
      </c>
      <c r="GE34">
        <f ca="1"/>
        <v>5415.35</v>
      </c>
      <c r="GF34">
        <f ca="1"/>
        <v>5392.4</v>
      </c>
      <c r="GG34">
        <f ca="1"/>
        <v>5465.5</v>
      </c>
      <c r="GH34">
        <f ca="1"/>
        <v>5438.3</v>
      </c>
      <c r="GI34">
        <f ca="1"/>
        <v>5485.9000000000005</v>
      </c>
      <c r="GJ34">
        <f ca="1"/>
        <v>5639.7499999999991</v>
      </c>
      <c r="GK34">
        <f ca="1"/>
        <v>5699.25</v>
      </c>
      <c r="GL34">
        <f ca="1"/>
        <v>5745.9999999999991</v>
      </c>
      <c r="GM34">
        <f ca="1"/>
        <v>5610</v>
      </c>
      <c r="GN34">
        <f ca="1"/>
        <v>5758.75</v>
      </c>
      <c r="GO34">
        <f ca="1"/>
        <v>5710.3</v>
      </c>
      <c r="GP34">
        <f ca="1"/>
        <v>5582.8</v>
      </c>
      <c r="GQ34">
        <f ca="1"/>
        <v>5645.7</v>
      </c>
      <c r="GR34">
        <f ca="1"/>
        <v>5695.85</v>
      </c>
      <c r="GS34">
        <f ca="1"/>
        <v>5729.0000000000009</v>
      </c>
      <c r="GT34">
        <f ca="1"/>
        <v>5651.65</v>
      </c>
      <c r="GU34">
        <f ca="1"/>
        <v>5598.1</v>
      </c>
      <c r="GV34">
        <f ca="1"/>
        <v>5724.7499999999991</v>
      </c>
      <c r="GW34">
        <f ca="1"/>
        <v>5603.2</v>
      </c>
      <c r="GX34">
        <f ca="1"/>
        <v>5697.55</v>
      </c>
      <c r="GY34">
        <f ca="1"/>
        <v>5649.95</v>
      </c>
      <c r="GZ34">
        <f ca="1"/>
        <v>5701.8</v>
      </c>
      <c r="HA34">
        <f ca="1"/>
        <v>5714.55</v>
      </c>
      <c r="HB34">
        <f ca="1"/>
        <v>5663.5499999999993</v>
      </c>
      <c r="HC34">
        <f ca="1"/>
        <v>5270.8499999999995</v>
      </c>
      <c r="HD34">
        <f ca="1"/>
        <v>5180.75</v>
      </c>
      <c r="HE34">
        <f ca="1"/>
        <v>5616.8</v>
      </c>
      <c r="HF34">
        <f ca="1"/>
        <v>5689.9</v>
      </c>
      <c r="HG34">
        <f ca="1"/>
        <v>5704.35</v>
      </c>
      <c r="HH34">
        <f ca="1"/>
        <v>5593</v>
      </c>
      <c r="HI34">
        <f ca="1"/>
        <v>5700.95</v>
      </c>
      <c r="HJ34">
        <f ca="1"/>
        <v>5722.2</v>
      </c>
      <c r="HK34">
        <f ca="1"/>
        <v>5848</v>
      </c>
      <c r="HL34">
        <f ca="1"/>
        <v>5800.4</v>
      </c>
      <c r="HM34">
        <f ca="1"/>
        <v>5891.35</v>
      </c>
      <c r="HN34">
        <f ca="1"/>
        <v>5768.1</v>
      </c>
      <c r="HO34">
        <f ca="1"/>
        <v>5747.7000000000007</v>
      </c>
      <c r="HP34">
        <f ca="1"/>
        <v>5700.95</v>
      </c>
      <c r="HQ34">
        <f ca="1"/>
        <v>5828.45</v>
      </c>
      <c r="HR34">
        <f ca="1"/>
        <v>5799.55</v>
      </c>
      <c r="HS34">
        <f ca="1"/>
        <v>5596.4000000000005</v>
      </c>
      <c r="HT34">
        <f ca="1"/>
        <v>5483.35</v>
      </c>
      <c r="HU34">
        <f ca="1"/>
        <v>5514.7999999999993</v>
      </c>
      <c r="HV34">
        <f ca="1"/>
        <v>5507.1500000000005</v>
      </c>
      <c r="HW34">
        <f ca="1"/>
        <v>5434.9</v>
      </c>
      <c r="HX34">
        <f ca="1"/>
        <v>5412.8</v>
      </c>
      <c r="HY34">
        <f ca="1"/>
        <v>5442.55</v>
      </c>
      <c r="HZ34">
        <f ca="1"/>
        <v>5504.6</v>
      </c>
      <c r="IA34">
        <f ca="1"/>
        <v>5452.7500000000009</v>
      </c>
      <c r="IB34">
        <f ca="1"/>
        <v>5308.25</v>
      </c>
      <c r="IC34">
        <f ca="1"/>
        <v>5258.1</v>
      </c>
      <c r="ID34">
        <f ca="1"/>
        <v>5391.55</v>
      </c>
      <c r="IE34">
        <f ca="1"/>
        <v>5435.75</v>
      </c>
      <c r="IF34">
        <f ca="1"/>
        <v>5535.2000000000007</v>
      </c>
      <c r="IG34">
        <f ca="1"/>
        <v>5533.4999999999991</v>
      </c>
      <c r="IH34">
        <f ca="1"/>
        <v>5415.35</v>
      </c>
      <c r="II34">
        <f ca="1"/>
        <v>5416.2</v>
      </c>
      <c r="IJ34">
        <f ca="1"/>
        <v>5633.8</v>
      </c>
      <c r="IK34">
        <f ca="1"/>
        <v>5715.4</v>
      </c>
      <c r="IL34">
        <f ca="1"/>
        <v>5700.1</v>
      </c>
      <c r="IM34">
        <f ca="1"/>
        <v>5713.7</v>
      </c>
      <c r="IN34">
        <f ca="1"/>
        <v>5704.35</v>
      </c>
      <c r="IO34">
        <f ca="1"/>
        <v>5802.1</v>
      </c>
      <c r="IP34">
        <f ca="1"/>
        <v>5870.1</v>
      </c>
      <c r="IQ34">
        <f ca="1"/>
        <v>5887.95</v>
      </c>
      <c r="IR34">
        <f ca="1"/>
        <v>6008.65</v>
      </c>
      <c r="IS34">
        <f ca="1"/>
        <v>6165.05</v>
      </c>
      <c r="IT34">
        <f ca="1"/>
        <v>6200.75</v>
      </c>
      <c r="IU34">
        <f ca="1"/>
        <v>6204.15</v>
      </c>
      <c r="IV34">
        <f ca="1"/>
        <v>6306.15</v>
      </c>
      <c r="IW34">
        <f ca="1"/>
        <v>6338.45</v>
      </c>
    </row>
    <row r="35" spans="2:257" x14ac:dyDescent="0.25">
      <c r="B35" t="str">
        <f t="shared" si="408"/>
        <v>20K6HZ6</v>
      </c>
      <c r="C35" t="s">
        <v>160</v>
      </c>
      <c r="D35" t="e" vm="549">
        <v>#VALUE!</v>
      </c>
      <c r="E35" t="str" cm="1">
        <f t="array" aca="1" ref="E35" ca="1">_FV(D35,"Code mnémonique",TRUE)</f>
        <v>L</v>
      </c>
      <c r="F35" s="12">
        <f>_xlfn.XLOOKUP(D35,Titres[Action],Titres[Nb d''actions])</f>
        <v>140</v>
      </c>
      <c r="G35" cm="1">
        <f t="array" aca="1" ref="G35:IW35" ca="1">IFERROR(TRANSPOSE(_xlfn.STOCKHISTORY(D35,TODAY()-365,TODAY(),0,0,1))*F35,"")</f>
        <v>7540.05</v>
      </c>
      <c r="H35">
        <f ca="1"/>
        <v>7569.0999999999995</v>
      </c>
      <c r="I35">
        <f ca="1"/>
        <v>7546</v>
      </c>
      <c r="J35">
        <f ca="1"/>
        <v>7535.85</v>
      </c>
      <c r="K35">
        <f ca="1"/>
        <v>7574.7</v>
      </c>
      <c r="L35">
        <f ca="1"/>
        <v>7621.5999999999995</v>
      </c>
      <c r="M35">
        <f ca="1"/>
        <v>7642.6</v>
      </c>
      <c r="N35">
        <f ca="1"/>
        <v>7833</v>
      </c>
      <c r="O35">
        <f ca="1"/>
        <v>7834.75</v>
      </c>
      <c r="P35">
        <f ca="1"/>
        <v>7875.7000000000007</v>
      </c>
      <c r="Q35">
        <f ca="1"/>
        <v>7943.25</v>
      </c>
      <c r="R35">
        <f ca="1"/>
        <v>7940.45</v>
      </c>
      <c r="S35">
        <f ca="1"/>
        <v>8016.05</v>
      </c>
      <c r="T35">
        <f ca="1"/>
        <v>7721</v>
      </c>
      <c r="U35">
        <f ca="1"/>
        <v>7635.95</v>
      </c>
      <c r="V35">
        <f ca="1"/>
        <v>7486.15</v>
      </c>
      <c r="W35">
        <f ca="1"/>
        <v>7509.6</v>
      </c>
      <c r="X35">
        <f ca="1"/>
        <v>7454.6500000000005</v>
      </c>
      <c r="Y35">
        <f ca="1"/>
        <v>7607.25</v>
      </c>
      <c r="Z35">
        <f ca="1"/>
        <v>7686.35</v>
      </c>
      <c r="AA35">
        <f ca="1"/>
        <v>7794.85</v>
      </c>
      <c r="AB35">
        <f ca="1"/>
        <v>7847.35</v>
      </c>
      <c r="AC35">
        <f ca="1"/>
        <v>7846.3</v>
      </c>
      <c r="AD35">
        <f ca="1"/>
        <v>7852.95</v>
      </c>
      <c r="AE35">
        <f ca="1"/>
        <v>7876.75</v>
      </c>
      <c r="AF35">
        <f ca="1"/>
        <v>8015.7000000000007</v>
      </c>
      <c r="AG35">
        <f ca="1"/>
        <v>8123.85</v>
      </c>
      <c r="AH35">
        <f ca="1"/>
        <v>8080.1</v>
      </c>
      <c r="AI35">
        <f ca="1"/>
        <v>8103.55</v>
      </c>
      <c r="AJ35">
        <f ca="1"/>
        <v>8193.85</v>
      </c>
      <c r="AK35">
        <f ca="1"/>
        <v>8017.1</v>
      </c>
      <c r="AL35">
        <f ca="1"/>
        <v>7884.0999999999995</v>
      </c>
      <c r="AM35">
        <f ca="1"/>
        <v>7866.25</v>
      </c>
      <c r="AN35">
        <f ca="1"/>
        <v>7755.3</v>
      </c>
      <c r="AO35">
        <f ca="1"/>
        <v>7749.7</v>
      </c>
      <c r="AP35">
        <f ca="1"/>
        <v>7823.9</v>
      </c>
      <c r="AQ35">
        <f ca="1"/>
        <v>7740.95</v>
      </c>
      <c r="AR35">
        <f ca="1"/>
        <v>7823.2000000000007</v>
      </c>
      <c r="AS35">
        <f ca="1"/>
        <v>7780.85</v>
      </c>
      <c r="AT35">
        <f ca="1"/>
        <v>7714.3499999999995</v>
      </c>
      <c r="AU35">
        <f ca="1"/>
        <v>7752.1500000000005</v>
      </c>
      <c r="AV35">
        <f ca="1"/>
        <v>7794.15</v>
      </c>
      <c r="AW35">
        <f ca="1"/>
        <v>7788.2000000000007</v>
      </c>
      <c r="AX35">
        <f ca="1"/>
        <v>7782.6</v>
      </c>
      <c r="AY35">
        <f ca="1"/>
        <v>7915.5999999999995</v>
      </c>
      <c r="AZ35">
        <f ca="1"/>
        <v>8018.1500000000005</v>
      </c>
      <c r="BA35">
        <f ca="1"/>
        <v>7872.55</v>
      </c>
      <c r="BB35">
        <f ca="1"/>
        <v>7832.65</v>
      </c>
      <c r="BC35">
        <f ca="1"/>
        <v>7825.3</v>
      </c>
      <c r="BD35">
        <f ca="1"/>
        <v>7883.75</v>
      </c>
      <c r="BE35">
        <f ca="1"/>
        <v>7706.3</v>
      </c>
      <c r="BF35">
        <f ca="1"/>
        <v>7800.1</v>
      </c>
      <c r="BG35">
        <f ca="1"/>
        <v>7844.55</v>
      </c>
      <c r="BH35">
        <f ca="1"/>
        <v>7847</v>
      </c>
      <c r="BI35">
        <f ca="1"/>
        <v>7876.05</v>
      </c>
      <c r="BJ35">
        <f ca="1"/>
        <v>7898.0999999999995</v>
      </c>
      <c r="BK35">
        <f ca="1"/>
        <v>7813.0499999999993</v>
      </c>
      <c r="BL35">
        <f ca="1"/>
        <v>7757.05</v>
      </c>
      <c r="BM35">
        <f ca="1"/>
        <v>7841.05</v>
      </c>
      <c r="BN35">
        <f ca="1"/>
        <v>7711.2</v>
      </c>
      <c r="BO35">
        <f ca="1"/>
        <v>7770</v>
      </c>
      <c r="BP35">
        <f ca="1"/>
        <v>7643.65</v>
      </c>
      <c r="BQ35">
        <f ca="1"/>
        <v>7729.4000000000005</v>
      </c>
      <c r="BR35">
        <f ca="1"/>
        <v>7667.45</v>
      </c>
      <c r="BS35">
        <f ca="1"/>
        <v>7614.6</v>
      </c>
      <c r="BT35">
        <f ca="1"/>
        <v>7612.8499999999995</v>
      </c>
      <c r="BU35">
        <f ca="1"/>
        <v>7781.9000000000005</v>
      </c>
      <c r="BV35">
        <f ca="1"/>
        <v>7776.65</v>
      </c>
      <c r="BW35">
        <f ca="1"/>
        <v>7750.05</v>
      </c>
      <c r="BX35">
        <f ca="1"/>
        <v>7893.55</v>
      </c>
      <c r="BY35">
        <f ca="1"/>
        <v>7859.95</v>
      </c>
      <c r="BZ35">
        <f ca="1"/>
        <v>7842.45</v>
      </c>
      <c r="CA35">
        <f ca="1"/>
        <v>7824.6</v>
      </c>
      <c r="CB35">
        <f ca="1"/>
        <v>7940.45</v>
      </c>
      <c r="CC35">
        <f ca="1"/>
        <v>7967.05</v>
      </c>
      <c r="CD35">
        <f ca="1"/>
        <v>7960.05</v>
      </c>
      <c r="CE35">
        <f ca="1"/>
        <v>7982.45</v>
      </c>
      <c r="CF35">
        <f ca="1"/>
        <v>8025.5</v>
      </c>
      <c r="CG35">
        <f ca="1"/>
        <v>8088.5</v>
      </c>
      <c r="CH35">
        <f ca="1"/>
        <v>7928.9</v>
      </c>
      <c r="CI35">
        <f ca="1"/>
        <v>7960.4</v>
      </c>
      <c r="CJ35">
        <f ca="1"/>
        <v>7957.25</v>
      </c>
      <c r="CK35">
        <f ca="1"/>
        <v>8077.65</v>
      </c>
      <c r="CL35">
        <f ca="1"/>
        <v>8226.4</v>
      </c>
      <c r="CM35">
        <f ca="1"/>
        <v>8279.6</v>
      </c>
      <c r="CN35">
        <f ca="1"/>
        <v>8227.8000000000011</v>
      </c>
      <c r="CO35">
        <f ca="1"/>
        <v>7963.2000000000007</v>
      </c>
      <c r="CP35">
        <f ca="1"/>
        <v>7946.4</v>
      </c>
      <c r="CQ35">
        <f ca="1"/>
        <v>7803.6</v>
      </c>
      <c r="CR35">
        <f ca="1"/>
        <v>7812</v>
      </c>
      <c r="CS35">
        <f ca="1"/>
        <v>7771.4</v>
      </c>
      <c r="CT35">
        <f ca="1"/>
        <v>7852.6</v>
      </c>
      <c r="CU35">
        <f ca="1"/>
        <v>7917</v>
      </c>
      <c r="CV35">
        <f ca="1"/>
        <v>7950.5999999999995</v>
      </c>
      <c r="CW35">
        <f ca="1"/>
        <v>7945</v>
      </c>
      <c r="CX35">
        <f ca="1"/>
        <v>7926.7999999999993</v>
      </c>
      <c r="CY35">
        <f ca="1"/>
        <v>7891.7999999999993</v>
      </c>
      <c r="CZ35">
        <f ca="1"/>
        <v>7908.6</v>
      </c>
      <c r="DA35">
        <f ca="1"/>
        <v>7861</v>
      </c>
      <c r="DB35">
        <f ca="1"/>
        <v>7872.2</v>
      </c>
      <c r="DC35">
        <f ca="1"/>
        <v>7781.2</v>
      </c>
      <c r="DD35">
        <f ca="1"/>
        <v>7588</v>
      </c>
      <c r="DE35">
        <f ca="1"/>
        <v>7526.4</v>
      </c>
      <c r="DF35">
        <f ca="1"/>
        <v>7597.8</v>
      </c>
      <c r="DG35">
        <f ca="1"/>
        <v>7684.6</v>
      </c>
      <c r="DH35">
        <f ca="1"/>
        <v>7765.8</v>
      </c>
      <c r="DI35">
        <f ca="1"/>
        <v>7553</v>
      </c>
      <c r="DJ35">
        <f ca="1"/>
        <v>7616</v>
      </c>
      <c r="DK35">
        <f ca="1"/>
        <v>7548.8</v>
      </c>
      <c r="DL35">
        <f ca="1"/>
        <v>7550.2</v>
      </c>
      <c r="DM35">
        <f ca="1"/>
        <v>7484.4000000000005</v>
      </c>
      <c r="DN35">
        <f ca="1"/>
        <v>7544.6</v>
      </c>
      <c r="DO35">
        <f ca="1"/>
        <v>7536.2</v>
      </c>
      <c r="DP35">
        <f ca="1"/>
        <v>7562.8</v>
      </c>
      <c r="DQ35">
        <f ca="1"/>
        <v>7674.8</v>
      </c>
      <c r="DR35">
        <f ca="1"/>
        <v>7684.6</v>
      </c>
      <c r="DS35">
        <f ca="1"/>
        <v>7506.7999999999993</v>
      </c>
      <c r="DT35">
        <f ca="1"/>
        <v>7609</v>
      </c>
      <c r="DU35">
        <f ca="1"/>
        <v>7681.7999999999993</v>
      </c>
      <c r="DV35">
        <f ca="1"/>
        <v>7736.4</v>
      </c>
      <c r="DW35">
        <f ca="1"/>
        <v>7910</v>
      </c>
      <c r="DX35">
        <f ca="1"/>
        <v>7984.2</v>
      </c>
      <c r="DY35">
        <f ca="1"/>
        <v>8041.5999999999995</v>
      </c>
      <c r="DZ35">
        <f ca="1"/>
        <v>8131.2</v>
      </c>
      <c r="EA35">
        <f ca="1"/>
        <v>8285.2000000000007</v>
      </c>
      <c r="EB35">
        <f ca="1"/>
        <v>8159.2</v>
      </c>
      <c r="EC35">
        <f ca="1"/>
        <v>8149.4000000000005</v>
      </c>
      <c r="ED35">
        <f ca="1"/>
        <v>8233.4</v>
      </c>
      <c r="EE35">
        <f ca="1"/>
        <v>8187.2</v>
      </c>
      <c r="EF35">
        <f ca="1"/>
        <v>8113</v>
      </c>
      <c r="EG35">
        <f ca="1"/>
        <v>8015</v>
      </c>
      <c r="EH35">
        <f ca="1"/>
        <v>7931</v>
      </c>
      <c r="EI35">
        <f ca="1"/>
        <v>7658</v>
      </c>
      <c r="EJ35">
        <f ca="1"/>
        <v>7726.5999999999995</v>
      </c>
      <c r="EK35">
        <f ca="1"/>
        <v>7803.6</v>
      </c>
      <c r="EL35">
        <f ca="1"/>
        <v>7799.4000000000005</v>
      </c>
      <c r="EM35">
        <f ca="1"/>
        <v>7890.4</v>
      </c>
      <c r="EN35">
        <f ca="1"/>
        <v>8082.2</v>
      </c>
      <c r="EO35">
        <f ca="1"/>
        <v>7943.6</v>
      </c>
      <c r="EP35">
        <f ca="1"/>
        <v>7926.7999999999993</v>
      </c>
      <c r="EQ35">
        <f ca="1"/>
        <v>7915.5999999999995</v>
      </c>
      <c r="ER35">
        <f ca="1"/>
        <v>7914.2</v>
      </c>
      <c r="ES35">
        <f ca="1"/>
        <v>8206.7999999999993</v>
      </c>
      <c r="ET35">
        <f ca="1"/>
        <v>8272.6</v>
      </c>
      <c r="EU35">
        <f ca="1"/>
        <v>8471.4</v>
      </c>
      <c r="EV35">
        <f ca="1"/>
        <v>8584.7999999999993</v>
      </c>
      <c r="EW35">
        <f ca="1"/>
        <v>8499.4</v>
      </c>
      <c r="EX35">
        <f ca="1"/>
        <v>8586.1999999999989</v>
      </c>
      <c r="EY35">
        <f ca="1"/>
        <v>8703.8000000000011</v>
      </c>
      <c r="EZ35">
        <f ca="1"/>
        <v>8824.2000000000007</v>
      </c>
      <c r="FA35">
        <f ca="1"/>
        <v>8664.6</v>
      </c>
      <c r="FB35">
        <f ca="1"/>
        <v>8822.8000000000011</v>
      </c>
      <c r="FC35">
        <f ca="1"/>
        <v>8771</v>
      </c>
      <c r="FD35">
        <f ca="1"/>
        <v>8778</v>
      </c>
      <c r="FE35">
        <f ca="1"/>
        <v>8680</v>
      </c>
      <c r="FF35">
        <f ca="1"/>
        <v>8764</v>
      </c>
      <c r="FG35">
        <f ca="1"/>
        <v>8638</v>
      </c>
      <c r="FH35">
        <f ca="1"/>
        <v>8517.6</v>
      </c>
      <c r="FI35">
        <f ca="1"/>
        <v>8703.8000000000011</v>
      </c>
      <c r="FJ35">
        <f ca="1"/>
        <v>8703.8000000000011</v>
      </c>
      <c r="FK35">
        <f ca="1"/>
        <v>8654.7999999999993</v>
      </c>
      <c r="FL35">
        <f ca="1"/>
        <v>8598.8000000000011</v>
      </c>
      <c r="FM35">
        <f ca="1"/>
        <v>8577.8000000000011</v>
      </c>
      <c r="FN35">
        <f ca="1"/>
        <v>8598.8000000000011</v>
      </c>
      <c r="FO35">
        <f ca="1"/>
        <v>8569.4</v>
      </c>
      <c r="FP35">
        <f ca="1"/>
        <v>8625.4</v>
      </c>
      <c r="FQ35">
        <f ca="1"/>
        <v>8625.4</v>
      </c>
      <c r="FR35">
        <f ca="1"/>
        <v>8646.4</v>
      </c>
      <c r="FS35">
        <f ca="1"/>
        <v>8747.1999999999989</v>
      </c>
      <c r="FT35">
        <f ca="1"/>
        <v>8660.4</v>
      </c>
      <c r="FU35">
        <f ca="1"/>
        <v>8664.6</v>
      </c>
      <c r="FV35">
        <f ca="1"/>
        <v>8617</v>
      </c>
      <c r="FW35">
        <f ca="1"/>
        <v>8603</v>
      </c>
      <c r="FX35">
        <f ca="1"/>
        <v>8667.4</v>
      </c>
      <c r="FY35">
        <f ca="1"/>
        <v>8681.4</v>
      </c>
      <c r="FZ35">
        <f ca="1"/>
        <v>8687</v>
      </c>
      <c r="GA35">
        <f ca="1"/>
        <v>8692.6</v>
      </c>
      <c r="GB35">
        <f ca="1"/>
        <v>8583.4</v>
      </c>
      <c r="GC35">
        <f ca="1"/>
        <v>8527.4</v>
      </c>
      <c r="GD35">
        <f ca="1"/>
        <v>8512</v>
      </c>
      <c r="GE35">
        <f ca="1"/>
        <v>8545.6</v>
      </c>
      <c r="GF35">
        <f ca="1"/>
        <v>8657.6</v>
      </c>
      <c r="GG35">
        <f ca="1"/>
        <v>8785</v>
      </c>
      <c r="GH35">
        <f ca="1"/>
        <v>8727.6</v>
      </c>
      <c r="GI35">
        <f ca="1"/>
        <v>8803.2000000000007</v>
      </c>
      <c r="GJ35">
        <f ca="1"/>
        <v>8722</v>
      </c>
      <c r="GK35">
        <f ca="1"/>
        <v>8761.1999999999989</v>
      </c>
      <c r="GL35">
        <f ca="1"/>
        <v>8748.6</v>
      </c>
      <c r="GM35">
        <f ca="1"/>
        <v>8667.4</v>
      </c>
      <c r="GN35">
        <f ca="1"/>
        <v>8778</v>
      </c>
      <c r="GO35">
        <f ca="1"/>
        <v>8731.7999999999993</v>
      </c>
      <c r="GP35">
        <f ca="1"/>
        <v>8814.4</v>
      </c>
      <c r="GQ35">
        <f ca="1"/>
        <v>8741.6</v>
      </c>
      <c r="GR35">
        <f ca="1"/>
        <v>8628.2000000000007</v>
      </c>
      <c r="GS35">
        <f ca="1"/>
        <v>8591.7999999999993</v>
      </c>
      <c r="GT35">
        <f ca="1"/>
        <v>8671.6</v>
      </c>
      <c r="GU35">
        <f ca="1"/>
        <v>8577.8000000000011</v>
      </c>
      <c r="GV35">
        <f ca="1"/>
        <v>8808.8000000000011</v>
      </c>
      <c r="GW35">
        <f ca="1"/>
        <v>9164.4</v>
      </c>
      <c r="GX35">
        <f ca="1"/>
        <v>9380</v>
      </c>
      <c r="GY35">
        <f ca="1"/>
        <v>9347.7999999999993</v>
      </c>
      <c r="GZ35">
        <f ca="1"/>
        <v>9392.6</v>
      </c>
      <c r="HA35">
        <f ca="1"/>
        <v>9350.6</v>
      </c>
      <c r="HB35">
        <f ca="1"/>
        <v>9207.7999999999993</v>
      </c>
      <c r="HC35">
        <f ca="1"/>
        <v>9279.2000000000007</v>
      </c>
      <c r="HD35">
        <f ca="1"/>
        <v>9514.4</v>
      </c>
      <c r="HE35">
        <f ca="1"/>
        <v>9500.4</v>
      </c>
      <c r="HF35">
        <f ca="1"/>
        <v>9588.5999999999985</v>
      </c>
      <c r="HG35">
        <f ca="1"/>
        <v>9613.8000000000011</v>
      </c>
      <c r="HH35">
        <f ca="1"/>
        <v>9601.1999999999989</v>
      </c>
      <c r="HI35">
        <f ca="1"/>
        <v>9416.4000000000015</v>
      </c>
      <c r="HJ35">
        <f ca="1"/>
        <v>9696.4000000000015</v>
      </c>
      <c r="HK35">
        <f ca="1"/>
        <v>9452.7999999999993</v>
      </c>
      <c r="HL35">
        <f ca="1"/>
        <v>8932</v>
      </c>
      <c r="HM35">
        <f ca="1"/>
        <v>8975.4</v>
      </c>
      <c r="HN35">
        <f ca="1"/>
        <v>8850.7999999999993</v>
      </c>
      <c r="HO35">
        <f ca="1"/>
        <v>8930.6</v>
      </c>
      <c r="HP35">
        <f ca="1"/>
        <v>8853.6</v>
      </c>
      <c r="HQ35">
        <f ca="1"/>
        <v>8745.7999999999993</v>
      </c>
      <c r="HR35">
        <f ca="1"/>
        <v>8664.6</v>
      </c>
      <c r="HS35">
        <f ca="1"/>
        <v>8720.6</v>
      </c>
      <c r="HT35">
        <f ca="1"/>
        <v>8832.6</v>
      </c>
      <c r="HU35">
        <f ca="1"/>
        <v>8839.6</v>
      </c>
      <c r="HV35">
        <f ca="1"/>
        <v>8692.6</v>
      </c>
      <c r="HW35">
        <f ca="1"/>
        <v>8691.1999999999989</v>
      </c>
      <c r="HX35">
        <f ca="1"/>
        <v>8864.7999999999993</v>
      </c>
      <c r="HY35">
        <f ca="1"/>
        <v>9013.1999999999989</v>
      </c>
      <c r="HZ35">
        <f ca="1"/>
        <v>8929.2000000000007</v>
      </c>
      <c r="IA35">
        <f ca="1"/>
        <v>8836.7999999999993</v>
      </c>
      <c r="IB35">
        <f ca="1"/>
        <v>8661.7999999999993</v>
      </c>
      <c r="IC35">
        <f ca="1"/>
        <v>8660.4</v>
      </c>
      <c r="ID35">
        <f ca="1"/>
        <v>8860.6</v>
      </c>
      <c r="IE35">
        <f ca="1"/>
        <v>8761.1999999999989</v>
      </c>
      <c r="IF35">
        <f ca="1"/>
        <v>8738.8000000000011</v>
      </c>
      <c r="IG35">
        <f ca="1"/>
        <v>8712.1999999999989</v>
      </c>
      <c r="IH35">
        <f ca="1"/>
        <v>8832.6</v>
      </c>
      <c r="II35">
        <f ca="1"/>
        <v>8913.8000000000011</v>
      </c>
      <c r="IJ35">
        <f ca="1"/>
        <v>8878.8000000000011</v>
      </c>
      <c r="IK35">
        <f ca="1"/>
        <v>8965.6</v>
      </c>
      <c r="IL35">
        <f ca="1"/>
        <v>9042.6</v>
      </c>
      <c r="IM35">
        <f ca="1"/>
        <v>9066.4000000000015</v>
      </c>
      <c r="IN35">
        <f ca="1"/>
        <v>9039.7999999999993</v>
      </c>
      <c r="IO35">
        <f ca="1"/>
        <v>9123.8000000000011</v>
      </c>
      <c r="IP35">
        <f ca="1"/>
        <v>8926.4</v>
      </c>
      <c r="IQ35">
        <f ca="1"/>
        <v>8849.4</v>
      </c>
      <c r="IR35">
        <f ca="1"/>
        <v>8708</v>
      </c>
      <c r="IS35">
        <f ca="1"/>
        <v>8593.2000000000007</v>
      </c>
      <c r="IT35">
        <f ca="1"/>
        <v>8706.6</v>
      </c>
      <c r="IU35">
        <f ca="1"/>
        <v>8542.8000000000011</v>
      </c>
      <c r="IV35">
        <f ca="1"/>
        <v>8566.6</v>
      </c>
      <c r="IW35">
        <f ca="1"/>
        <v>8636.6</v>
      </c>
    </row>
    <row r="36" spans="2:257" x14ac:dyDescent="0.25">
      <c r="B36" t="str">
        <f t="shared" si="408"/>
        <v>20K6HZ6</v>
      </c>
      <c r="C36" t="s">
        <v>160</v>
      </c>
      <c r="D36" t="e" vm="1152">
        <v>#VALUE!</v>
      </c>
      <c r="E36" t="str" cm="1">
        <f t="array" aca="1" ref="E36" ca="1">_FV(D36,"Code mnémonique",TRUE)</f>
        <v>LEV</v>
      </c>
      <c r="F36" s="12" t="e">
        <f>_xlfn.XLOOKUP(D36,Titres[Action],Titres[Nb d''actions])</f>
        <v>#N/A</v>
      </c>
      <c r="G36" t="str" cm="1">
        <f t="array" aca="1" ref="G36" ca="1">IFERROR(TRANSPOSE(_xlfn.STOCKHISTORY(D36,TODAY()-365,TODAY(),0,0,1))*F36,"")</f>
        <v/>
      </c>
      <c r="H36"/>
    </row>
    <row r="37" spans="2:257" x14ac:dyDescent="0.25">
      <c r="B37" t="str">
        <f t="shared" si="408"/>
        <v>20K6HZ6</v>
      </c>
      <c r="C37" t="s">
        <v>160</v>
      </c>
      <c r="D37" t="e" vm="552">
        <v>#VALUE!</v>
      </c>
      <c r="E37" t="str" cm="1">
        <f t="array" aca="1" ref="E37" ca="1">_FV(D37,"Code mnémonique",TRUE)</f>
        <v>MFC</v>
      </c>
      <c r="F37" s="12">
        <f>_xlfn.XLOOKUP(D37,Titres[Action],Titres[Nb d''actions])</f>
        <v>125</v>
      </c>
      <c r="G37" cm="1">
        <f t="array" aca="1" ref="G37:IW37" ca="1">IFERROR(TRANSPOSE(_xlfn.STOCKHISTORY(D37,TODAY()-365,TODAY(),0,0,1))*F37,"")</f>
        <v>4915</v>
      </c>
      <c r="H37">
        <f ca="1"/>
        <v>5048.75</v>
      </c>
      <c r="I37">
        <f ca="1"/>
        <v>5165</v>
      </c>
      <c r="J37">
        <f ca="1"/>
        <v>5231.25</v>
      </c>
      <c r="K37">
        <f ca="1"/>
        <v>5241.25</v>
      </c>
      <c r="L37">
        <f ca="1"/>
        <v>5267.5</v>
      </c>
      <c r="M37">
        <f ca="1"/>
        <v>5307.5</v>
      </c>
      <c r="N37">
        <f ca="1"/>
        <v>5281.25</v>
      </c>
      <c r="O37">
        <f ca="1"/>
        <v>5337.5</v>
      </c>
      <c r="P37">
        <f ca="1"/>
        <v>5446.25</v>
      </c>
      <c r="Q37">
        <f ca="1"/>
        <v>5406.25</v>
      </c>
      <c r="R37">
        <f ca="1"/>
        <v>5386.25</v>
      </c>
      <c r="S37">
        <f ca="1"/>
        <v>5428.75</v>
      </c>
      <c r="T37">
        <f ca="1"/>
        <v>5425</v>
      </c>
      <c r="U37">
        <f ca="1"/>
        <v>5360</v>
      </c>
      <c r="V37">
        <f ca="1"/>
        <v>5527.5</v>
      </c>
      <c r="W37">
        <f ca="1"/>
        <v>5535</v>
      </c>
      <c r="X37">
        <f ca="1"/>
        <v>5547.5</v>
      </c>
      <c r="Y37">
        <f ca="1"/>
        <v>5566.25</v>
      </c>
      <c r="Z37">
        <f ca="1"/>
        <v>5596.25</v>
      </c>
      <c r="AA37">
        <f ca="1"/>
        <v>5533.75</v>
      </c>
      <c r="AB37">
        <f ca="1"/>
        <v>5335</v>
      </c>
      <c r="AC37">
        <f ca="1"/>
        <v>5367.5</v>
      </c>
      <c r="AD37">
        <f ca="1"/>
        <v>5353.75</v>
      </c>
      <c r="AE37">
        <f ca="1"/>
        <v>5402.5</v>
      </c>
      <c r="AF37">
        <f ca="1"/>
        <v>5490</v>
      </c>
      <c r="AG37">
        <f ca="1"/>
        <v>5451.25</v>
      </c>
      <c r="AH37">
        <f ca="1"/>
        <v>5478.75</v>
      </c>
      <c r="AI37">
        <f ca="1"/>
        <v>5462.5</v>
      </c>
      <c r="AJ37">
        <f ca="1"/>
        <v>5473.75</v>
      </c>
      <c r="AK37">
        <f ca="1"/>
        <v>5482.5</v>
      </c>
      <c r="AL37">
        <f ca="1"/>
        <v>5466.25</v>
      </c>
      <c r="AM37">
        <f ca="1"/>
        <v>5478.75</v>
      </c>
      <c r="AN37">
        <f ca="1"/>
        <v>5552.5</v>
      </c>
      <c r="AO37">
        <f ca="1"/>
        <v>5535</v>
      </c>
      <c r="AP37">
        <f ca="1"/>
        <v>5480</v>
      </c>
      <c r="AQ37">
        <f ca="1"/>
        <v>5466.25</v>
      </c>
      <c r="AR37">
        <f ca="1"/>
        <v>5467.5</v>
      </c>
      <c r="AS37">
        <f ca="1"/>
        <v>5292.5</v>
      </c>
      <c r="AT37">
        <f ca="1"/>
        <v>5297.5</v>
      </c>
      <c r="AU37">
        <f ca="1"/>
        <v>5265</v>
      </c>
      <c r="AV37">
        <f ca="1"/>
        <v>5242.5</v>
      </c>
      <c r="AW37">
        <f ca="1"/>
        <v>5263.75</v>
      </c>
      <c r="AX37">
        <f ca="1"/>
        <v>5266.25</v>
      </c>
      <c r="AY37">
        <f ca="1"/>
        <v>5372.5</v>
      </c>
      <c r="AZ37">
        <f ca="1"/>
        <v>5410</v>
      </c>
      <c r="BA37">
        <f ca="1"/>
        <v>5367.5</v>
      </c>
      <c r="BB37">
        <f ca="1"/>
        <v>5468.75</v>
      </c>
      <c r="BC37">
        <f ca="1"/>
        <v>5478.75</v>
      </c>
      <c r="BD37">
        <f ca="1"/>
        <v>5442.5</v>
      </c>
      <c r="BE37">
        <f ca="1"/>
        <v>5342.5</v>
      </c>
      <c r="BF37">
        <f ca="1"/>
        <v>5356.25</v>
      </c>
      <c r="BG37">
        <f ca="1"/>
        <v>5348.75</v>
      </c>
      <c r="BH37">
        <f ca="1"/>
        <v>5231.25</v>
      </c>
      <c r="BI37">
        <f ca="1"/>
        <v>5217.5</v>
      </c>
      <c r="BJ37">
        <f ca="1"/>
        <v>5216.25</v>
      </c>
      <c r="BK37">
        <f ca="1"/>
        <v>5248.75</v>
      </c>
      <c r="BL37">
        <f ca="1"/>
        <v>5213.75</v>
      </c>
      <c r="BM37">
        <f ca="1"/>
        <v>5217.5</v>
      </c>
      <c r="BN37">
        <f ca="1"/>
        <v>5186.25</v>
      </c>
      <c r="BO37">
        <f ca="1"/>
        <v>5211.25</v>
      </c>
      <c r="BP37">
        <f ca="1"/>
        <v>5310</v>
      </c>
      <c r="BQ37">
        <f ca="1"/>
        <v>5286.25</v>
      </c>
      <c r="BR37">
        <f ca="1"/>
        <v>5218.75</v>
      </c>
      <c r="BS37">
        <f ca="1"/>
        <v>5236.25</v>
      </c>
      <c r="BT37">
        <f ca="1"/>
        <v>5322.5</v>
      </c>
      <c r="BU37">
        <f ca="1"/>
        <v>5306.25</v>
      </c>
      <c r="BV37">
        <f ca="1"/>
        <v>5362.5</v>
      </c>
      <c r="BW37">
        <f ca="1"/>
        <v>5400</v>
      </c>
      <c r="BX37">
        <f ca="1"/>
        <v>5418.75</v>
      </c>
      <c r="BY37">
        <f ca="1"/>
        <v>5310</v>
      </c>
      <c r="BZ37">
        <f ca="1"/>
        <v>5358.75</v>
      </c>
      <c r="CA37">
        <f ca="1"/>
        <v>5252.5</v>
      </c>
      <c r="CB37">
        <f ca="1"/>
        <v>5302.5</v>
      </c>
      <c r="CC37">
        <f ca="1"/>
        <v>5375</v>
      </c>
      <c r="CD37">
        <f ca="1"/>
        <v>5167.5</v>
      </c>
      <c r="CE37">
        <f ca="1"/>
        <v>5176.25</v>
      </c>
      <c r="CF37">
        <f ca="1"/>
        <v>5148.75</v>
      </c>
      <c r="CG37">
        <f ca="1"/>
        <v>5193.75</v>
      </c>
      <c r="CH37">
        <f ca="1"/>
        <v>5245</v>
      </c>
      <c r="CI37">
        <f ca="1"/>
        <v>5281.25</v>
      </c>
      <c r="CJ37">
        <f ca="1"/>
        <v>5250</v>
      </c>
      <c r="CK37">
        <f ca="1"/>
        <v>5286.25</v>
      </c>
      <c r="CL37">
        <f ca="1"/>
        <v>5268.75</v>
      </c>
      <c r="CM37">
        <f ca="1"/>
        <v>5217.5</v>
      </c>
      <c r="CN37">
        <f ca="1"/>
        <v>5225</v>
      </c>
      <c r="CO37">
        <f ca="1"/>
        <v>5311.25</v>
      </c>
      <c r="CP37">
        <f ca="1"/>
        <v>5208.75</v>
      </c>
      <c r="CQ37">
        <f ca="1"/>
        <v>5203.75</v>
      </c>
      <c r="CR37">
        <f ca="1"/>
        <v>5227.5</v>
      </c>
      <c r="CS37">
        <f ca="1"/>
        <v>5275</v>
      </c>
      <c r="CT37">
        <f ca="1"/>
        <v>5281.25</v>
      </c>
      <c r="CU37">
        <f ca="1"/>
        <v>5252.5</v>
      </c>
      <c r="CV37">
        <f ca="1"/>
        <v>5258.75</v>
      </c>
      <c r="CW37">
        <f ca="1"/>
        <v>5341.25</v>
      </c>
      <c r="CX37">
        <f ca="1"/>
        <v>5310</v>
      </c>
      <c r="CY37">
        <f ca="1"/>
        <v>5308.75</v>
      </c>
      <c r="CZ37">
        <f ca="1"/>
        <v>5348.75</v>
      </c>
      <c r="DA37">
        <f ca="1"/>
        <v>5352.5</v>
      </c>
      <c r="DB37">
        <f ca="1"/>
        <v>5495</v>
      </c>
      <c r="DC37">
        <f ca="1"/>
        <v>5517.5</v>
      </c>
      <c r="DD37">
        <f ca="1"/>
        <v>5566.25</v>
      </c>
      <c r="DE37">
        <f ca="1"/>
        <v>5410</v>
      </c>
      <c r="DF37">
        <f ca="1"/>
        <v>5338.75</v>
      </c>
      <c r="DG37">
        <f ca="1"/>
        <v>5411.25</v>
      </c>
      <c r="DH37">
        <f ca="1"/>
        <v>5446.25</v>
      </c>
      <c r="DI37">
        <f ca="1"/>
        <v>5482.5</v>
      </c>
      <c r="DJ37">
        <f ca="1"/>
        <v>5377.5</v>
      </c>
      <c r="DK37">
        <f ca="1"/>
        <v>5381.25</v>
      </c>
      <c r="DL37">
        <f ca="1"/>
        <v>5346.25</v>
      </c>
      <c r="DM37">
        <f ca="1"/>
        <v>5361.25</v>
      </c>
      <c r="DN37">
        <f ca="1"/>
        <v>5396.25</v>
      </c>
      <c r="DO37">
        <f ca="1"/>
        <v>5420</v>
      </c>
      <c r="DP37">
        <f ca="1"/>
        <v>5481.25</v>
      </c>
      <c r="DQ37">
        <f ca="1"/>
        <v>5480</v>
      </c>
      <c r="DR37">
        <f ca="1"/>
        <v>5571.25</v>
      </c>
      <c r="DS37">
        <f ca="1"/>
        <v>5627.5</v>
      </c>
      <c r="DT37">
        <f ca="1"/>
        <v>5603.75</v>
      </c>
      <c r="DU37">
        <f ca="1"/>
        <v>5681.25</v>
      </c>
      <c r="DV37">
        <f ca="1"/>
        <v>5597.5</v>
      </c>
      <c r="DW37">
        <f ca="1"/>
        <v>5551.25</v>
      </c>
      <c r="DX37">
        <f ca="1"/>
        <v>5675</v>
      </c>
      <c r="DY37">
        <f ca="1"/>
        <v>5646.25</v>
      </c>
      <c r="DZ37">
        <f ca="1"/>
        <v>5562.5</v>
      </c>
      <c r="EA37">
        <f ca="1"/>
        <v>5542.5</v>
      </c>
      <c r="EB37">
        <f ca="1"/>
        <v>5588.75</v>
      </c>
      <c r="EC37">
        <f ca="1"/>
        <v>5570</v>
      </c>
      <c r="ED37">
        <f ca="1"/>
        <v>5572.5</v>
      </c>
      <c r="EE37">
        <f ca="1"/>
        <v>5630</v>
      </c>
      <c r="EF37">
        <f ca="1"/>
        <v>5708.75</v>
      </c>
      <c r="EG37">
        <f ca="1"/>
        <v>5755</v>
      </c>
      <c r="EH37">
        <f ca="1"/>
        <v>5722.5</v>
      </c>
      <c r="EI37">
        <f ca="1"/>
        <v>5675</v>
      </c>
      <c r="EJ37">
        <f ca="1"/>
        <v>5621.25</v>
      </c>
      <c r="EK37">
        <f ca="1"/>
        <v>5673.75</v>
      </c>
      <c r="EL37">
        <f ca="1"/>
        <v>5802.5</v>
      </c>
      <c r="EM37">
        <f ca="1"/>
        <v>5785</v>
      </c>
      <c r="EN37">
        <f ca="1"/>
        <v>5877.5</v>
      </c>
      <c r="EO37">
        <f ca="1"/>
        <v>5852.5</v>
      </c>
      <c r="EP37">
        <f ca="1"/>
        <v>5856.25</v>
      </c>
      <c r="EQ37">
        <f ca="1"/>
        <v>5856.25</v>
      </c>
      <c r="ER37">
        <f ca="1"/>
        <v>5875</v>
      </c>
      <c r="ES37">
        <f ca="1"/>
        <v>6030</v>
      </c>
      <c r="ET37">
        <f ca="1"/>
        <v>6037.5</v>
      </c>
      <c r="EU37">
        <f ca="1"/>
        <v>6032.5</v>
      </c>
      <c r="EV37">
        <f ca="1"/>
        <v>5935</v>
      </c>
      <c r="EW37">
        <f ca="1"/>
        <v>5868.75</v>
      </c>
      <c r="EX37">
        <f ca="1"/>
        <v>5957.5</v>
      </c>
      <c r="EY37">
        <f ca="1"/>
        <v>5975</v>
      </c>
      <c r="EZ37">
        <f ca="1"/>
        <v>6082.5</v>
      </c>
      <c r="FA37">
        <f ca="1"/>
        <v>6160</v>
      </c>
      <c r="FB37">
        <f ca="1"/>
        <v>6225</v>
      </c>
      <c r="FC37">
        <f ca="1"/>
        <v>6101.25</v>
      </c>
      <c r="FD37">
        <f ca="1"/>
        <v>6127.5</v>
      </c>
      <c r="FE37">
        <f ca="1"/>
        <v>6183.75</v>
      </c>
      <c r="FF37">
        <f ca="1"/>
        <v>6151.25</v>
      </c>
      <c r="FG37">
        <f ca="1"/>
        <v>6112.5</v>
      </c>
      <c r="FH37">
        <f ca="1"/>
        <v>6123.75</v>
      </c>
      <c r="FI37">
        <f ca="1"/>
        <v>6155</v>
      </c>
      <c r="FJ37">
        <f ca="1"/>
        <v>6103.75</v>
      </c>
      <c r="FK37">
        <f ca="1"/>
        <v>6057.5</v>
      </c>
      <c r="FL37">
        <f ca="1"/>
        <v>6102.5</v>
      </c>
      <c r="FM37">
        <f ca="1"/>
        <v>6122.5</v>
      </c>
      <c r="FN37">
        <f ca="1"/>
        <v>6135</v>
      </c>
      <c r="FO37">
        <f ca="1"/>
        <v>6106.25</v>
      </c>
      <c r="FP37">
        <f ca="1"/>
        <v>6153.75</v>
      </c>
      <c r="FQ37">
        <f ca="1"/>
        <v>6180</v>
      </c>
      <c r="FR37">
        <f ca="1"/>
        <v>6137.5</v>
      </c>
      <c r="FS37">
        <f ca="1"/>
        <v>6233.75</v>
      </c>
      <c r="FT37">
        <f ca="1"/>
        <v>6240</v>
      </c>
      <c r="FU37">
        <f ca="1"/>
        <v>6280</v>
      </c>
      <c r="FV37">
        <f ca="1"/>
        <v>6295</v>
      </c>
      <c r="FW37">
        <f ca="1"/>
        <v>6265</v>
      </c>
      <c r="FX37">
        <f ca="1"/>
        <v>6278.75</v>
      </c>
      <c r="FY37">
        <f ca="1"/>
        <v>6257.5</v>
      </c>
      <c r="FZ37">
        <f ca="1"/>
        <v>6230</v>
      </c>
      <c r="GA37">
        <f ca="1"/>
        <v>6225</v>
      </c>
      <c r="GB37">
        <f ca="1"/>
        <v>6320</v>
      </c>
      <c r="GC37">
        <f ca="1"/>
        <v>6455</v>
      </c>
      <c r="GD37">
        <f ca="1"/>
        <v>6338.75</v>
      </c>
      <c r="GE37">
        <f ca="1"/>
        <v>6435</v>
      </c>
      <c r="GF37">
        <f ca="1"/>
        <v>6500</v>
      </c>
      <c r="GG37">
        <f ca="1"/>
        <v>6442.5</v>
      </c>
      <c r="GH37">
        <f ca="1"/>
        <v>6386.25</v>
      </c>
      <c r="GI37">
        <f ca="1"/>
        <v>6473.75</v>
      </c>
      <c r="GJ37">
        <f ca="1"/>
        <v>6535</v>
      </c>
      <c r="GK37">
        <f ca="1"/>
        <v>6505</v>
      </c>
      <c r="GL37">
        <f ca="1"/>
        <v>6518.75</v>
      </c>
      <c r="GM37">
        <f ca="1"/>
        <v>6328.75</v>
      </c>
      <c r="GN37">
        <f ca="1"/>
        <v>6403.75</v>
      </c>
      <c r="GO37">
        <f ca="1"/>
        <v>6327.5</v>
      </c>
      <c r="GP37">
        <f ca="1"/>
        <v>6331.25</v>
      </c>
      <c r="GQ37">
        <f ca="1"/>
        <v>6361.25</v>
      </c>
      <c r="GR37">
        <f ca="1"/>
        <v>6338.75</v>
      </c>
      <c r="GS37">
        <f ca="1"/>
        <v>6393.75</v>
      </c>
      <c r="GT37">
        <f ca="1"/>
        <v>6497.5</v>
      </c>
      <c r="GU37">
        <f ca="1"/>
        <v>6483.75</v>
      </c>
      <c r="GV37">
        <f ca="1"/>
        <v>6557.5</v>
      </c>
      <c r="GW37">
        <f ca="1"/>
        <v>6488.75</v>
      </c>
      <c r="GX37">
        <f ca="1"/>
        <v>6361.25</v>
      </c>
      <c r="GY37">
        <f ca="1"/>
        <v>6405</v>
      </c>
      <c r="GZ37">
        <f ca="1"/>
        <v>6496.25</v>
      </c>
      <c r="HA37">
        <f ca="1"/>
        <v>6446.25</v>
      </c>
      <c r="HB37">
        <f ca="1"/>
        <v>6481.25</v>
      </c>
      <c r="HC37">
        <f ca="1"/>
        <v>6425</v>
      </c>
      <c r="HD37">
        <f ca="1"/>
        <v>6087.5</v>
      </c>
      <c r="HE37">
        <f ca="1"/>
        <v>6258.75</v>
      </c>
      <c r="HF37">
        <f ca="1"/>
        <v>6341.25</v>
      </c>
      <c r="HG37">
        <f ca="1"/>
        <v>6330</v>
      </c>
      <c r="HH37">
        <f ca="1"/>
        <v>6196.25</v>
      </c>
      <c r="HI37">
        <f ca="1"/>
        <v>6270</v>
      </c>
      <c r="HJ37">
        <f ca="1"/>
        <v>6153.75</v>
      </c>
      <c r="HK37">
        <f ca="1"/>
        <v>6130</v>
      </c>
      <c r="HL37">
        <f ca="1"/>
        <v>6056.25</v>
      </c>
      <c r="HM37">
        <f ca="1"/>
        <v>6126.25</v>
      </c>
      <c r="HN37">
        <f ca="1"/>
        <v>6071.25</v>
      </c>
      <c r="HO37">
        <f ca="1"/>
        <v>5975</v>
      </c>
      <c r="HP37">
        <f ca="1"/>
        <v>5862.5</v>
      </c>
      <c r="HQ37">
        <f ca="1"/>
        <v>5936.25</v>
      </c>
      <c r="HR37">
        <f ca="1"/>
        <v>5876.25</v>
      </c>
      <c r="HS37">
        <f ca="1"/>
        <v>5716.25</v>
      </c>
      <c r="HT37">
        <f ca="1"/>
        <v>5667.5</v>
      </c>
      <c r="HU37">
        <f ca="1"/>
        <v>5735</v>
      </c>
      <c r="HV37">
        <f ca="1"/>
        <v>5733.75</v>
      </c>
      <c r="HW37">
        <f ca="1"/>
        <v>5711.25</v>
      </c>
      <c r="HX37">
        <f ca="1"/>
        <v>5737.5</v>
      </c>
      <c r="HY37">
        <f ca="1"/>
        <v>5832.5</v>
      </c>
      <c r="HZ37">
        <f ca="1"/>
        <v>5913.75</v>
      </c>
      <c r="IA37">
        <f ca="1"/>
        <v>5881.25</v>
      </c>
      <c r="IB37">
        <f ca="1"/>
        <v>5821.25</v>
      </c>
      <c r="IC37">
        <f ca="1"/>
        <v>5806.25</v>
      </c>
      <c r="ID37">
        <f ca="1"/>
        <v>5898.75</v>
      </c>
      <c r="IE37">
        <f ca="1"/>
        <v>5927.5</v>
      </c>
      <c r="IF37">
        <f ca="1"/>
        <v>5977.5</v>
      </c>
      <c r="IG37">
        <f ca="1"/>
        <v>5966.25</v>
      </c>
      <c r="IH37">
        <f ca="1"/>
        <v>5842.5</v>
      </c>
      <c r="II37">
        <f ca="1"/>
        <v>5855</v>
      </c>
      <c r="IJ37">
        <f ca="1"/>
        <v>5990</v>
      </c>
      <c r="IK37">
        <f ca="1"/>
        <v>6040</v>
      </c>
      <c r="IL37">
        <f ca="1"/>
        <v>6071.25</v>
      </c>
      <c r="IM37">
        <f ca="1"/>
        <v>6118.75</v>
      </c>
      <c r="IN37">
        <f ca="1"/>
        <v>6121.25</v>
      </c>
      <c r="IO37">
        <f ca="1"/>
        <v>6308.75</v>
      </c>
      <c r="IP37">
        <f ca="1"/>
        <v>6322.5</v>
      </c>
      <c r="IQ37">
        <f ca="1"/>
        <v>6320</v>
      </c>
      <c r="IR37">
        <f ca="1"/>
        <v>6423.75</v>
      </c>
      <c r="IS37">
        <f ca="1"/>
        <v>6522.5</v>
      </c>
      <c r="IT37">
        <f ca="1"/>
        <v>6666.25</v>
      </c>
      <c r="IU37">
        <f ca="1"/>
        <v>6622.5</v>
      </c>
      <c r="IV37">
        <f ca="1"/>
        <v>6650</v>
      </c>
      <c r="IW37">
        <f ca="1"/>
        <v>6583.75</v>
      </c>
    </row>
    <row r="38" spans="2:257" x14ac:dyDescent="0.25">
      <c r="B38" t="str">
        <f t="shared" si="408"/>
        <v>20K6HZ6</v>
      </c>
      <c r="C38" t="s">
        <v>160</v>
      </c>
      <c r="D38" t="e" vm="516">
        <v>#VALUE!</v>
      </c>
      <c r="E38" t="str" cm="1">
        <f t="array" aca="1" ref="E38" ca="1">_FV(D38,"Code mnémonique",TRUE)</f>
        <v>NA</v>
      </c>
      <c r="F38" s="12">
        <f>_xlfn.XLOOKUP(D38,Titres[Action],Titres[Nb d''actions])</f>
        <v>81</v>
      </c>
      <c r="G38" cm="1">
        <f t="array" aca="1" ref="G38:IW38" ca="1">IFERROR(TRANSPOSE(_xlfn.STOCKHISTORY(D38,TODAY()-365,TODAY(),0,0,1))*F38,"")</f>
        <v>9331.2000000000007</v>
      </c>
      <c r="H38">
        <f ca="1"/>
        <v>9467.2799999999988</v>
      </c>
      <c r="I38">
        <f ca="1"/>
        <v>9522.36</v>
      </c>
      <c r="J38">
        <f ca="1"/>
        <v>9596.880000000001</v>
      </c>
      <c r="K38">
        <f ca="1"/>
        <v>9617.130000000001</v>
      </c>
      <c r="L38">
        <f ca="1"/>
        <v>9670.59</v>
      </c>
      <c r="M38">
        <f ca="1"/>
        <v>9738.630000000001</v>
      </c>
      <c r="N38">
        <f ca="1"/>
        <v>9807.48</v>
      </c>
      <c r="O38">
        <f ca="1"/>
        <v>9808.2900000000009</v>
      </c>
      <c r="P38">
        <f ca="1"/>
        <v>9882</v>
      </c>
      <c r="Q38">
        <f ca="1"/>
        <v>9919.26</v>
      </c>
      <c r="R38">
        <f ca="1"/>
        <v>9920.880000000001</v>
      </c>
      <c r="S38">
        <f ca="1"/>
        <v>10019.700000000001</v>
      </c>
      <c r="T38">
        <f ca="1"/>
        <v>10071.540000000001</v>
      </c>
      <c r="U38">
        <f ca="1"/>
        <v>10123.380000000001</v>
      </c>
      <c r="V38">
        <f ca="1"/>
        <v>10207.619999999999</v>
      </c>
      <c r="W38">
        <f ca="1"/>
        <v>10223.01</v>
      </c>
      <c r="X38">
        <f ca="1"/>
        <v>10214.91</v>
      </c>
      <c r="Y38">
        <f ca="1"/>
        <v>10338.84</v>
      </c>
      <c r="Z38">
        <f ca="1"/>
        <v>10416.6</v>
      </c>
      <c r="AA38">
        <f ca="1"/>
        <v>10393.92</v>
      </c>
      <c r="AB38">
        <f ca="1"/>
        <v>10463.58</v>
      </c>
      <c r="AC38">
        <f ca="1"/>
        <v>10391.49</v>
      </c>
      <c r="AD38">
        <f ca="1"/>
        <v>10459.529999999999</v>
      </c>
      <c r="AE38">
        <f ca="1"/>
        <v>10438.470000000001</v>
      </c>
      <c r="AF38">
        <f ca="1"/>
        <v>10478.160000000002</v>
      </c>
      <c r="AG38">
        <f ca="1"/>
        <v>10877.49</v>
      </c>
      <c r="AH38">
        <f ca="1"/>
        <v>10819.17</v>
      </c>
      <c r="AI38">
        <f ca="1"/>
        <v>10940.67</v>
      </c>
      <c r="AJ38">
        <f ca="1"/>
        <v>10820.79</v>
      </c>
      <c r="AK38">
        <f ca="1"/>
        <v>10875.06</v>
      </c>
      <c r="AL38">
        <f ca="1"/>
        <v>10885.589999999998</v>
      </c>
      <c r="AM38">
        <f ca="1"/>
        <v>10813.5</v>
      </c>
      <c r="AN38">
        <f ca="1"/>
        <v>10837.800000000001</v>
      </c>
      <c r="AO38">
        <f ca="1"/>
        <v>10925.279999999999</v>
      </c>
      <c r="AP38">
        <f ca="1"/>
        <v>10893.69</v>
      </c>
      <c r="AQ38">
        <f ca="1"/>
        <v>10894.5</v>
      </c>
      <c r="AR38">
        <f ca="1"/>
        <v>10935</v>
      </c>
      <c r="AS38">
        <f ca="1"/>
        <v>10969.019999999999</v>
      </c>
      <c r="AT38">
        <f ca="1"/>
        <v>11011.14</v>
      </c>
      <c r="AU38">
        <f ca="1"/>
        <v>10978.74</v>
      </c>
      <c r="AV38">
        <f ca="1"/>
        <v>10942.29</v>
      </c>
      <c r="AW38">
        <f ca="1"/>
        <v>10932.57</v>
      </c>
      <c r="AX38">
        <f ca="1"/>
        <v>10967.4</v>
      </c>
      <c r="AY38">
        <f ca="1"/>
        <v>11075.94</v>
      </c>
      <c r="AZ38">
        <f ca="1"/>
        <v>11122.92</v>
      </c>
      <c r="BA38">
        <f ca="1"/>
        <v>11143.980000000001</v>
      </c>
      <c r="BB38">
        <f ca="1"/>
        <v>11243.61</v>
      </c>
      <c r="BC38">
        <f ca="1"/>
        <v>11310.839999999998</v>
      </c>
      <c r="BD38">
        <f ca="1"/>
        <v>11382.12</v>
      </c>
      <c r="BE38">
        <f ca="1"/>
        <v>11412.089999999998</v>
      </c>
      <c r="BF38">
        <f ca="1"/>
        <v>11463.93</v>
      </c>
      <c r="BG38">
        <f ca="1"/>
        <v>11454.21</v>
      </c>
      <c r="BH38">
        <f ca="1"/>
        <v>11422.62</v>
      </c>
      <c r="BI38">
        <f ca="1"/>
        <v>11354.58</v>
      </c>
      <c r="BJ38">
        <f ca="1"/>
        <v>11442.87</v>
      </c>
      <c r="BK38">
        <f ca="1"/>
        <v>11438.82</v>
      </c>
      <c r="BL38">
        <f ca="1"/>
        <v>11408.85</v>
      </c>
      <c r="BM38">
        <f ca="1"/>
        <v>11421</v>
      </c>
      <c r="BN38">
        <f ca="1"/>
        <v>11372.4</v>
      </c>
      <c r="BO38">
        <f ca="1"/>
        <v>11463.93</v>
      </c>
      <c r="BP38">
        <f ca="1"/>
        <v>11561.94</v>
      </c>
      <c r="BQ38">
        <f ca="1"/>
        <v>11612.160000000002</v>
      </c>
      <c r="BR38">
        <f ca="1"/>
        <v>11545.74</v>
      </c>
      <c r="BS38">
        <f ca="1"/>
        <v>11566.800000000001</v>
      </c>
      <c r="BT38">
        <f ca="1"/>
        <v>11659.14</v>
      </c>
      <c r="BU38">
        <f ca="1"/>
        <v>11715.839999999998</v>
      </c>
      <c r="BV38">
        <f ca="1"/>
        <v>11714.220000000001</v>
      </c>
      <c r="BW38">
        <f ca="1"/>
        <v>11700.449999999999</v>
      </c>
      <c r="BX38">
        <f ca="1"/>
        <v>11741.76</v>
      </c>
      <c r="BY38">
        <f ca="1"/>
        <v>11668.86</v>
      </c>
      <c r="BZ38">
        <f ca="1"/>
        <v>11674.529999999999</v>
      </c>
      <c r="CA38">
        <f ca="1"/>
        <v>11615.4</v>
      </c>
      <c r="CB38">
        <f ca="1"/>
        <v>11726.37</v>
      </c>
      <c r="CC38">
        <f ca="1"/>
        <v>11758.769999999999</v>
      </c>
      <c r="CD38">
        <f ca="1"/>
        <v>11826</v>
      </c>
      <c r="CE38">
        <f ca="1"/>
        <v>11881.89</v>
      </c>
      <c r="CF38">
        <f ca="1"/>
        <v>11902.14</v>
      </c>
      <c r="CG38">
        <f ca="1"/>
        <v>11995.29</v>
      </c>
      <c r="CH38">
        <f ca="1"/>
        <v>12076.29</v>
      </c>
      <c r="CI38">
        <f ca="1"/>
        <v>12144.33</v>
      </c>
      <c r="CJ38">
        <f ca="1"/>
        <v>12191.31</v>
      </c>
      <c r="CK38">
        <f ca="1"/>
        <v>12201.029999999999</v>
      </c>
      <c r="CL38">
        <f ca="1"/>
        <v>12232.62</v>
      </c>
      <c r="CM38">
        <f ca="1"/>
        <v>12171.87</v>
      </c>
      <c r="CN38">
        <f ca="1"/>
        <v>12216.42</v>
      </c>
      <c r="CO38">
        <f ca="1"/>
        <v>12275.550000000001</v>
      </c>
      <c r="CP38">
        <f ca="1"/>
        <v>12193.74</v>
      </c>
      <c r="CQ38">
        <f ca="1"/>
        <v>12183.21</v>
      </c>
      <c r="CR38">
        <f ca="1"/>
        <v>11721.51</v>
      </c>
      <c r="CS38">
        <f ca="1"/>
        <v>11616.21</v>
      </c>
      <c r="CT38">
        <f ca="1"/>
        <v>11693.160000000002</v>
      </c>
      <c r="CU38">
        <f ca="1"/>
        <v>11722.32</v>
      </c>
      <c r="CV38">
        <f ca="1"/>
        <v>11709.36</v>
      </c>
      <c r="CW38">
        <f ca="1"/>
        <v>11697.21</v>
      </c>
      <c r="CX38">
        <f ca="1"/>
        <v>11818.71</v>
      </c>
      <c r="CY38">
        <f ca="1"/>
        <v>11816.279999999999</v>
      </c>
      <c r="CZ38">
        <f ca="1"/>
        <v>11936.970000000001</v>
      </c>
      <c r="DA38">
        <f ca="1"/>
        <v>12013.11</v>
      </c>
      <c r="DB38">
        <f ca="1"/>
        <v>12109.5</v>
      </c>
      <c r="DC38">
        <f ca="1"/>
        <v>12105.449999999999</v>
      </c>
      <c r="DD38">
        <f ca="1"/>
        <v>12201.839999999998</v>
      </c>
      <c r="DE38">
        <f ca="1"/>
        <v>12179.970000000001</v>
      </c>
      <c r="DF38">
        <f ca="1"/>
        <v>12174.300000000001</v>
      </c>
      <c r="DG38">
        <f ca="1"/>
        <v>12163.769999999999</v>
      </c>
      <c r="DH38">
        <f ca="1"/>
        <v>12312</v>
      </c>
      <c r="DI38">
        <f ca="1"/>
        <v>12307.949999999999</v>
      </c>
      <c r="DJ38">
        <f ca="1"/>
        <v>12281.220000000001</v>
      </c>
      <c r="DK38">
        <f ca="1"/>
        <v>12354.93</v>
      </c>
      <c r="DL38">
        <f ca="1"/>
        <v>12141.9</v>
      </c>
      <c r="DM38">
        <f ca="1"/>
        <v>12201.839999999998</v>
      </c>
      <c r="DN38">
        <f ca="1"/>
        <v>12062.519999999999</v>
      </c>
      <c r="DO38">
        <f ca="1"/>
        <v>11974.230000000001</v>
      </c>
      <c r="DP38">
        <f ca="1"/>
        <v>12104.64</v>
      </c>
      <c r="DQ38">
        <f ca="1"/>
        <v>12090.87</v>
      </c>
      <c r="DR38">
        <f ca="1"/>
        <v>12246.39</v>
      </c>
      <c r="DS38">
        <f ca="1"/>
        <v>12242.339999999998</v>
      </c>
      <c r="DT38">
        <f ca="1"/>
        <v>12247.199999999999</v>
      </c>
      <c r="DU38">
        <f ca="1"/>
        <v>12096.54</v>
      </c>
      <c r="DV38">
        <f ca="1"/>
        <v>12160.529999999999</v>
      </c>
      <c r="DW38">
        <f ca="1"/>
        <v>12131.37</v>
      </c>
      <c r="DX38">
        <f ca="1"/>
        <v>12255.300000000001</v>
      </c>
      <c r="DY38">
        <f ca="1"/>
        <v>12307.14</v>
      </c>
      <c r="DZ38">
        <f ca="1"/>
        <v>12289.32</v>
      </c>
      <c r="EA38">
        <f ca="1"/>
        <v>12230.19</v>
      </c>
      <c r="EB38">
        <f ca="1"/>
        <v>12350.88</v>
      </c>
      <c r="EC38">
        <f ca="1"/>
        <v>12372.75</v>
      </c>
      <c r="ED38">
        <f ca="1"/>
        <v>12321.720000000001</v>
      </c>
      <c r="EE38">
        <f ca="1"/>
        <v>12379.230000000001</v>
      </c>
      <c r="EF38">
        <f ca="1"/>
        <v>12511.26</v>
      </c>
      <c r="EG38">
        <f ca="1"/>
        <v>12610.89</v>
      </c>
      <c r="EH38">
        <f ca="1"/>
        <v>12682.980000000001</v>
      </c>
      <c r="EI38">
        <f ca="1"/>
        <v>12555.81</v>
      </c>
      <c r="EJ38">
        <f ca="1"/>
        <v>12615.75</v>
      </c>
      <c r="EK38">
        <f ca="1"/>
        <v>12692.699999999999</v>
      </c>
      <c r="EL38">
        <f ca="1"/>
        <v>12815.01</v>
      </c>
      <c r="EM38">
        <f ca="1"/>
        <v>12763.17</v>
      </c>
      <c r="EN38">
        <f ca="1"/>
        <v>12804.480000000001</v>
      </c>
      <c r="EO38">
        <f ca="1"/>
        <v>12707.279999999999</v>
      </c>
      <c r="EP38">
        <f ca="1"/>
        <v>12729.96</v>
      </c>
      <c r="EQ38">
        <f ca="1"/>
        <v>12837.69</v>
      </c>
      <c r="ER38">
        <f ca="1"/>
        <v>13035.33</v>
      </c>
      <c r="ES38">
        <f ca="1"/>
        <v>13205.43</v>
      </c>
      <c r="ET38">
        <f ca="1"/>
        <v>13129.29</v>
      </c>
      <c r="EU38">
        <f ca="1"/>
        <v>13105.800000000001</v>
      </c>
      <c r="EV38">
        <f ca="1"/>
        <v>13098.51</v>
      </c>
      <c r="EW38">
        <f ca="1"/>
        <v>13084.74</v>
      </c>
      <c r="EX38">
        <f ca="1"/>
        <v>13131.720000000001</v>
      </c>
      <c r="EY38">
        <f ca="1"/>
        <v>13100.13</v>
      </c>
      <c r="EZ38">
        <f ca="1"/>
        <v>13169.79</v>
      </c>
      <c r="FA38">
        <f ca="1"/>
        <v>13255.65</v>
      </c>
      <c r="FB38">
        <f ca="1"/>
        <v>13404.69</v>
      </c>
      <c r="FC38">
        <f ca="1"/>
        <v>13586.94</v>
      </c>
      <c r="FD38">
        <f ca="1"/>
        <v>13629.06</v>
      </c>
      <c r="FE38">
        <f ca="1"/>
        <v>13684.949999999999</v>
      </c>
      <c r="FF38">
        <f ca="1"/>
        <v>13616.910000000002</v>
      </c>
      <c r="FG38">
        <f ca="1"/>
        <v>13860.720000000001</v>
      </c>
      <c r="FH38">
        <f ca="1"/>
        <v>13640.4</v>
      </c>
      <c r="FI38">
        <f ca="1"/>
        <v>13956.300000000001</v>
      </c>
      <c r="FJ38">
        <f ca="1"/>
        <v>13831.56</v>
      </c>
      <c r="FK38">
        <f ca="1"/>
        <v>13920.660000000002</v>
      </c>
      <c r="FL38">
        <f ca="1"/>
        <v>13995.18</v>
      </c>
      <c r="FM38">
        <f ca="1"/>
        <v>14023.529999999999</v>
      </c>
      <c r="FN38">
        <f ca="1"/>
        <v>13977.36</v>
      </c>
      <c r="FO38">
        <f ca="1"/>
        <v>13982.220000000001</v>
      </c>
      <c r="FP38">
        <f ca="1"/>
        <v>14030.01</v>
      </c>
      <c r="FQ38">
        <f ca="1"/>
        <v>14100.480000000001</v>
      </c>
      <c r="FR38">
        <f ca="1"/>
        <v>13957.92</v>
      </c>
      <c r="FS38">
        <f ca="1"/>
        <v>14059.17</v>
      </c>
      <c r="FT38">
        <f ca="1"/>
        <v>14258.43</v>
      </c>
      <c r="FU38">
        <f ca="1"/>
        <v>14233.32</v>
      </c>
      <c r="FV38">
        <f ca="1"/>
        <v>14213.88</v>
      </c>
      <c r="FW38">
        <f ca="1"/>
        <v>14264.1</v>
      </c>
      <c r="FX38">
        <f ca="1"/>
        <v>14192.82</v>
      </c>
      <c r="FY38">
        <f ca="1"/>
        <v>14068.08</v>
      </c>
      <c r="FZ38">
        <f ca="1"/>
        <v>13981.410000000002</v>
      </c>
      <c r="GA38">
        <f ca="1"/>
        <v>14033.25</v>
      </c>
      <c r="GB38">
        <f ca="1"/>
        <v>14221.17</v>
      </c>
      <c r="GC38">
        <f ca="1"/>
        <v>14170.949999999999</v>
      </c>
      <c r="GD38">
        <f ca="1"/>
        <v>14017.050000000001</v>
      </c>
      <c r="GE38">
        <f ca="1"/>
        <v>13938.480000000001</v>
      </c>
      <c r="GF38">
        <f ca="1"/>
        <v>14085.089999999998</v>
      </c>
      <c r="GG38">
        <f ca="1"/>
        <v>13984.65</v>
      </c>
      <c r="GH38">
        <f ca="1"/>
        <v>13948.199999999999</v>
      </c>
      <c r="GI38">
        <f ca="1"/>
        <v>13782.15</v>
      </c>
      <c r="GJ38">
        <f ca="1"/>
        <v>13765.949999999999</v>
      </c>
      <c r="GK38">
        <f ca="1"/>
        <v>13720.589999999998</v>
      </c>
      <c r="GL38">
        <f ca="1"/>
        <v>13703.58</v>
      </c>
      <c r="GM38">
        <f ca="1"/>
        <v>13535.910000000002</v>
      </c>
      <c r="GN38">
        <f ca="1"/>
        <v>13501.89</v>
      </c>
      <c r="GO38">
        <f ca="1"/>
        <v>13441.14</v>
      </c>
      <c r="GP38">
        <f ca="1"/>
        <v>13435.470000000001</v>
      </c>
      <c r="GQ38">
        <f ca="1"/>
        <v>13386.87</v>
      </c>
      <c r="GR38">
        <f ca="1"/>
        <v>13118.76</v>
      </c>
      <c r="GS38">
        <f ca="1"/>
        <v>13138.199999999999</v>
      </c>
      <c r="GT38">
        <f ca="1"/>
        <v>13258.08</v>
      </c>
      <c r="GU38">
        <f ca="1"/>
        <v>13142.25</v>
      </c>
      <c r="GV38">
        <f ca="1"/>
        <v>13279.14</v>
      </c>
      <c r="GW38">
        <f ca="1"/>
        <v>13324.5</v>
      </c>
      <c r="GX38">
        <f ca="1"/>
        <v>13519.71</v>
      </c>
      <c r="GY38">
        <f ca="1"/>
        <v>13617.720000000001</v>
      </c>
      <c r="GZ38">
        <f ca="1"/>
        <v>13694.67</v>
      </c>
      <c r="HA38">
        <f ca="1"/>
        <v>13953.06</v>
      </c>
      <c r="HB38">
        <f ca="1"/>
        <v>14027.58</v>
      </c>
      <c r="HC38">
        <f ca="1"/>
        <v>14046.21</v>
      </c>
      <c r="HD38">
        <f ca="1"/>
        <v>13952.25</v>
      </c>
      <c r="HE38">
        <f ca="1"/>
        <v>14157.18</v>
      </c>
      <c r="HF38">
        <f ca="1"/>
        <v>13999.230000000001</v>
      </c>
      <c r="HG38">
        <f ca="1"/>
        <v>14296.5</v>
      </c>
      <c r="HH38">
        <f ca="1"/>
        <v>14298.93</v>
      </c>
      <c r="HI38">
        <f ca="1"/>
        <v>14474.699999999999</v>
      </c>
      <c r="HJ38">
        <f ca="1"/>
        <v>14454.449999999999</v>
      </c>
      <c r="HK38">
        <f ca="1"/>
        <v>14374.26</v>
      </c>
      <c r="HL38">
        <f ca="1"/>
        <v>15327.63</v>
      </c>
      <c r="HM38">
        <f ca="1"/>
        <v>15585.21</v>
      </c>
      <c r="HN38">
        <f ca="1"/>
        <v>15419.970000000001</v>
      </c>
      <c r="HO38">
        <f ca="1"/>
        <v>15454.800000000001</v>
      </c>
      <c r="HP38">
        <f ca="1"/>
        <v>15469.38</v>
      </c>
      <c r="HQ38">
        <f ca="1"/>
        <v>15552.81</v>
      </c>
      <c r="HR38">
        <f ca="1"/>
        <v>15434.550000000001</v>
      </c>
      <c r="HS38">
        <f ca="1"/>
        <v>15087.06</v>
      </c>
      <c r="HT38">
        <f ca="1"/>
        <v>15033.6</v>
      </c>
      <c r="HU38">
        <f ca="1"/>
        <v>14899.14</v>
      </c>
      <c r="HV38">
        <f ca="1"/>
        <v>14945.31</v>
      </c>
      <c r="HW38">
        <f ca="1"/>
        <v>14687.730000000001</v>
      </c>
      <c r="HX38">
        <f ca="1"/>
        <v>14626.17</v>
      </c>
      <c r="HY38">
        <f ca="1"/>
        <v>14809.230000000001</v>
      </c>
      <c r="HZ38">
        <f ca="1"/>
        <v>14831.910000000002</v>
      </c>
      <c r="IA38">
        <f ca="1"/>
        <v>14726.61</v>
      </c>
      <c r="IB38">
        <f ca="1"/>
        <v>14438.25</v>
      </c>
      <c r="IC38">
        <f ca="1"/>
        <v>14184.720000000001</v>
      </c>
      <c r="ID38">
        <f ca="1"/>
        <v>14513.58</v>
      </c>
      <c r="IE38">
        <f ca="1"/>
        <v>14537.88</v>
      </c>
      <c r="IF38">
        <f ca="1"/>
        <v>14679.63</v>
      </c>
      <c r="IG38">
        <f ca="1"/>
        <v>14503.86</v>
      </c>
      <c r="IH38">
        <f ca="1"/>
        <v>14376.69</v>
      </c>
      <c r="II38">
        <f ca="1"/>
        <v>14197.68</v>
      </c>
      <c r="IJ38">
        <f ca="1"/>
        <v>14580.81</v>
      </c>
      <c r="IK38">
        <f ca="1"/>
        <v>14929.11</v>
      </c>
      <c r="IL38">
        <f ca="1"/>
        <v>14985.81</v>
      </c>
      <c r="IM38">
        <f ca="1"/>
        <v>15111.36</v>
      </c>
      <c r="IN38">
        <f ca="1"/>
        <v>15158.339999999998</v>
      </c>
      <c r="IO38">
        <f ca="1"/>
        <v>15411.87</v>
      </c>
      <c r="IP38">
        <f ca="1"/>
        <v>15674.31</v>
      </c>
      <c r="IQ38">
        <f ca="1"/>
        <v>15853.32</v>
      </c>
      <c r="IR38">
        <f ca="1"/>
        <v>16000.74</v>
      </c>
      <c r="IS38">
        <f ca="1"/>
        <v>16123.050000000001</v>
      </c>
      <c r="IT38">
        <f ca="1"/>
        <v>16273.71</v>
      </c>
      <c r="IU38">
        <f ca="1"/>
        <v>16125.480000000001</v>
      </c>
      <c r="IV38">
        <f ca="1"/>
        <v>16436.52</v>
      </c>
      <c r="IW38">
        <f ca="1"/>
        <v>16498.080000000002</v>
      </c>
    </row>
    <row r="39" spans="2:257" x14ac:dyDescent="0.25">
      <c r="B39" t="str">
        <f t="shared" si="408"/>
        <v>20K6HZ6</v>
      </c>
      <c r="C39" t="s">
        <v>160</v>
      </c>
      <c r="D39" t="e" vm="553">
        <v>#VALUE!</v>
      </c>
      <c r="E39" t="str" cm="1">
        <f t="array" aca="1" ref="E39" ca="1">_FV(D39,"Code mnémonique",TRUE)</f>
        <v>NTR</v>
      </c>
      <c r="F39" s="12">
        <f>_xlfn.XLOOKUP(D39,Titres[Action],Titres[Nb d''actions])</f>
        <v>53</v>
      </c>
      <c r="G39" cm="1">
        <f t="array" aca="1" ref="G39:IW39" ca="1">IFERROR(TRANSPOSE(_xlfn.STOCKHISTORY(D39,TODAY()-365,TODAY(),0,0,1))*F39,"")</f>
        <v>3854.69</v>
      </c>
      <c r="H39">
        <f ca="1"/>
        <v>3917.23</v>
      </c>
      <c r="I39">
        <f ca="1"/>
        <v>3906.6299999999997</v>
      </c>
      <c r="J39">
        <f ca="1"/>
        <v>3944.26</v>
      </c>
      <c r="K39">
        <f ca="1"/>
        <v>3971.8199999999997</v>
      </c>
      <c r="L39">
        <f ca="1"/>
        <v>4070.3999999999996</v>
      </c>
      <c r="M39">
        <f ca="1"/>
        <v>4166.8600000000006</v>
      </c>
      <c r="N39">
        <f ca="1"/>
        <v>4171.1000000000004</v>
      </c>
      <c r="O39">
        <f ca="1"/>
        <v>4165.7999999999993</v>
      </c>
      <c r="P39">
        <f ca="1"/>
        <v>4161.0300000000007</v>
      </c>
      <c r="Q39">
        <f ca="1"/>
        <v>4114.92</v>
      </c>
      <c r="R39">
        <f ca="1"/>
        <v>4122.34</v>
      </c>
      <c r="S39">
        <f ca="1"/>
        <v>4155.2000000000007</v>
      </c>
      <c r="T39">
        <f ca="1"/>
        <v>4038.0699999999997</v>
      </c>
      <c r="U39">
        <f ca="1"/>
        <v>4106.4400000000005</v>
      </c>
      <c r="V39">
        <f ca="1"/>
        <v>4165.2700000000004</v>
      </c>
      <c r="W39">
        <f ca="1"/>
        <v>4286.1100000000006</v>
      </c>
      <c r="X39">
        <f ca="1"/>
        <v>4220.92</v>
      </c>
      <c r="Y39">
        <f ca="1"/>
        <v>4251.13</v>
      </c>
      <c r="Z39">
        <f ca="1"/>
        <v>4289.29</v>
      </c>
      <c r="AA39">
        <f ca="1"/>
        <v>4327.9799999999996</v>
      </c>
      <c r="AB39">
        <f ca="1"/>
        <v>4382.57</v>
      </c>
      <c r="AC39">
        <f ca="1"/>
        <v>4327.9799999999996</v>
      </c>
      <c r="AD39">
        <f ca="1"/>
        <v>4339.6399999999994</v>
      </c>
      <c r="AE39">
        <f ca="1"/>
        <v>4316.8500000000004</v>
      </c>
      <c r="AF39">
        <f ca="1"/>
        <v>4378.33</v>
      </c>
      <c r="AG39">
        <f ca="1"/>
        <v>4367.2000000000007</v>
      </c>
      <c r="AH39">
        <f ca="1"/>
        <v>4302.01</v>
      </c>
      <c r="AI39">
        <f ca="1"/>
        <v>4297.24</v>
      </c>
      <c r="AJ39">
        <f ca="1"/>
        <v>4371.4400000000005</v>
      </c>
      <c r="AK39">
        <f ca="1"/>
        <v>4346.5300000000007</v>
      </c>
      <c r="AL39">
        <f ca="1"/>
        <v>4373.5599999999995</v>
      </c>
      <c r="AM39">
        <f ca="1"/>
        <v>4366.67</v>
      </c>
      <c r="AN39">
        <f ca="1"/>
        <v>4337.5200000000004</v>
      </c>
      <c r="AO39">
        <f ca="1"/>
        <v>4387.87</v>
      </c>
      <c r="AP39">
        <f ca="1"/>
        <v>4338.58</v>
      </c>
      <c r="AQ39">
        <f ca="1"/>
        <v>4361.37</v>
      </c>
      <c r="AR39">
        <f ca="1"/>
        <v>4361.37</v>
      </c>
      <c r="AS39">
        <f ca="1"/>
        <v>4527.26</v>
      </c>
      <c r="AT39">
        <f ca="1"/>
        <v>4520.37</v>
      </c>
      <c r="AU39">
        <f ca="1"/>
        <v>4481.1499999999996</v>
      </c>
      <c r="AV39">
        <f ca="1"/>
        <v>4526.2000000000007</v>
      </c>
      <c r="AW39">
        <f ca="1"/>
        <v>4472.67</v>
      </c>
      <c r="AX39">
        <f ca="1"/>
        <v>4441.93</v>
      </c>
      <c r="AY39">
        <f ca="1"/>
        <v>4392.1100000000006</v>
      </c>
      <c r="AZ39">
        <f ca="1"/>
        <v>4323.21</v>
      </c>
      <c r="BA39">
        <f ca="1"/>
        <v>4266.5</v>
      </c>
      <c r="BB39">
        <f ca="1"/>
        <v>4197.6000000000004</v>
      </c>
      <c r="BC39">
        <f ca="1"/>
        <v>4221.9799999999996</v>
      </c>
      <c r="BD39">
        <f ca="1"/>
        <v>4205.5499999999993</v>
      </c>
      <c r="BE39">
        <f ca="1"/>
        <v>4319.5</v>
      </c>
      <c r="BF39">
        <f ca="1"/>
        <v>4349.71</v>
      </c>
      <c r="BG39">
        <f ca="1"/>
        <v>4373.0300000000007</v>
      </c>
      <c r="BH39">
        <f ca="1"/>
        <v>4400.0599999999995</v>
      </c>
      <c r="BI39">
        <f ca="1"/>
        <v>4451.4699999999993</v>
      </c>
      <c r="BJ39">
        <f ca="1"/>
        <v>4507.12</v>
      </c>
      <c r="BK39">
        <f ca="1"/>
        <v>4405.8899999999994</v>
      </c>
      <c r="BL39">
        <f ca="1"/>
        <v>4422.32</v>
      </c>
      <c r="BM39">
        <f ca="1"/>
        <v>4424.9699999999993</v>
      </c>
      <c r="BN39">
        <f ca="1"/>
        <v>4357.66</v>
      </c>
      <c r="BO39">
        <f ca="1"/>
        <v>4241.59</v>
      </c>
      <c r="BP39">
        <f ca="1"/>
        <v>4249.01</v>
      </c>
      <c r="BQ39">
        <f ca="1"/>
        <v>4364.0200000000004</v>
      </c>
      <c r="BR39">
        <f ca="1"/>
        <v>4296.18</v>
      </c>
      <c r="BS39">
        <f ca="1"/>
        <v>4330.63</v>
      </c>
      <c r="BT39">
        <f ca="1"/>
        <v>4371.4400000000005</v>
      </c>
      <c r="BU39">
        <f ca="1"/>
        <v>4361.37</v>
      </c>
      <c r="BV39">
        <f ca="1"/>
        <v>4365.08</v>
      </c>
      <c r="BW39">
        <f ca="1"/>
        <v>4338.58</v>
      </c>
      <c r="BX39">
        <f ca="1"/>
        <v>4412.25</v>
      </c>
      <c r="BY39">
        <f ca="1"/>
        <v>4355.01</v>
      </c>
      <c r="BZ39">
        <f ca="1"/>
        <v>4357.13</v>
      </c>
      <c r="CA39">
        <f ca="1"/>
        <v>4280.8099999999995</v>
      </c>
      <c r="CB39">
        <f ca="1"/>
        <v>4315.26</v>
      </c>
      <c r="CC39">
        <f ca="1"/>
        <v>4225.6900000000005</v>
      </c>
      <c r="CD39">
        <f ca="1"/>
        <v>4057.6800000000003</v>
      </c>
      <c r="CE39">
        <f ca="1"/>
        <v>4061.39</v>
      </c>
      <c r="CF39">
        <f ca="1"/>
        <v>4112.7999999999993</v>
      </c>
      <c r="CG39">
        <f ca="1"/>
        <v>4094.25</v>
      </c>
      <c r="CH39">
        <f ca="1"/>
        <v>4149.8999999999996</v>
      </c>
      <c r="CI39">
        <f ca="1"/>
        <v>4167.3899999999994</v>
      </c>
      <c r="CJ39">
        <f ca="1"/>
        <v>4183.82</v>
      </c>
      <c r="CK39">
        <f ca="1"/>
        <v>4148.84</v>
      </c>
      <c r="CL39">
        <f ca="1"/>
        <v>4174.2800000000007</v>
      </c>
      <c r="CM39">
        <f ca="1"/>
        <v>4191.7700000000004</v>
      </c>
      <c r="CN39">
        <f ca="1"/>
        <v>4245.2999999999993</v>
      </c>
      <c r="CO39">
        <f ca="1"/>
        <v>4242.6499999999996</v>
      </c>
      <c r="CP39">
        <f ca="1"/>
        <v>4281.34</v>
      </c>
      <c r="CQ39">
        <f ca="1"/>
        <v>4296.18</v>
      </c>
      <c r="CR39">
        <f ca="1"/>
        <v>4252.7199999999993</v>
      </c>
      <c r="CS39">
        <f ca="1"/>
        <v>4285.58</v>
      </c>
      <c r="CT39">
        <f ca="1"/>
        <v>4194.9500000000007</v>
      </c>
      <c r="CU39">
        <f ca="1"/>
        <v>4210.8500000000004</v>
      </c>
      <c r="CV39">
        <f ca="1"/>
        <v>4154.67</v>
      </c>
      <c r="CW39">
        <f ca="1"/>
        <v>4175.87</v>
      </c>
      <c r="CX39">
        <f ca="1"/>
        <v>4142.4799999999996</v>
      </c>
      <c r="CY39">
        <f ca="1"/>
        <v>4197.07</v>
      </c>
      <c r="CZ39">
        <f ca="1"/>
        <v>4147.7800000000007</v>
      </c>
      <c r="DA39">
        <f ca="1"/>
        <v>4222.51</v>
      </c>
      <c r="DB39">
        <f ca="1"/>
        <v>4189.6499999999996</v>
      </c>
      <c r="DC39">
        <f ca="1"/>
        <v>4180.6399999999994</v>
      </c>
      <c r="DD39">
        <f ca="1"/>
        <v>4168.4500000000007</v>
      </c>
      <c r="DE39">
        <f ca="1"/>
        <v>4135.59</v>
      </c>
      <c r="DF39">
        <f ca="1"/>
        <v>4123.3999999999996</v>
      </c>
      <c r="DG39">
        <f ca="1"/>
        <v>4112.2700000000004</v>
      </c>
      <c r="DH39">
        <f ca="1"/>
        <v>4141.42</v>
      </c>
      <c r="DI39">
        <f ca="1"/>
        <v>4176.3999999999996</v>
      </c>
      <c r="DJ39">
        <f ca="1"/>
        <v>4136.6499999999996</v>
      </c>
      <c r="DK39">
        <f ca="1"/>
        <v>4350.7700000000004</v>
      </c>
      <c r="DL39">
        <f ca="1"/>
        <v>4298.2999999999993</v>
      </c>
      <c r="DM39">
        <f ca="1"/>
        <v>4344.41</v>
      </c>
      <c r="DN39">
        <f ca="1"/>
        <v>4260.67</v>
      </c>
      <c r="DO39">
        <f ca="1"/>
        <v>4331.6900000000005</v>
      </c>
      <c r="DP39">
        <f ca="1"/>
        <v>4184.3500000000004</v>
      </c>
      <c r="DQ39">
        <f ca="1"/>
        <v>4419.67</v>
      </c>
      <c r="DR39">
        <f ca="1"/>
        <v>4387.87</v>
      </c>
      <c r="DS39">
        <f ca="1"/>
        <v>4461.01</v>
      </c>
      <c r="DT39">
        <f ca="1"/>
        <v>4484.8600000000006</v>
      </c>
      <c r="DU39">
        <f ca="1"/>
        <v>4469.49</v>
      </c>
      <c r="DV39">
        <f ca="1"/>
        <v>4545.2800000000007</v>
      </c>
      <c r="DW39">
        <f ca="1"/>
        <v>4443.5200000000004</v>
      </c>
      <c r="DX39">
        <f ca="1"/>
        <v>4316.32</v>
      </c>
      <c r="DY39">
        <f ca="1"/>
        <v>4327.9799999999996</v>
      </c>
      <c r="DZ39">
        <f ca="1"/>
        <v>4201.3099999999995</v>
      </c>
      <c r="EA39">
        <f ca="1"/>
        <v>4264.91</v>
      </c>
      <c r="EB39">
        <f ca="1"/>
        <v>4282.93</v>
      </c>
      <c r="EC39">
        <f ca="1"/>
        <v>4163.68</v>
      </c>
      <c r="ED39">
        <f ca="1"/>
        <v>4209.79</v>
      </c>
      <c r="EE39">
        <f ca="1"/>
        <v>4286.1100000000006</v>
      </c>
      <c r="EF39">
        <f ca="1"/>
        <v>4315.26</v>
      </c>
      <c r="EG39">
        <f ca="1"/>
        <v>4267.0300000000007</v>
      </c>
      <c r="EH39">
        <f ca="1"/>
        <v>4210.8500000000004</v>
      </c>
      <c r="EI39">
        <f ca="1"/>
        <v>4171.63</v>
      </c>
      <c r="EJ39">
        <f ca="1"/>
        <v>4028.53</v>
      </c>
      <c r="EK39">
        <f ca="1"/>
        <v>4048.67</v>
      </c>
      <c r="EL39">
        <f ca="1"/>
        <v>4064.0400000000004</v>
      </c>
      <c r="EM39">
        <f ca="1"/>
        <v>4005.74</v>
      </c>
      <c r="EN39">
        <f ca="1"/>
        <v>4041.25</v>
      </c>
      <c r="EO39">
        <f ca="1"/>
        <v>4161.5599999999995</v>
      </c>
      <c r="EP39">
        <f ca="1"/>
        <v>4230.99</v>
      </c>
      <c r="EQ39">
        <f ca="1"/>
        <v>4379.3899999999994</v>
      </c>
      <c r="ER39">
        <f ca="1"/>
        <v>4407.4799999999996</v>
      </c>
      <c r="ES39">
        <f ca="1"/>
        <v>4464.1900000000005</v>
      </c>
      <c r="ET39">
        <f ca="1"/>
        <v>4378.33</v>
      </c>
      <c r="EU39">
        <f ca="1"/>
        <v>4415.43</v>
      </c>
      <c r="EV39">
        <f ca="1"/>
        <v>4244.7700000000004</v>
      </c>
      <c r="EW39">
        <f ca="1"/>
        <v>4247.42</v>
      </c>
      <c r="EX39">
        <f ca="1"/>
        <v>4170.04</v>
      </c>
      <c r="EY39">
        <f ca="1"/>
        <v>4113.8600000000006</v>
      </c>
      <c r="EZ39">
        <f ca="1"/>
        <v>4192.83</v>
      </c>
      <c r="FA39">
        <f ca="1"/>
        <v>4205.5499999999993</v>
      </c>
      <c r="FB39">
        <f ca="1"/>
        <v>4245.83</v>
      </c>
      <c r="FC39">
        <f ca="1"/>
        <v>4269.68</v>
      </c>
      <c r="FD39">
        <f ca="1"/>
        <v>4276.04</v>
      </c>
      <c r="FE39">
        <f ca="1"/>
        <v>4308.8999999999996</v>
      </c>
      <c r="FF39">
        <f ca="1"/>
        <v>4465.25</v>
      </c>
      <c r="FG39">
        <f ca="1"/>
        <v>4392.1100000000006</v>
      </c>
      <c r="FH39">
        <f ca="1"/>
        <v>4440.34</v>
      </c>
      <c r="FI39">
        <f ca="1"/>
        <v>4438.75</v>
      </c>
      <c r="FJ39">
        <f ca="1"/>
        <v>4420.2000000000007</v>
      </c>
      <c r="FK39">
        <f ca="1"/>
        <v>4342.29</v>
      </c>
      <c r="FL39">
        <f ca="1"/>
        <v>4304.66</v>
      </c>
      <c r="FM39">
        <f ca="1"/>
        <v>4313.1399999999994</v>
      </c>
      <c r="FN39">
        <f ca="1"/>
        <v>4450.9400000000005</v>
      </c>
      <c r="FO39">
        <f ca="1"/>
        <v>4582.38</v>
      </c>
      <c r="FP39">
        <f ca="1"/>
        <v>4513.4799999999996</v>
      </c>
      <c r="FQ39">
        <f ca="1"/>
        <v>4505</v>
      </c>
      <c r="FR39">
        <f ca="1"/>
        <v>4623.7199999999993</v>
      </c>
      <c r="FS39">
        <f ca="1"/>
        <v>4501.82</v>
      </c>
      <c r="FT39">
        <f ca="1"/>
        <v>4548.99</v>
      </c>
      <c r="FU39">
        <f ca="1"/>
        <v>4568.6000000000004</v>
      </c>
      <c r="FV39">
        <f ca="1"/>
        <v>4617.8899999999994</v>
      </c>
      <c r="FW39">
        <f ca="1"/>
        <v>4602.5200000000004</v>
      </c>
      <c r="FX39">
        <f ca="1"/>
        <v>4552.7000000000007</v>
      </c>
      <c r="FY39">
        <f ca="1"/>
        <v>4536.7999999999993</v>
      </c>
      <c r="FZ39">
        <f ca="1"/>
        <v>4490.16</v>
      </c>
      <c r="GA39">
        <f ca="1"/>
        <v>4599.87</v>
      </c>
      <c r="GB39">
        <f ca="1"/>
        <v>4530.9699999999993</v>
      </c>
      <c r="GC39">
        <f ca="1"/>
        <v>4438.75</v>
      </c>
      <c r="GD39">
        <f ca="1"/>
        <v>4332.75</v>
      </c>
      <c r="GE39">
        <f ca="1"/>
        <v>4395.29</v>
      </c>
      <c r="GF39">
        <f ca="1"/>
        <v>4413.84</v>
      </c>
      <c r="GG39">
        <f ca="1"/>
        <v>4365.6100000000006</v>
      </c>
      <c r="GH39">
        <f ca="1"/>
        <v>4510.83</v>
      </c>
      <c r="GI39">
        <f ca="1"/>
        <v>4871.2299999999996</v>
      </c>
      <c r="GJ39">
        <f ca="1"/>
        <v>4996.3099999999995</v>
      </c>
      <c r="GK39">
        <f ca="1"/>
        <v>4896.1399999999994</v>
      </c>
      <c r="GL39">
        <f ca="1"/>
        <v>4891.37</v>
      </c>
      <c r="GM39">
        <f ca="1"/>
        <v>4928.4699999999993</v>
      </c>
      <c r="GN39">
        <f ca="1"/>
        <v>5036.0599999999995</v>
      </c>
      <c r="GO39">
        <f ca="1"/>
        <v>4977.76</v>
      </c>
      <c r="GP39">
        <f ca="1"/>
        <v>5146.83</v>
      </c>
      <c r="GQ39">
        <f ca="1"/>
        <v>5101.7800000000007</v>
      </c>
      <c r="GR39">
        <f ca="1"/>
        <v>5062.0300000000007</v>
      </c>
      <c r="GS39">
        <f ca="1"/>
        <v>5142.59</v>
      </c>
      <c r="GT39">
        <f ca="1"/>
        <v>5083.76</v>
      </c>
      <c r="GU39">
        <f ca="1"/>
        <v>4968.75</v>
      </c>
      <c r="GV39">
        <f ca="1"/>
        <v>4974.58</v>
      </c>
      <c r="GW39">
        <f ca="1"/>
        <v>5086.9400000000005</v>
      </c>
      <c r="GX39">
        <f ca="1"/>
        <v>5173.8600000000006</v>
      </c>
      <c r="GY39">
        <f ca="1"/>
        <v>4936.9500000000007</v>
      </c>
      <c r="GZ39">
        <f ca="1"/>
        <v>4965.57</v>
      </c>
      <c r="HA39">
        <f ca="1"/>
        <v>5037.12</v>
      </c>
      <c r="HB39">
        <f ca="1"/>
        <v>5107.08</v>
      </c>
      <c r="HC39">
        <f ca="1"/>
        <v>5254.9500000000007</v>
      </c>
      <c r="HD39">
        <f ca="1"/>
        <v>5077.3999999999996</v>
      </c>
      <c r="HE39">
        <f ca="1"/>
        <v>5112.91</v>
      </c>
      <c r="HF39">
        <f ca="1"/>
        <v>5054.08</v>
      </c>
      <c r="HG39">
        <f ca="1"/>
        <v>5105.49</v>
      </c>
      <c r="HH39">
        <f ca="1"/>
        <v>5209.37</v>
      </c>
      <c r="HI39">
        <f ca="1"/>
        <v>5163.79</v>
      </c>
      <c r="HJ39">
        <f ca="1"/>
        <v>5219.4400000000005</v>
      </c>
      <c r="HK39">
        <f ca="1"/>
        <v>5282.51</v>
      </c>
      <c r="HL39">
        <f ca="1"/>
        <v>5254.9500000000007</v>
      </c>
      <c r="HM39">
        <f ca="1"/>
        <v>5299.4699999999993</v>
      </c>
      <c r="HN39">
        <f ca="1"/>
        <v>5437.27</v>
      </c>
      <c r="HO39">
        <f ca="1"/>
        <v>5488.15</v>
      </c>
      <c r="HP39">
        <f ca="1"/>
        <v>5389.04</v>
      </c>
      <c r="HQ39">
        <f ca="1"/>
        <v>5323.32</v>
      </c>
      <c r="HR39">
        <f ca="1"/>
        <v>5389.57</v>
      </c>
      <c r="HS39">
        <f ca="1"/>
        <v>5487.62</v>
      </c>
      <c r="HT39">
        <f ca="1"/>
        <v>5460.0599999999995</v>
      </c>
      <c r="HU39">
        <f ca="1"/>
        <v>5480.2000000000007</v>
      </c>
      <c r="HV39">
        <f ca="1"/>
        <v>5708.1</v>
      </c>
      <c r="HW39">
        <f ca="1"/>
        <v>6063.73</v>
      </c>
      <c r="HX39">
        <f ca="1"/>
        <v>6030.87</v>
      </c>
      <c r="HY39">
        <f ca="1"/>
        <v>5640.79</v>
      </c>
      <c r="HZ39">
        <f ca="1"/>
        <v>5778.0599999999995</v>
      </c>
      <c r="IA39">
        <f ca="1"/>
        <v>5669.41</v>
      </c>
      <c r="IB39">
        <f ca="1"/>
        <v>5538.5</v>
      </c>
      <c r="IC39">
        <f ca="1"/>
        <v>5442.57</v>
      </c>
      <c r="ID39">
        <f ca="1"/>
        <v>5300</v>
      </c>
      <c r="IE39">
        <f ca="1"/>
        <v>5603.16</v>
      </c>
      <c r="IF39">
        <f ca="1"/>
        <v>5613.23</v>
      </c>
      <c r="IG39">
        <f ca="1"/>
        <v>5407.59</v>
      </c>
      <c r="IH39">
        <f ca="1"/>
        <v>5567.12</v>
      </c>
      <c r="II39">
        <f ca="1"/>
        <v>5649.27</v>
      </c>
      <c r="IJ39">
        <f ca="1"/>
        <v>5565.5300000000007</v>
      </c>
      <c r="IK39">
        <f ca="1"/>
        <v>5490.7999999999993</v>
      </c>
      <c r="IL39">
        <f ca="1"/>
        <v>5571.3600000000006</v>
      </c>
      <c r="IM39">
        <f ca="1"/>
        <v>5588.32</v>
      </c>
      <c r="IN39">
        <f ca="1"/>
        <v>5671.5300000000007</v>
      </c>
      <c r="IO39">
        <f ca="1"/>
        <v>5496.1</v>
      </c>
      <c r="IP39">
        <f ca="1"/>
        <v>5336.04</v>
      </c>
      <c r="IQ39">
        <f ca="1"/>
        <v>5412.8899999999994</v>
      </c>
      <c r="IR39">
        <f ca="1"/>
        <v>5437.27</v>
      </c>
      <c r="IS39">
        <f ca="1"/>
        <v>5377.91</v>
      </c>
      <c r="IT39">
        <f ca="1"/>
        <v>5342.4</v>
      </c>
      <c r="IU39">
        <f ca="1"/>
        <v>5413.9500000000007</v>
      </c>
      <c r="IV39">
        <f ca="1"/>
        <v>5127.75</v>
      </c>
      <c r="IW39">
        <f ca="1"/>
        <v>5148.9500000000007</v>
      </c>
    </row>
    <row r="40" spans="2:257" x14ac:dyDescent="0.25">
      <c r="B40" t="str">
        <f t="shared" si="408"/>
        <v>20K6HZ6</v>
      </c>
      <c r="C40" t="s">
        <v>160</v>
      </c>
      <c r="D40" t="e" vm="575">
        <v>#VALUE!</v>
      </c>
      <c r="E40" t="str" cm="1">
        <f t="array" aca="1" ref="E40" ca="1">_FV(D40,"Code mnémonique",TRUE)</f>
        <v>NWC</v>
      </c>
      <c r="F40" s="12">
        <f>_xlfn.XLOOKUP(D40,Titres[Action],Titres[Nb d''actions])</f>
        <v>125</v>
      </c>
      <c r="G40" cm="1">
        <f t="array" aca="1" ref="G40:IW40" ca="1">IFERROR(TRANSPOSE(_xlfn.STOCKHISTORY(D40,TODAY()-365,TODAY(),0,0,1))*F40,"")</f>
        <v>6788.75</v>
      </c>
      <c r="H40">
        <f ca="1"/>
        <v>6861.25</v>
      </c>
      <c r="I40">
        <f ca="1"/>
        <v>6712.5</v>
      </c>
      <c r="J40">
        <f ca="1"/>
        <v>6875</v>
      </c>
      <c r="K40">
        <f ca="1"/>
        <v>6858.75</v>
      </c>
      <c r="L40">
        <f ca="1"/>
        <v>6880</v>
      </c>
      <c r="M40">
        <f ca="1"/>
        <v>6818.75</v>
      </c>
      <c r="N40">
        <f ca="1"/>
        <v>6912.5</v>
      </c>
      <c r="O40">
        <f ca="1"/>
        <v>6947.5</v>
      </c>
      <c r="P40">
        <f ca="1"/>
        <v>6937.5</v>
      </c>
      <c r="Q40">
        <f ca="1"/>
        <v>6988.75</v>
      </c>
      <c r="R40">
        <f ca="1"/>
        <v>6996.25</v>
      </c>
      <c r="S40">
        <f ca="1"/>
        <v>7108.75</v>
      </c>
      <c r="T40">
        <f ca="1"/>
        <v>7038.75</v>
      </c>
      <c r="U40">
        <f ca="1"/>
        <v>6928.75</v>
      </c>
      <c r="V40">
        <f ca="1"/>
        <v>6838.75</v>
      </c>
      <c r="W40">
        <f ca="1"/>
        <v>6845</v>
      </c>
      <c r="X40">
        <f ca="1"/>
        <v>6768.75</v>
      </c>
      <c r="Y40">
        <f ca="1"/>
        <v>6883.75</v>
      </c>
      <c r="Z40">
        <f ca="1"/>
        <v>6923.75</v>
      </c>
      <c r="AA40">
        <f ca="1"/>
        <v>7110</v>
      </c>
      <c r="AB40">
        <f ca="1"/>
        <v>7058.75</v>
      </c>
      <c r="AC40">
        <f ca="1"/>
        <v>7072.5</v>
      </c>
      <c r="AD40">
        <f ca="1"/>
        <v>7090</v>
      </c>
      <c r="AE40">
        <f ca="1"/>
        <v>7121.25</v>
      </c>
      <c r="AF40">
        <f ca="1"/>
        <v>7005</v>
      </c>
      <c r="AG40">
        <f ca="1"/>
        <v>7131.25</v>
      </c>
      <c r="AH40">
        <f ca="1"/>
        <v>7088.75</v>
      </c>
      <c r="AI40">
        <f ca="1"/>
        <v>7157.5</v>
      </c>
      <c r="AJ40">
        <f ca="1"/>
        <v>7231.25</v>
      </c>
      <c r="AK40">
        <f ca="1"/>
        <v>7058.75</v>
      </c>
      <c r="AL40">
        <f ca="1"/>
        <v>7005</v>
      </c>
      <c r="AM40">
        <f ca="1"/>
        <v>6893.75</v>
      </c>
      <c r="AN40">
        <f ca="1"/>
        <v>6921.25</v>
      </c>
      <c r="AO40">
        <f ca="1"/>
        <v>6795</v>
      </c>
      <c r="AP40">
        <f ca="1"/>
        <v>6786.25</v>
      </c>
      <c r="AQ40">
        <f ca="1"/>
        <v>6500</v>
      </c>
      <c r="AR40">
        <f ca="1"/>
        <v>6285</v>
      </c>
      <c r="AS40">
        <f ca="1"/>
        <v>6243.75</v>
      </c>
      <c r="AT40">
        <f ca="1"/>
        <v>6187.5</v>
      </c>
      <c r="AU40">
        <f ca="1"/>
        <v>6230</v>
      </c>
      <c r="AV40">
        <f ca="1"/>
        <v>6180</v>
      </c>
      <c r="AW40">
        <f ca="1"/>
        <v>6170</v>
      </c>
      <c r="AX40">
        <f ca="1"/>
        <v>6077.5</v>
      </c>
      <c r="AY40">
        <f ca="1"/>
        <v>6082.5</v>
      </c>
      <c r="AZ40">
        <f ca="1"/>
        <v>6136.25</v>
      </c>
      <c r="BA40">
        <f ca="1"/>
        <v>6137.5</v>
      </c>
      <c r="BB40">
        <f ca="1"/>
        <v>6042.5</v>
      </c>
      <c r="BC40">
        <f ca="1"/>
        <v>6012.5</v>
      </c>
      <c r="BD40">
        <f ca="1"/>
        <v>6033.75</v>
      </c>
      <c r="BE40">
        <f ca="1"/>
        <v>5951.25</v>
      </c>
      <c r="BF40">
        <f ca="1"/>
        <v>6008.75</v>
      </c>
      <c r="BG40">
        <f ca="1"/>
        <v>5998.75</v>
      </c>
      <c r="BH40">
        <f ca="1"/>
        <v>5957.5</v>
      </c>
      <c r="BI40">
        <f ca="1"/>
        <v>6101.25</v>
      </c>
      <c r="BJ40">
        <f ca="1"/>
        <v>5941.25</v>
      </c>
      <c r="BK40">
        <f ca="1"/>
        <v>5982.5</v>
      </c>
      <c r="BL40">
        <f ca="1"/>
        <v>5953.75</v>
      </c>
      <c r="BM40">
        <f ca="1"/>
        <v>6003.75</v>
      </c>
      <c r="BN40">
        <f ca="1"/>
        <v>5996.25</v>
      </c>
      <c r="BO40">
        <f ca="1"/>
        <v>5942.5</v>
      </c>
      <c r="BP40">
        <f ca="1"/>
        <v>5958.75</v>
      </c>
      <c r="BQ40">
        <f ca="1"/>
        <v>5956.25</v>
      </c>
      <c r="BR40">
        <f ca="1"/>
        <v>5912.5</v>
      </c>
      <c r="BS40">
        <f ca="1"/>
        <v>5931.25</v>
      </c>
      <c r="BT40">
        <f ca="1"/>
        <v>5833.75</v>
      </c>
      <c r="BU40">
        <f ca="1"/>
        <v>5780</v>
      </c>
      <c r="BV40">
        <f ca="1"/>
        <v>5802.5</v>
      </c>
      <c r="BW40">
        <f ca="1"/>
        <v>6015</v>
      </c>
      <c r="BX40">
        <f ca="1"/>
        <v>6046.25</v>
      </c>
      <c r="BY40">
        <f ca="1"/>
        <v>6006.25</v>
      </c>
      <c r="BZ40">
        <f ca="1"/>
        <v>5945</v>
      </c>
      <c r="CA40">
        <f ca="1"/>
        <v>5898.75</v>
      </c>
      <c r="CB40">
        <f ca="1"/>
        <v>6053.75</v>
      </c>
      <c r="CC40">
        <f ca="1"/>
        <v>5978.75</v>
      </c>
      <c r="CD40">
        <f ca="1"/>
        <v>6073.75</v>
      </c>
      <c r="CE40">
        <f ca="1"/>
        <v>5998.75</v>
      </c>
      <c r="CF40">
        <f ca="1"/>
        <v>6038.75</v>
      </c>
      <c r="CG40">
        <f ca="1"/>
        <v>6118.75</v>
      </c>
      <c r="CH40">
        <f ca="1"/>
        <v>6100</v>
      </c>
      <c r="CI40">
        <f ca="1"/>
        <v>6088.75</v>
      </c>
      <c r="CJ40">
        <f ca="1"/>
        <v>6313.75</v>
      </c>
      <c r="CK40">
        <f ca="1"/>
        <v>6458.75</v>
      </c>
      <c r="CL40">
        <f ca="1"/>
        <v>6510</v>
      </c>
      <c r="CM40">
        <f ca="1"/>
        <v>6463.75</v>
      </c>
      <c r="CN40">
        <f ca="1"/>
        <v>6432.5</v>
      </c>
      <c r="CO40">
        <f ca="1"/>
        <v>6336.25</v>
      </c>
      <c r="CP40">
        <f ca="1"/>
        <v>6292.5</v>
      </c>
      <c r="CQ40">
        <f ca="1"/>
        <v>6273.75</v>
      </c>
      <c r="CR40">
        <f ca="1"/>
        <v>6305</v>
      </c>
      <c r="CS40">
        <f ca="1"/>
        <v>6286.25</v>
      </c>
      <c r="CT40">
        <f ca="1"/>
        <v>6307.5</v>
      </c>
      <c r="CU40">
        <f ca="1"/>
        <v>6228.75</v>
      </c>
      <c r="CV40">
        <f ca="1"/>
        <v>6302.5</v>
      </c>
      <c r="CW40">
        <f ca="1"/>
        <v>6362.5</v>
      </c>
      <c r="CX40">
        <f ca="1"/>
        <v>6402.5</v>
      </c>
      <c r="CY40">
        <f ca="1"/>
        <v>6400</v>
      </c>
      <c r="CZ40">
        <f ca="1"/>
        <v>6102.5</v>
      </c>
      <c r="DA40">
        <f ca="1"/>
        <v>5931.25</v>
      </c>
      <c r="DB40">
        <f ca="1"/>
        <v>6036.25</v>
      </c>
      <c r="DC40">
        <f ca="1"/>
        <v>5970</v>
      </c>
      <c r="DD40">
        <f ca="1"/>
        <v>5961.25</v>
      </c>
      <c r="DE40">
        <f ca="1"/>
        <v>6071.25</v>
      </c>
      <c r="DF40">
        <f ca="1"/>
        <v>6018.75</v>
      </c>
      <c r="DG40">
        <f ca="1"/>
        <v>6093.75</v>
      </c>
      <c r="DH40">
        <f ca="1"/>
        <v>6120</v>
      </c>
      <c r="DI40">
        <f ca="1"/>
        <v>5992.5</v>
      </c>
      <c r="DJ40">
        <f ca="1"/>
        <v>6036.25</v>
      </c>
      <c r="DK40">
        <f ca="1"/>
        <v>6095</v>
      </c>
      <c r="DL40">
        <f ca="1"/>
        <v>6055</v>
      </c>
      <c r="DM40">
        <f ca="1"/>
        <v>6018.75</v>
      </c>
      <c r="DN40">
        <f ca="1"/>
        <v>6026.25</v>
      </c>
      <c r="DO40">
        <f ca="1"/>
        <v>5977.5</v>
      </c>
      <c r="DP40">
        <f ca="1"/>
        <v>5921.25</v>
      </c>
      <c r="DQ40">
        <f ca="1"/>
        <v>5905</v>
      </c>
      <c r="DR40">
        <f ca="1"/>
        <v>5901.25</v>
      </c>
      <c r="DS40">
        <f ca="1"/>
        <v>5803.75</v>
      </c>
      <c r="DT40">
        <f ca="1"/>
        <v>5751.25</v>
      </c>
      <c r="DU40">
        <f ca="1"/>
        <v>5773.75</v>
      </c>
      <c r="DV40">
        <f ca="1"/>
        <v>5707.5</v>
      </c>
      <c r="DW40">
        <f ca="1"/>
        <v>5695</v>
      </c>
      <c r="DX40">
        <f ca="1"/>
        <v>5757.5</v>
      </c>
      <c r="DY40">
        <f ca="1"/>
        <v>5755</v>
      </c>
      <c r="DZ40">
        <f ca="1"/>
        <v>5791.25</v>
      </c>
      <c r="EA40">
        <f ca="1"/>
        <v>5818.75</v>
      </c>
      <c r="EB40">
        <f ca="1"/>
        <v>5786.25</v>
      </c>
      <c r="EC40">
        <f ca="1"/>
        <v>5790</v>
      </c>
      <c r="ED40">
        <f ca="1"/>
        <v>5867.5</v>
      </c>
      <c r="EE40">
        <f ca="1"/>
        <v>5823.75</v>
      </c>
      <c r="EF40">
        <f ca="1"/>
        <v>5771.25</v>
      </c>
      <c r="EG40">
        <f ca="1"/>
        <v>5760</v>
      </c>
      <c r="EH40">
        <f ca="1"/>
        <v>5732.5</v>
      </c>
      <c r="EI40">
        <f ca="1"/>
        <v>5608.75</v>
      </c>
      <c r="EJ40">
        <f ca="1"/>
        <v>5631.25</v>
      </c>
      <c r="EK40">
        <f ca="1"/>
        <v>5687.5</v>
      </c>
      <c r="EL40">
        <f ca="1"/>
        <v>5696.25</v>
      </c>
      <c r="EM40">
        <f ca="1"/>
        <v>5721.25</v>
      </c>
      <c r="EN40">
        <f ca="1"/>
        <v>5826.25</v>
      </c>
      <c r="EO40">
        <f ca="1"/>
        <v>5796.25</v>
      </c>
      <c r="EP40">
        <f ca="1"/>
        <v>5841.25</v>
      </c>
      <c r="EQ40">
        <f ca="1"/>
        <v>5898.75</v>
      </c>
      <c r="ER40">
        <f ca="1"/>
        <v>5901.25</v>
      </c>
      <c r="ES40">
        <f ca="1"/>
        <v>6008.75</v>
      </c>
      <c r="ET40">
        <f ca="1"/>
        <v>5996.25</v>
      </c>
      <c r="EU40">
        <f ca="1"/>
        <v>5983.75</v>
      </c>
      <c r="EV40">
        <f ca="1"/>
        <v>6002.5</v>
      </c>
      <c r="EW40">
        <f ca="1"/>
        <v>5992.5</v>
      </c>
      <c r="EX40">
        <f ca="1"/>
        <v>6008.75</v>
      </c>
      <c r="EY40">
        <f ca="1"/>
        <v>6013.75</v>
      </c>
      <c r="EZ40">
        <f ca="1"/>
        <v>6038.75</v>
      </c>
      <c r="FA40">
        <f ca="1"/>
        <v>6040</v>
      </c>
      <c r="FB40">
        <f ca="1"/>
        <v>6125</v>
      </c>
      <c r="FC40">
        <f ca="1"/>
        <v>6195</v>
      </c>
      <c r="FD40">
        <f ca="1"/>
        <v>6246.25</v>
      </c>
      <c r="FE40">
        <f ca="1"/>
        <v>6151.25</v>
      </c>
      <c r="FF40">
        <f ca="1"/>
        <v>6126.25</v>
      </c>
      <c r="FG40">
        <f ca="1"/>
        <v>6288.75</v>
      </c>
      <c r="FH40">
        <f ca="1"/>
        <v>6242.5</v>
      </c>
      <c r="FI40">
        <f ca="1"/>
        <v>6070</v>
      </c>
      <c r="FJ40">
        <f ca="1"/>
        <v>6042.5</v>
      </c>
      <c r="FK40">
        <f ca="1"/>
        <v>6102.5</v>
      </c>
      <c r="FL40">
        <f ca="1"/>
        <v>6197.5</v>
      </c>
      <c r="FM40">
        <f ca="1"/>
        <v>5921.25</v>
      </c>
      <c r="FN40">
        <f ca="1"/>
        <v>6007.5</v>
      </c>
      <c r="FO40">
        <f ca="1"/>
        <v>6012.5</v>
      </c>
      <c r="FP40">
        <f ca="1"/>
        <v>6126.25</v>
      </c>
      <c r="FQ40">
        <f ca="1"/>
        <v>6128.75</v>
      </c>
      <c r="FR40">
        <f ca="1"/>
        <v>6162.5</v>
      </c>
      <c r="FS40">
        <f ca="1"/>
        <v>6200</v>
      </c>
      <c r="FT40">
        <f ca="1"/>
        <v>6148.75</v>
      </c>
      <c r="FU40">
        <f ca="1"/>
        <v>6140</v>
      </c>
      <c r="FV40">
        <f ca="1"/>
        <v>6161.25</v>
      </c>
      <c r="FW40">
        <f ca="1"/>
        <v>6125</v>
      </c>
      <c r="FX40">
        <f ca="1"/>
        <v>6097.5</v>
      </c>
      <c r="FY40">
        <f ca="1"/>
        <v>6125</v>
      </c>
      <c r="FZ40">
        <f ca="1"/>
        <v>6113.75</v>
      </c>
      <c r="GA40">
        <f ca="1"/>
        <v>6132.5</v>
      </c>
      <c r="GB40">
        <f ca="1"/>
        <v>6110</v>
      </c>
      <c r="GC40">
        <f ca="1"/>
        <v>6131.25</v>
      </c>
      <c r="GD40">
        <f ca="1"/>
        <v>6090</v>
      </c>
      <c r="GE40">
        <f ca="1"/>
        <v>6126.25</v>
      </c>
      <c r="GF40">
        <f ca="1"/>
        <v>6185</v>
      </c>
      <c r="GG40">
        <f ca="1"/>
        <v>6245</v>
      </c>
      <c r="GH40">
        <f ca="1"/>
        <v>6126.25</v>
      </c>
      <c r="GI40">
        <f ca="1"/>
        <v>6180</v>
      </c>
      <c r="GJ40">
        <f ca="1"/>
        <v>6170</v>
      </c>
      <c r="GK40">
        <f ca="1"/>
        <v>6165</v>
      </c>
      <c r="GL40">
        <f ca="1"/>
        <v>6185</v>
      </c>
      <c r="GM40">
        <f ca="1"/>
        <v>6122.5</v>
      </c>
      <c r="GN40">
        <f ca="1"/>
        <v>6181.25</v>
      </c>
      <c r="GO40">
        <f ca="1"/>
        <v>6300</v>
      </c>
      <c r="GP40">
        <f ca="1"/>
        <v>6331.25</v>
      </c>
      <c r="GQ40">
        <f ca="1"/>
        <v>6221.25</v>
      </c>
      <c r="GR40">
        <f ca="1"/>
        <v>6192.5</v>
      </c>
      <c r="GS40">
        <f ca="1"/>
        <v>6153.75</v>
      </c>
      <c r="GT40">
        <f ca="1"/>
        <v>6087.5</v>
      </c>
      <c r="GU40">
        <f ca="1"/>
        <v>6076.25</v>
      </c>
      <c r="GV40">
        <f ca="1"/>
        <v>6216.25</v>
      </c>
      <c r="GW40">
        <f ca="1"/>
        <v>6367.5</v>
      </c>
      <c r="GX40">
        <f ca="1"/>
        <v>6571.25</v>
      </c>
      <c r="GY40">
        <f ca="1"/>
        <v>6531.25</v>
      </c>
      <c r="GZ40">
        <f ca="1"/>
        <v>6573.75</v>
      </c>
      <c r="HA40">
        <f ca="1"/>
        <v>6616.25</v>
      </c>
      <c r="HB40">
        <f ca="1"/>
        <v>6587.5</v>
      </c>
      <c r="HC40">
        <f ca="1"/>
        <v>6613.75</v>
      </c>
      <c r="HD40">
        <f ca="1"/>
        <v>6836.25</v>
      </c>
      <c r="HE40">
        <f ca="1"/>
        <v>6841.25</v>
      </c>
      <c r="HF40">
        <f ca="1"/>
        <v>6936.25</v>
      </c>
      <c r="HG40">
        <f ca="1"/>
        <v>6906.25</v>
      </c>
      <c r="HH40">
        <f ca="1"/>
        <v>6980</v>
      </c>
      <c r="HI40">
        <f ca="1"/>
        <v>6912.5</v>
      </c>
      <c r="HJ40">
        <f ca="1"/>
        <v>7070</v>
      </c>
      <c r="HK40">
        <f ca="1"/>
        <v>6995</v>
      </c>
      <c r="HL40">
        <f ca="1"/>
        <v>7056.25</v>
      </c>
      <c r="HM40">
        <f ca="1"/>
        <v>7050</v>
      </c>
      <c r="HN40">
        <f ca="1"/>
        <v>6997.5</v>
      </c>
      <c r="HO40">
        <f ca="1"/>
        <v>6995</v>
      </c>
      <c r="HP40">
        <f ca="1"/>
        <v>6916.25</v>
      </c>
      <c r="HQ40">
        <f ca="1"/>
        <v>6906.25</v>
      </c>
      <c r="HR40">
        <f ca="1"/>
        <v>6973.75</v>
      </c>
      <c r="HS40">
        <f ca="1"/>
        <v>6863.75</v>
      </c>
      <c r="HT40">
        <f ca="1"/>
        <v>6907.5</v>
      </c>
      <c r="HU40">
        <f ca="1"/>
        <v>6847.5</v>
      </c>
      <c r="HV40">
        <f ca="1"/>
        <v>6772.5</v>
      </c>
      <c r="HW40">
        <f ca="1"/>
        <v>6778.75</v>
      </c>
      <c r="HX40">
        <f ca="1"/>
        <v>6816.25</v>
      </c>
      <c r="HY40">
        <f ca="1"/>
        <v>6887.5</v>
      </c>
      <c r="HZ40">
        <f ca="1"/>
        <v>6850</v>
      </c>
      <c r="IA40">
        <f ca="1"/>
        <v>6780</v>
      </c>
      <c r="IB40">
        <f ca="1"/>
        <v>6646.25</v>
      </c>
      <c r="IC40">
        <f ca="1"/>
        <v>6638.75</v>
      </c>
      <c r="ID40">
        <f ca="1"/>
        <v>6783.75</v>
      </c>
      <c r="IE40">
        <f ca="1"/>
        <v>6772.5</v>
      </c>
      <c r="IF40">
        <f ca="1"/>
        <v>6763.75</v>
      </c>
      <c r="IG40">
        <f ca="1"/>
        <v>6755</v>
      </c>
      <c r="IH40">
        <f ca="1"/>
        <v>6812.5</v>
      </c>
      <c r="II40">
        <f ca="1"/>
        <v>6787.5</v>
      </c>
      <c r="IJ40">
        <f ca="1"/>
        <v>6816.25</v>
      </c>
      <c r="IK40">
        <f ca="1"/>
        <v>6762.5</v>
      </c>
      <c r="IL40">
        <f ca="1"/>
        <v>6761.25</v>
      </c>
      <c r="IM40">
        <f ca="1"/>
        <v>6758.75</v>
      </c>
      <c r="IN40">
        <f ca="1"/>
        <v>6527.5</v>
      </c>
      <c r="IO40">
        <f ca="1"/>
        <v>6950</v>
      </c>
      <c r="IP40">
        <f ca="1"/>
        <v>6870</v>
      </c>
      <c r="IQ40">
        <f ca="1"/>
        <v>6892.5</v>
      </c>
      <c r="IR40">
        <f ca="1"/>
        <v>6758.75</v>
      </c>
      <c r="IS40">
        <f ca="1"/>
        <v>6697.5</v>
      </c>
      <c r="IT40">
        <f ca="1"/>
        <v>6602.5</v>
      </c>
      <c r="IU40">
        <f ca="1"/>
        <v>6590</v>
      </c>
      <c r="IV40">
        <f ca="1"/>
        <v>6403.75</v>
      </c>
      <c r="IW40">
        <f ca="1"/>
        <v>6497.5</v>
      </c>
    </row>
    <row r="41" spans="2:257" x14ac:dyDescent="0.25">
      <c r="B41" t="str">
        <f t="shared" si="408"/>
        <v>20K6HZ6</v>
      </c>
      <c r="C41" t="s">
        <v>160</v>
      </c>
      <c r="D41" t="e" vm="555">
        <v>#VALUE!</v>
      </c>
      <c r="E41" t="str" cm="1">
        <f t="array" aca="1" ref="E41" ca="1">_FV(D41,"Code mnémonique",TRUE)</f>
        <v>PKI</v>
      </c>
      <c r="F41" s="12">
        <f>_xlfn.XLOOKUP(D41,Titres[Action],Titres[Nb d''actions])</f>
        <v>0</v>
      </c>
      <c r="G41" cm="1">
        <f t="array" aca="1" ref="G41:EM41" ca="1">IFERROR(TRANSPOSE(_xlfn.STOCKHISTORY(D41,TODAY()-365,TODAY(),0,0,1))*F41,"")</f>
        <v>0</v>
      </c>
      <c r="H41">
        <f ca="1"/>
        <v>0</v>
      </c>
      <c r="I41">
        <f ca="1"/>
        <v>0</v>
      </c>
      <c r="J41">
        <f ca="1"/>
        <v>0</v>
      </c>
      <c r="K41">
        <f ca="1"/>
        <v>0</v>
      </c>
      <c r="L41">
        <f ca="1"/>
        <v>0</v>
      </c>
      <c r="M41">
        <f ca="1"/>
        <v>0</v>
      </c>
      <c r="N41">
        <f ca="1"/>
        <v>0</v>
      </c>
      <c r="O41">
        <f ca="1"/>
        <v>0</v>
      </c>
      <c r="P41">
        <f ca="1"/>
        <v>0</v>
      </c>
      <c r="Q41">
        <f ca="1"/>
        <v>0</v>
      </c>
      <c r="R41">
        <f ca="1"/>
        <v>0</v>
      </c>
      <c r="S41">
        <f ca="1"/>
        <v>0</v>
      </c>
      <c r="T41">
        <f ca="1"/>
        <v>0</v>
      </c>
      <c r="U41">
        <f ca="1"/>
        <v>0</v>
      </c>
      <c r="V41">
        <f ca="1"/>
        <v>0</v>
      </c>
      <c r="W41">
        <f ca="1"/>
        <v>0</v>
      </c>
      <c r="X41">
        <f ca="1"/>
        <v>0</v>
      </c>
      <c r="Y41">
        <f ca="1"/>
        <v>0</v>
      </c>
      <c r="Z41">
        <f ca="1"/>
        <v>0</v>
      </c>
      <c r="AA41">
        <f ca="1"/>
        <v>0</v>
      </c>
      <c r="AB41">
        <f ca="1"/>
        <v>0</v>
      </c>
      <c r="AC41">
        <f ca="1"/>
        <v>0</v>
      </c>
      <c r="AD41">
        <f ca="1"/>
        <v>0</v>
      </c>
      <c r="AE41">
        <f ca="1"/>
        <v>0</v>
      </c>
      <c r="AF41">
        <f ca="1"/>
        <v>0</v>
      </c>
      <c r="AG41">
        <f ca="1"/>
        <v>0</v>
      </c>
      <c r="AH41">
        <f ca="1"/>
        <v>0</v>
      </c>
      <c r="AI41">
        <f ca="1"/>
        <v>0</v>
      </c>
      <c r="AJ41">
        <f ca="1"/>
        <v>0</v>
      </c>
      <c r="AK41">
        <f ca="1"/>
        <v>0</v>
      </c>
      <c r="AL41">
        <f ca="1"/>
        <v>0</v>
      </c>
      <c r="AM41">
        <f ca="1"/>
        <v>0</v>
      </c>
      <c r="AN41">
        <f ca="1"/>
        <v>0</v>
      </c>
      <c r="AO41">
        <f ca="1"/>
        <v>0</v>
      </c>
      <c r="AP41">
        <f ca="1"/>
        <v>0</v>
      </c>
      <c r="AQ41">
        <f ca="1"/>
        <v>0</v>
      </c>
      <c r="AR41">
        <f ca="1"/>
        <v>0</v>
      </c>
      <c r="AS41">
        <f ca="1"/>
        <v>0</v>
      </c>
      <c r="AT41">
        <f ca="1"/>
        <v>0</v>
      </c>
      <c r="AU41">
        <f ca="1"/>
        <v>0</v>
      </c>
      <c r="AV41">
        <f ca="1"/>
        <v>0</v>
      </c>
      <c r="AW41">
        <f ca="1"/>
        <v>0</v>
      </c>
      <c r="AX41">
        <f ca="1"/>
        <v>0</v>
      </c>
      <c r="AY41">
        <f ca="1"/>
        <v>0</v>
      </c>
      <c r="AZ41">
        <f ca="1"/>
        <v>0</v>
      </c>
      <c r="BA41">
        <f ca="1"/>
        <v>0</v>
      </c>
      <c r="BB41">
        <f ca="1"/>
        <v>0</v>
      </c>
      <c r="BC41">
        <f ca="1"/>
        <v>0</v>
      </c>
      <c r="BD41">
        <f ca="1"/>
        <v>0</v>
      </c>
      <c r="BE41">
        <f ca="1"/>
        <v>0</v>
      </c>
      <c r="BF41">
        <f ca="1"/>
        <v>0</v>
      </c>
      <c r="BG41">
        <f ca="1"/>
        <v>0</v>
      </c>
      <c r="BH41">
        <f ca="1"/>
        <v>0</v>
      </c>
      <c r="BI41">
        <f ca="1"/>
        <v>0</v>
      </c>
      <c r="BJ41">
        <f ca="1"/>
        <v>0</v>
      </c>
      <c r="BK41">
        <f ca="1"/>
        <v>0</v>
      </c>
      <c r="BL41">
        <f ca="1"/>
        <v>0</v>
      </c>
      <c r="BM41">
        <f ca="1"/>
        <v>0</v>
      </c>
      <c r="BN41">
        <f ca="1"/>
        <v>0</v>
      </c>
      <c r="BO41">
        <f ca="1"/>
        <v>0</v>
      </c>
      <c r="BP41">
        <f ca="1"/>
        <v>0</v>
      </c>
      <c r="BQ41">
        <f ca="1"/>
        <v>0</v>
      </c>
      <c r="BR41">
        <f ca="1"/>
        <v>0</v>
      </c>
      <c r="BS41">
        <f ca="1"/>
        <v>0</v>
      </c>
      <c r="BT41">
        <f ca="1"/>
        <v>0</v>
      </c>
      <c r="BU41">
        <f ca="1"/>
        <v>0</v>
      </c>
      <c r="BV41">
        <f ca="1"/>
        <v>0</v>
      </c>
      <c r="BW41">
        <f ca="1"/>
        <v>0</v>
      </c>
      <c r="BX41">
        <f ca="1"/>
        <v>0</v>
      </c>
      <c r="BY41">
        <f ca="1"/>
        <v>0</v>
      </c>
      <c r="BZ41">
        <f ca="1"/>
        <v>0</v>
      </c>
      <c r="CA41">
        <f ca="1"/>
        <v>0</v>
      </c>
      <c r="CB41">
        <f ca="1"/>
        <v>0</v>
      </c>
      <c r="CC41">
        <f ca="1"/>
        <v>0</v>
      </c>
      <c r="CD41">
        <f ca="1"/>
        <v>0</v>
      </c>
      <c r="CE41">
        <f ca="1"/>
        <v>0</v>
      </c>
      <c r="CF41">
        <f ca="1"/>
        <v>0</v>
      </c>
      <c r="CG41">
        <f ca="1"/>
        <v>0</v>
      </c>
      <c r="CH41">
        <f ca="1"/>
        <v>0</v>
      </c>
      <c r="CI41">
        <f ca="1"/>
        <v>0</v>
      </c>
      <c r="CJ41">
        <f ca="1"/>
        <v>0</v>
      </c>
      <c r="CK41">
        <f ca="1"/>
        <v>0</v>
      </c>
      <c r="CL41">
        <f ca="1"/>
        <v>0</v>
      </c>
      <c r="CM41">
        <f ca="1"/>
        <v>0</v>
      </c>
      <c r="CN41">
        <f ca="1"/>
        <v>0</v>
      </c>
      <c r="CO41">
        <f ca="1"/>
        <v>0</v>
      </c>
      <c r="CP41">
        <f ca="1"/>
        <v>0</v>
      </c>
      <c r="CQ41">
        <f ca="1"/>
        <v>0</v>
      </c>
      <c r="CR41">
        <f ca="1"/>
        <v>0</v>
      </c>
      <c r="CS41">
        <f ca="1"/>
        <v>0</v>
      </c>
      <c r="CT41">
        <f ca="1"/>
        <v>0</v>
      </c>
      <c r="CU41">
        <f ca="1"/>
        <v>0</v>
      </c>
      <c r="CV41">
        <f ca="1"/>
        <v>0</v>
      </c>
      <c r="CW41">
        <f ca="1"/>
        <v>0</v>
      </c>
      <c r="CX41">
        <f ca="1"/>
        <v>0</v>
      </c>
      <c r="CY41">
        <f ca="1"/>
        <v>0</v>
      </c>
      <c r="CZ41">
        <f ca="1"/>
        <v>0</v>
      </c>
      <c r="DA41">
        <f ca="1"/>
        <v>0</v>
      </c>
      <c r="DB41">
        <f ca="1"/>
        <v>0</v>
      </c>
      <c r="DC41">
        <f ca="1"/>
        <v>0</v>
      </c>
      <c r="DD41">
        <f ca="1"/>
        <v>0</v>
      </c>
      <c r="DE41">
        <f ca="1"/>
        <v>0</v>
      </c>
      <c r="DF41">
        <f ca="1"/>
        <v>0</v>
      </c>
      <c r="DG41">
        <f ca="1"/>
        <v>0</v>
      </c>
      <c r="DH41">
        <f ca="1"/>
        <v>0</v>
      </c>
      <c r="DI41">
        <f ca="1"/>
        <v>0</v>
      </c>
      <c r="DJ41">
        <f ca="1"/>
        <v>0</v>
      </c>
      <c r="DK41">
        <f ca="1"/>
        <v>0</v>
      </c>
      <c r="DL41">
        <f ca="1"/>
        <v>0</v>
      </c>
      <c r="DM41">
        <f ca="1"/>
        <v>0</v>
      </c>
      <c r="DN41">
        <f ca="1"/>
        <v>0</v>
      </c>
      <c r="DO41">
        <f ca="1"/>
        <v>0</v>
      </c>
      <c r="DP41">
        <f ca="1"/>
        <v>0</v>
      </c>
      <c r="DQ41">
        <f ca="1"/>
        <v>0</v>
      </c>
      <c r="DR41">
        <f ca="1"/>
        <v>0</v>
      </c>
      <c r="DS41">
        <f ca="1"/>
        <v>0</v>
      </c>
      <c r="DT41">
        <f ca="1"/>
        <v>0</v>
      </c>
      <c r="DU41">
        <f ca="1"/>
        <v>0</v>
      </c>
      <c r="DV41">
        <f ca="1"/>
        <v>0</v>
      </c>
      <c r="DW41">
        <f ca="1"/>
        <v>0</v>
      </c>
      <c r="DX41">
        <f ca="1"/>
        <v>0</v>
      </c>
      <c r="DY41">
        <f ca="1"/>
        <v>0</v>
      </c>
      <c r="DZ41">
        <f ca="1"/>
        <v>0</v>
      </c>
      <c r="EA41">
        <f ca="1"/>
        <v>0</v>
      </c>
      <c r="EB41">
        <f ca="1"/>
        <v>0</v>
      </c>
      <c r="EC41">
        <f ca="1"/>
        <v>0</v>
      </c>
      <c r="ED41">
        <f ca="1"/>
        <v>0</v>
      </c>
      <c r="EE41">
        <f ca="1"/>
        <v>0</v>
      </c>
      <c r="EF41">
        <f ca="1"/>
        <v>0</v>
      </c>
      <c r="EG41">
        <f ca="1"/>
        <v>0</v>
      </c>
      <c r="EH41">
        <f ca="1"/>
        <v>0</v>
      </c>
      <c r="EI41">
        <f ca="1"/>
        <v>0</v>
      </c>
      <c r="EJ41">
        <f ca="1"/>
        <v>0</v>
      </c>
      <c r="EK41">
        <f ca="1"/>
        <v>0</v>
      </c>
      <c r="EL41">
        <f ca="1"/>
        <v>0</v>
      </c>
      <c r="EM41">
        <f ca="1"/>
        <v>0</v>
      </c>
    </row>
    <row r="42" spans="2:257" x14ac:dyDescent="0.25">
      <c r="B42" t="str">
        <f t="shared" si="408"/>
        <v>20K6HZ6</v>
      </c>
      <c r="C42" t="s">
        <v>160</v>
      </c>
      <c r="D42" t="e" vm="558">
        <v>#VALUE!</v>
      </c>
      <c r="E42" t="str" cm="1">
        <f t="array" aca="1" ref="E42" ca="1">_FV(D42,"Code mnémonique",TRUE)</f>
        <v>PMZ.UN</v>
      </c>
      <c r="F42" s="12">
        <f>_xlfn.XLOOKUP(D42,Titres[Action],Titres[Nb d''actions])</f>
        <v>40</v>
      </c>
      <c r="G42" cm="1">
        <f t="array" aca="1" ref="G42:IW42" ca="1">IFERROR(TRANSPOSE(_xlfn.STOCKHISTORY(D42,TODAY()-365,TODAY(),0,0,1))*F42,"")</f>
        <v>568.40000000000009</v>
      </c>
      <c r="H42">
        <f ca="1"/>
        <v>569.20000000000005</v>
      </c>
      <c r="I42">
        <f ca="1"/>
        <v>575.20000000000005</v>
      </c>
      <c r="J42">
        <f ca="1"/>
        <v>569.20000000000005</v>
      </c>
      <c r="K42">
        <f ca="1"/>
        <v>566</v>
      </c>
      <c r="L42">
        <f ca="1"/>
        <v>566</v>
      </c>
      <c r="M42">
        <f ca="1"/>
        <v>570.4</v>
      </c>
      <c r="N42">
        <f ca="1"/>
        <v>575.20000000000005</v>
      </c>
      <c r="O42">
        <f ca="1"/>
        <v>570</v>
      </c>
      <c r="P42">
        <f ca="1"/>
        <v>569.6</v>
      </c>
      <c r="Q42">
        <f ca="1"/>
        <v>566.4</v>
      </c>
      <c r="R42">
        <f ca="1"/>
        <v>577.20000000000005</v>
      </c>
      <c r="S42">
        <f ca="1"/>
        <v>586</v>
      </c>
      <c r="T42">
        <f ca="1"/>
        <v>588.40000000000009</v>
      </c>
      <c r="U42">
        <f ca="1"/>
        <v>590.79999999999995</v>
      </c>
      <c r="V42">
        <f ca="1"/>
        <v>595.20000000000005</v>
      </c>
      <c r="W42">
        <f ca="1"/>
        <v>595.20000000000005</v>
      </c>
      <c r="X42">
        <f ca="1"/>
        <v>593.20000000000005</v>
      </c>
      <c r="Y42">
        <f ca="1"/>
        <v>600.79999999999995</v>
      </c>
      <c r="Z42">
        <f ca="1"/>
        <v>604.4</v>
      </c>
      <c r="AA42">
        <f ca="1"/>
        <v>591.59999999999991</v>
      </c>
      <c r="AB42">
        <f ca="1"/>
        <v>598</v>
      </c>
      <c r="AC42">
        <f ca="1"/>
        <v>603.20000000000005</v>
      </c>
      <c r="AD42">
        <f ca="1"/>
        <v>600</v>
      </c>
      <c r="AE42">
        <f ca="1"/>
        <v>602</v>
      </c>
      <c r="AF42">
        <f ca="1"/>
        <v>606.79999999999995</v>
      </c>
      <c r="AG42">
        <f ca="1"/>
        <v>608</v>
      </c>
      <c r="AH42">
        <f ca="1"/>
        <v>614.4</v>
      </c>
      <c r="AI42">
        <f ca="1"/>
        <v>613.6</v>
      </c>
      <c r="AJ42">
        <f ca="1"/>
        <v>608.40000000000009</v>
      </c>
      <c r="AK42">
        <f ca="1"/>
        <v>611.19999999999993</v>
      </c>
      <c r="AL42">
        <f ca="1"/>
        <v>602</v>
      </c>
      <c r="AM42">
        <f ca="1"/>
        <v>604.4</v>
      </c>
      <c r="AN42">
        <f ca="1"/>
        <v>614</v>
      </c>
      <c r="AO42">
        <f ca="1"/>
        <v>617.6</v>
      </c>
      <c r="AP42">
        <f ca="1"/>
        <v>618.80000000000007</v>
      </c>
      <c r="AQ42">
        <f ca="1"/>
        <v>615.6</v>
      </c>
      <c r="AR42">
        <f ca="1"/>
        <v>621.19999999999993</v>
      </c>
      <c r="AS42">
        <f ca="1"/>
        <v>612.79999999999995</v>
      </c>
      <c r="AT42">
        <f ca="1"/>
        <v>608</v>
      </c>
      <c r="AU42">
        <f ca="1"/>
        <v>585.6</v>
      </c>
      <c r="AV42">
        <f ca="1"/>
        <v>586</v>
      </c>
      <c r="AW42">
        <f ca="1"/>
        <v>585.6</v>
      </c>
      <c r="AX42">
        <f ca="1"/>
        <v>584.4</v>
      </c>
      <c r="AY42">
        <f ca="1"/>
        <v>593.6</v>
      </c>
      <c r="AZ42">
        <f ca="1"/>
        <v>591.19999999999993</v>
      </c>
      <c r="BA42">
        <f ca="1"/>
        <v>588.40000000000009</v>
      </c>
      <c r="BB42">
        <f ca="1"/>
        <v>588.40000000000009</v>
      </c>
      <c r="BC42">
        <f ca="1"/>
        <v>586.79999999999995</v>
      </c>
      <c r="BD42">
        <f ca="1"/>
        <v>588.80000000000007</v>
      </c>
      <c r="BE42">
        <f ca="1"/>
        <v>590.79999999999995</v>
      </c>
      <c r="BF42">
        <f ca="1"/>
        <v>590.4</v>
      </c>
      <c r="BG42">
        <f ca="1"/>
        <v>606</v>
      </c>
      <c r="BH42">
        <f ca="1"/>
        <v>604.79999999999995</v>
      </c>
      <c r="BI42">
        <f ca="1"/>
        <v>602</v>
      </c>
      <c r="BJ42">
        <f ca="1"/>
        <v>606.4</v>
      </c>
      <c r="BK42">
        <f ca="1"/>
        <v>606</v>
      </c>
      <c r="BL42">
        <f ca="1"/>
        <v>609.20000000000005</v>
      </c>
      <c r="BM42">
        <f ca="1"/>
        <v>606</v>
      </c>
      <c r="BN42">
        <f ca="1"/>
        <v>603.20000000000005</v>
      </c>
      <c r="BO42">
        <f ca="1"/>
        <v>603.20000000000005</v>
      </c>
      <c r="BP42">
        <f ca="1"/>
        <v>602</v>
      </c>
      <c r="BQ42">
        <f ca="1"/>
        <v>596.4</v>
      </c>
      <c r="BR42">
        <f ca="1"/>
        <v>600.4</v>
      </c>
      <c r="BS42">
        <f ca="1"/>
        <v>598</v>
      </c>
      <c r="BT42">
        <f ca="1"/>
        <v>593.6</v>
      </c>
      <c r="BU42">
        <f ca="1"/>
        <v>590</v>
      </c>
      <c r="BV42">
        <f ca="1"/>
        <v>588.40000000000009</v>
      </c>
      <c r="BW42">
        <f ca="1"/>
        <v>584.79999999999995</v>
      </c>
      <c r="BX42">
        <f ca="1"/>
        <v>587.6</v>
      </c>
      <c r="BY42">
        <f ca="1"/>
        <v>597.20000000000005</v>
      </c>
      <c r="BZ42">
        <f ca="1"/>
        <v>590</v>
      </c>
      <c r="CA42">
        <f ca="1"/>
        <v>591.59999999999991</v>
      </c>
      <c r="CB42">
        <f ca="1"/>
        <v>592.4</v>
      </c>
      <c r="CC42">
        <f ca="1"/>
        <v>595.20000000000005</v>
      </c>
      <c r="CD42">
        <f ca="1"/>
        <v>594</v>
      </c>
      <c r="CE42">
        <f ca="1"/>
        <v>593.6</v>
      </c>
      <c r="CF42">
        <f ca="1"/>
        <v>592.4</v>
      </c>
      <c r="CG42">
        <f ca="1"/>
        <v>594.79999999999995</v>
      </c>
      <c r="CH42">
        <f ca="1"/>
        <v>599.20000000000005</v>
      </c>
      <c r="CI42">
        <f ca="1"/>
        <v>599.6</v>
      </c>
      <c r="CJ42">
        <f ca="1"/>
        <v>603.20000000000005</v>
      </c>
      <c r="CK42">
        <f ca="1"/>
        <v>601.59999999999991</v>
      </c>
      <c r="CL42">
        <f ca="1"/>
        <v>604</v>
      </c>
      <c r="CM42">
        <f ca="1"/>
        <v>605.20000000000005</v>
      </c>
      <c r="CN42">
        <f ca="1"/>
        <v>604</v>
      </c>
      <c r="CO42">
        <f ca="1"/>
        <v>609.6</v>
      </c>
      <c r="CP42">
        <f ca="1"/>
        <v>605.6</v>
      </c>
      <c r="CQ42">
        <f ca="1"/>
        <v>600.4</v>
      </c>
      <c r="CR42">
        <f ca="1"/>
        <v>601.59999999999991</v>
      </c>
      <c r="CS42">
        <f ca="1"/>
        <v>597.6</v>
      </c>
      <c r="CT42">
        <f ca="1"/>
        <v>600.79999999999995</v>
      </c>
      <c r="CU42">
        <f ca="1"/>
        <v>595.20000000000005</v>
      </c>
      <c r="CV42">
        <f ca="1"/>
        <v>595.6</v>
      </c>
      <c r="CW42">
        <f ca="1"/>
        <v>598</v>
      </c>
      <c r="CX42">
        <f ca="1"/>
        <v>605.20000000000005</v>
      </c>
      <c r="CY42">
        <f ca="1"/>
        <v>602.79999999999995</v>
      </c>
      <c r="CZ42">
        <f ca="1"/>
        <v>606</v>
      </c>
      <c r="DA42">
        <f ca="1"/>
        <v>610.79999999999995</v>
      </c>
      <c r="DB42">
        <f ca="1"/>
        <v>612.4</v>
      </c>
      <c r="DC42">
        <f ca="1"/>
        <v>615.20000000000005</v>
      </c>
      <c r="DD42">
        <f ca="1"/>
        <v>621.19999999999993</v>
      </c>
      <c r="DE42">
        <f ca="1"/>
        <v>618.80000000000007</v>
      </c>
      <c r="DF42">
        <f ca="1"/>
        <v>618.80000000000007</v>
      </c>
      <c r="DG42">
        <f ca="1"/>
        <v>618</v>
      </c>
      <c r="DH42">
        <f ca="1"/>
        <v>621.59999999999991</v>
      </c>
      <c r="DI42">
        <f ca="1"/>
        <v>615.20000000000005</v>
      </c>
      <c r="DJ42">
        <f ca="1"/>
        <v>614.4</v>
      </c>
      <c r="DK42">
        <f ca="1"/>
        <v>614</v>
      </c>
      <c r="DL42">
        <f ca="1"/>
        <v>608.40000000000009</v>
      </c>
      <c r="DM42">
        <f ca="1"/>
        <v>610</v>
      </c>
      <c r="DN42">
        <f ca="1"/>
        <v>607.6</v>
      </c>
      <c r="DO42">
        <f ca="1"/>
        <v>613.20000000000005</v>
      </c>
      <c r="DP42">
        <f ca="1"/>
        <v>612.4</v>
      </c>
      <c r="DQ42">
        <f ca="1"/>
        <v>615.20000000000005</v>
      </c>
      <c r="DR42">
        <f ca="1"/>
        <v>618.40000000000009</v>
      </c>
      <c r="DS42">
        <f ca="1"/>
        <v>611.19999999999993</v>
      </c>
      <c r="DT42">
        <f ca="1"/>
        <v>591.19999999999993</v>
      </c>
      <c r="DU42">
        <f ca="1"/>
        <v>590.4</v>
      </c>
      <c r="DV42">
        <f ca="1"/>
        <v>589.6</v>
      </c>
      <c r="DW42">
        <f ca="1"/>
        <v>590.79999999999995</v>
      </c>
      <c r="DX42">
        <f ca="1"/>
        <v>600</v>
      </c>
      <c r="DY42">
        <f ca="1"/>
        <v>603.6</v>
      </c>
      <c r="DZ42">
        <f ca="1"/>
        <v>600</v>
      </c>
      <c r="EA42">
        <f ca="1"/>
        <v>605.20000000000005</v>
      </c>
      <c r="EB42">
        <f ca="1"/>
        <v>618.40000000000009</v>
      </c>
      <c r="EC42">
        <f ca="1"/>
        <v>619.6</v>
      </c>
      <c r="ED42">
        <f ca="1"/>
        <v>630.4</v>
      </c>
      <c r="EE42">
        <f ca="1"/>
        <v>630.79999999999995</v>
      </c>
      <c r="EF42">
        <f ca="1"/>
        <v>632</v>
      </c>
      <c r="EG42">
        <f ca="1"/>
        <v>630</v>
      </c>
      <c r="EH42">
        <f ca="1"/>
        <v>620.4</v>
      </c>
      <c r="EI42">
        <f ca="1"/>
        <v>611.59999999999991</v>
      </c>
      <c r="EJ42">
        <f ca="1"/>
        <v>606</v>
      </c>
      <c r="EK42">
        <f ca="1"/>
        <v>615.20000000000005</v>
      </c>
      <c r="EL42">
        <f ca="1"/>
        <v>609.20000000000005</v>
      </c>
      <c r="EM42">
        <f ca="1"/>
        <v>601.59999999999991</v>
      </c>
      <c r="EN42">
        <f ca="1"/>
        <v>610.79999999999995</v>
      </c>
      <c r="EO42">
        <f ca="1"/>
        <v>609.6</v>
      </c>
      <c r="EP42">
        <f ca="1"/>
        <v>615.6</v>
      </c>
      <c r="EQ42">
        <f ca="1"/>
        <v>607.6</v>
      </c>
      <c r="ER42">
        <f ca="1"/>
        <v>610.79999999999995</v>
      </c>
      <c r="ES42">
        <f ca="1"/>
        <v>608.40000000000009</v>
      </c>
      <c r="ET42">
        <f ca="1"/>
        <v>603.6</v>
      </c>
      <c r="EU42">
        <f ca="1"/>
        <v>602.79999999999995</v>
      </c>
      <c r="EV42">
        <f ca="1"/>
        <v>601.19999999999993</v>
      </c>
      <c r="EW42">
        <f ca="1"/>
        <v>604.4</v>
      </c>
      <c r="EX42">
        <f ca="1"/>
        <v>603.20000000000005</v>
      </c>
      <c r="EY42">
        <f ca="1"/>
        <v>600</v>
      </c>
      <c r="EZ42">
        <f ca="1"/>
        <v>610</v>
      </c>
      <c r="FA42">
        <f ca="1"/>
        <v>605.20000000000005</v>
      </c>
      <c r="FB42">
        <f ca="1"/>
        <v>608.40000000000009</v>
      </c>
      <c r="FC42">
        <f ca="1"/>
        <v>610.79999999999995</v>
      </c>
      <c r="FD42">
        <f ca="1"/>
        <v>610</v>
      </c>
      <c r="FE42">
        <f ca="1"/>
        <v>609.20000000000005</v>
      </c>
      <c r="FF42">
        <f ca="1"/>
        <v>606.4</v>
      </c>
      <c r="FG42">
        <f ca="1"/>
        <v>603.6</v>
      </c>
      <c r="FH42">
        <f ca="1"/>
        <v>599.20000000000005</v>
      </c>
      <c r="FI42">
        <f ca="1"/>
        <v>599.6</v>
      </c>
      <c r="FJ42">
        <f ca="1"/>
        <v>598</v>
      </c>
      <c r="FK42">
        <f ca="1"/>
        <v>611.59999999999991</v>
      </c>
      <c r="FL42">
        <f ca="1"/>
        <v>611.19999999999993</v>
      </c>
      <c r="FM42">
        <f ca="1"/>
        <v>615.20000000000005</v>
      </c>
      <c r="FN42">
        <f ca="1"/>
        <v>610.79999999999995</v>
      </c>
      <c r="FO42">
        <f ca="1"/>
        <v>613.20000000000005</v>
      </c>
      <c r="FP42">
        <f ca="1"/>
        <v>617.20000000000005</v>
      </c>
      <c r="FQ42">
        <f ca="1"/>
        <v>618</v>
      </c>
      <c r="FR42">
        <f ca="1"/>
        <v>616.79999999999995</v>
      </c>
      <c r="FS42">
        <f ca="1"/>
        <v>625.6</v>
      </c>
      <c r="FT42">
        <f ca="1"/>
        <v>626.4</v>
      </c>
      <c r="FU42">
        <f ca="1"/>
        <v>622.79999999999995</v>
      </c>
      <c r="FV42">
        <f ca="1"/>
        <v>623.20000000000005</v>
      </c>
      <c r="FW42">
        <f ca="1"/>
        <v>618</v>
      </c>
      <c r="FX42">
        <f ca="1"/>
        <v>622</v>
      </c>
      <c r="FY42">
        <f ca="1"/>
        <v>622.79999999999995</v>
      </c>
      <c r="FZ42">
        <f ca="1"/>
        <v>623.6</v>
      </c>
      <c r="GA42">
        <f ca="1"/>
        <v>622</v>
      </c>
      <c r="GB42">
        <f ca="1"/>
        <v>644.80000000000007</v>
      </c>
      <c r="GC42">
        <f ca="1"/>
        <v>646.4</v>
      </c>
      <c r="GD42">
        <f ca="1"/>
        <v>661.2</v>
      </c>
      <c r="GE42">
        <f ca="1"/>
        <v>668.40000000000009</v>
      </c>
      <c r="GF42">
        <f ca="1"/>
        <v>671.59999999999991</v>
      </c>
      <c r="GG42">
        <f ca="1"/>
        <v>668.40000000000009</v>
      </c>
      <c r="GH42">
        <f ca="1"/>
        <v>667.6</v>
      </c>
      <c r="GI42">
        <f ca="1"/>
        <v>674</v>
      </c>
      <c r="GJ42">
        <f ca="1"/>
        <v>668.8</v>
      </c>
      <c r="GK42">
        <f ca="1"/>
        <v>673.6</v>
      </c>
      <c r="GL42">
        <f ca="1"/>
        <v>670.8</v>
      </c>
      <c r="GM42">
        <f ca="1"/>
        <v>671.2</v>
      </c>
      <c r="GN42">
        <f ca="1"/>
        <v>666</v>
      </c>
      <c r="GO42">
        <f ca="1"/>
        <v>673.19999999999993</v>
      </c>
      <c r="GP42">
        <f ca="1"/>
        <v>676</v>
      </c>
      <c r="GQ42">
        <f ca="1"/>
        <v>665.19999999999993</v>
      </c>
      <c r="GR42">
        <f ca="1"/>
        <v>662.4</v>
      </c>
      <c r="GS42">
        <f ca="1"/>
        <v>656</v>
      </c>
      <c r="GT42">
        <f ca="1"/>
        <v>665.19999999999993</v>
      </c>
      <c r="GU42">
        <f ca="1"/>
        <v>662</v>
      </c>
      <c r="GV42">
        <f ca="1"/>
        <v>669.59999999999991</v>
      </c>
      <c r="GW42">
        <f ca="1"/>
        <v>672.4</v>
      </c>
      <c r="GX42">
        <f ca="1"/>
        <v>687.6</v>
      </c>
      <c r="GY42">
        <f ca="1"/>
        <v>692.4</v>
      </c>
      <c r="GZ42">
        <f ca="1"/>
        <v>686</v>
      </c>
      <c r="HA42">
        <f ca="1"/>
        <v>680.40000000000009</v>
      </c>
      <c r="HB42">
        <f ca="1"/>
        <v>689.59999999999991</v>
      </c>
      <c r="HC42">
        <f ca="1"/>
        <v>684.80000000000007</v>
      </c>
      <c r="HD42">
        <f ca="1"/>
        <v>684.80000000000007</v>
      </c>
      <c r="HE42">
        <f ca="1"/>
        <v>692</v>
      </c>
      <c r="HF42">
        <f ca="1"/>
        <v>700</v>
      </c>
      <c r="HG42">
        <f ca="1"/>
        <v>695.6</v>
      </c>
      <c r="HH42">
        <f ca="1"/>
        <v>698.8</v>
      </c>
      <c r="HI42">
        <f ca="1"/>
        <v>706</v>
      </c>
      <c r="HJ42">
        <f ca="1"/>
        <v>712.4</v>
      </c>
      <c r="HK42">
        <f ca="1"/>
        <v>708.8</v>
      </c>
      <c r="HL42">
        <f ca="1"/>
        <v>713.6</v>
      </c>
      <c r="HM42">
        <f ca="1"/>
        <v>718</v>
      </c>
      <c r="HN42">
        <f ca="1"/>
        <v>730.40000000000009</v>
      </c>
      <c r="HO42">
        <f ca="1"/>
        <v>716</v>
      </c>
      <c r="HP42">
        <f ca="1"/>
        <v>707.2</v>
      </c>
      <c r="HQ42">
        <f ca="1"/>
        <v>712.8</v>
      </c>
      <c r="HR42">
        <f ca="1"/>
        <v>718.8</v>
      </c>
      <c r="HS42">
        <f ca="1"/>
        <v>703.6</v>
      </c>
      <c r="HT42">
        <f ca="1"/>
        <v>695.19999999999993</v>
      </c>
      <c r="HU42">
        <f ca="1"/>
        <v>693.19999999999993</v>
      </c>
      <c r="HV42">
        <f ca="1"/>
        <v>688</v>
      </c>
      <c r="HW42">
        <f ca="1"/>
        <v>683.19999999999993</v>
      </c>
      <c r="HX42">
        <f ca="1"/>
        <v>692.8</v>
      </c>
      <c r="HY42">
        <f ca="1"/>
        <v>703.19999999999993</v>
      </c>
      <c r="HZ42">
        <f ca="1"/>
        <v>714.80000000000007</v>
      </c>
      <c r="IA42">
        <f ca="1"/>
        <v>702</v>
      </c>
      <c r="IB42">
        <f ca="1"/>
        <v>682.4</v>
      </c>
      <c r="IC42">
        <f ca="1"/>
        <v>674.4</v>
      </c>
      <c r="ID42">
        <f ca="1"/>
        <v>680.8</v>
      </c>
      <c r="IE42">
        <f ca="1"/>
        <v>676.4</v>
      </c>
      <c r="IF42">
        <f ca="1"/>
        <v>688</v>
      </c>
      <c r="IG42">
        <f ca="1"/>
        <v>680</v>
      </c>
      <c r="IH42">
        <f ca="1"/>
        <v>683.19999999999993</v>
      </c>
      <c r="II42">
        <f ca="1"/>
        <v>681.59999999999991</v>
      </c>
      <c r="IJ42">
        <f ca="1"/>
        <v>690</v>
      </c>
      <c r="IK42">
        <f ca="1"/>
        <v>706.4</v>
      </c>
      <c r="IL42">
        <f ca="1"/>
        <v>713.19999999999993</v>
      </c>
      <c r="IM42">
        <f ca="1"/>
        <v>716.4</v>
      </c>
      <c r="IN42">
        <f ca="1"/>
        <v>718</v>
      </c>
      <c r="IO42">
        <f ca="1"/>
        <v>725.19999999999993</v>
      </c>
      <c r="IP42">
        <f ca="1"/>
        <v>723.19999999999993</v>
      </c>
      <c r="IQ42">
        <f ca="1"/>
        <v>736.80000000000007</v>
      </c>
      <c r="IR42">
        <f ca="1"/>
        <v>747.2</v>
      </c>
      <c r="IS42">
        <f ca="1"/>
        <v>752</v>
      </c>
      <c r="IT42">
        <f ca="1"/>
        <v>756.80000000000007</v>
      </c>
      <c r="IU42">
        <f ca="1"/>
        <v>766</v>
      </c>
      <c r="IV42">
        <f ca="1"/>
        <v>766</v>
      </c>
      <c r="IW42">
        <f ca="1"/>
        <v>756.80000000000007</v>
      </c>
    </row>
    <row r="43" spans="2:257" x14ac:dyDescent="0.25">
      <c r="B43" t="str">
        <f t="shared" si="408"/>
        <v>20K6HZ6</v>
      </c>
      <c r="C43" t="s">
        <v>160</v>
      </c>
      <c r="D43" t="e" vm="557">
        <v>#VALUE!</v>
      </c>
      <c r="E43" t="str" cm="1">
        <f t="array" aca="1" ref="E43" ca="1">_FV(D43,"Code mnémonique",TRUE)</f>
        <v>POW</v>
      </c>
      <c r="F43" s="12">
        <f>_xlfn.XLOOKUP(D43,Titres[Action],Titres[Nb d''actions])</f>
        <v>255</v>
      </c>
      <c r="G43" cm="1">
        <f t="array" aca="1" ref="G43:IW43" ca="1">IFERROR(TRANSPOSE(_xlfn.STOCKHISTORY(D43,TODAY()-365,TODAY(),0,0,1))*F43,"")</f>
        <v>12678.6</v>
      </c>
      <c r="H43">
        <f ca="1"/>
        <v>12880.05</v>
      </c>
      <c r="I43">
        <f ca="1"/>
        <v>12936.15</v>
      </c>
      <c r="J43">
        <f ca="1"/>
        <v>12979.5</v>
      </c>
      <c r="K43">
        <f ca="1"/>
        <v>12954</v>
      </c>
      <c r="L43">
        <f ca="1"/>
        <v>12918.3</v>
      </c>
      <c r="M43">
        <f ca="1"/>
        <v>13002.45</v>
      </c>
      <c r="N43">
        <f ca="1"/>
        <v>13305.9</v>
      </c>
      <c r="O43">
        <f ca="1"/>
        <v>13152.9</v>
      </c>
      <c r="P43">
        <f ca="1"/>
        <v>13094.25</v>
      </c>
      <c r="Q43">
        <f ca="1"/>
        <v>13178.4</v>
      </c>
      <c r="R43">
        <f ca="1"/>
        <v>13142.699999999999</v>
      </c>
      <c r="S43">
        <f ca="1"/>
        <v>12923.4</v>
      </c>
      <c r="T43">
        <f ca="1"/>
        <v>13094.25</v>
      </c>
      <c r="U43">
        <f ca="1"/>
        <v>12903</v>
      </c>
      <c r="V43">
        <f ca="1"/>
        <v>12852</v>
      </c>
      <c r="W43">
        <f ca="1"/>
        <v>12874.95</v>
      </c>
      <c r="X43">
        <f ca="1"/>
        <v>12540.9</v>
      </c>
      <c r="Y43">
        <f ca="1"/>
        <v>12724.5</v>
      </c>
      <c r="Z43">
        <f ca="1"/>
        <v>12747.45</v>
      </c>
      <c r="AA43">
        <f ca="1"/>
        <v>12969.3</v>
      </c>
      <c r="AB43">
        <f ca="1"/>
        <v>13124.85</v>
      </c>
      <c r="AC43">
        <f ca="1"/>
        <v>12992.25</v>
      </c>
      <c r="AD43">
        <f ca="1"/>
        <v>12976.95</v>
      </c>
      <c r="AE43">
        <f ca="1"/>
        <v>12903</v>
      </c>
      <c r="AF43">
        <f ca="1"/>
        <v>12961.65</v>
      </c>
      <c r="AG43">
        <f ca="1"/>
        <v>13175.85</v>
      </c>
      <c r="AH43">
        <f ca="1"/>
        <v>13191.15</v>
      </c>
      <c r="AI43">
        <f ca="1"/>
        <v>13543.05</v>
      </c>
      <c r="AJ43">
        <f ca="1"/>
        <v>13265.1</v>
      </c>
      <c r="AK43">
        <f ca="1"/>
        <v>13191.15</v>
      </c>
      <c r="AL43">
        <f ca="1"/>
        <v>13298.25</v>
      </c>
      <c r="AM43">
        <f ca="1"/>
        <v>13193.7</v>
      </c>
      <c r="AN43">
        <f ca="1"/>
        <v>13285.5</v>
      </c>
      <c r="AO43">
        <f ca="1"/>
        <v>13333.949999999999</v>
      </c>
      <c r="AP43">
        <f ca="1"/>
        <v>13033.05</v>
      </c>
      <c r="AQ43">
        <f ca="1"/>
        <v>13104.45</v>
      </c>
      <c r="AR43">
        <f ca="1"/>
        <v>13277.85</v>
      </c>
      <c r="AS43">
        <f ca="1"/>
        <v>13333.949999999999</v>
      </c>
      <c r="AT43">
        <f ca="1"/>
        <v>13627.199999999999</v>
      </c>
      <c r="AU43">
        <f ca="1"/>
        <v>13359.45</v>
      </c>
      <c r="AV43">
        <f ca="1"/>
        <v>13400.25</v>
      </c>
      <c r="AW43">
        <f ca="1"/>
        <v>13438.5</v>
      </c>
      <c r="AX43">
        <f ca="1"/>
        <v>13497.15</v>
      </c>
      <c r="AY43">
        <f ca="1"/>
        <v>13716.449999999999</v>
      </c>
      <c r="AZ43">
        <f ca="1"/>
        <v>13741.95</v>
      </c>
      <c r="BA43">
        <f ca="1"/>
        <v>13764.9</v>
      </c>
      <c r="BB43">
        <f ca="1"/>
        <v>13650.15</v>
      </c>
      <c r="BC43">
        <f ca="1"/>
        <v>13780.199999999999</v>
      </c>
      <c r="BD43">
        <f ca="1"/>
        <v>13563.449999999999</v>
      </c>
      <c r="BE43">
        <f ca="1"/>
        <v>13331.4</v>
      </c>
      <c r="BF43">
        <f ca="1"/>
        <v>13374.75</v>
      </c>
      <c r="BG43">
        <f ca="1"/>
        <v>13464</v>
      </c>
      <c r="BH43">
        <f ca="1"/>
        <v>13563.449999999999</v>
      </c>
      <c r="BI43">
        <f ca="1"/>
        <v>13293.150000000001</v>
      </c>
      <c r="BJ43">
        <f ca="1"/>
        <v>13407.9</v>
      </c>
      <c r="BK43">
        <f ca="1"/>
        <v>13543.05</v>
      </c>
      <c r="BL43">
        <f ca="1"/>
        <v>13619.55</v>
      </c>
      <c r="BM43">
        <f ca="1"/>
        <v>13622.1</v>
      </c>
      <c r="BN43">
        <f ca="1"/>
        <v>13639.95</v>
      </c>
      <c r="BO43">
        <f ca="1"/>
        <v>13642.5</v>
      </c>
      <c r="BP43">
        <f ca="1"/>
        <v>13627.199999999999</v>
      </c>
      <c r="BQ43">
        <f ca="1"/>
        <v>13846.5</v>
      </c>
      <c r="BR43">
        <f ca="1"/>
        <v>13813.35</v>
      </c>
      <c r="BS43">
        <f ca="1"/>
        <v>13905.15</v>
      </c>
      <c r="BT43">
        <f ca="1"/>
        <v>13963.8</v>
      </c>
      <c r="BU43">
        <f ca="1"/>
        <v>14106.6</v>
      </c>
      <c r="BV43">
        <f ca="1"/>
        <v>14162.699999999999</v>
      </c>
      <c r="BW43">
        <f ca="1"/>
        <v>14114.25</v>
      </c>
      <c r="BX43">
        <f ca="1"/>
        <v>14132.1</v>
      </c>
      <c r="BY43">
        <f ca="1"/>
        <v>14203.5</v>
      </c>
      <c r="BZ43">
        <f ca="1"/>
        <v>14239.2</v>
      </c>
      <c r="CA43">
        <f ca="1"/>
        <v>14269.800000000001</v>
      </c>
      <c r="CB43">
        <f ca="1"/>
        <v>14331</v>
      </c>
      <c r="CC43">
        <f ca="1"/>
        <v>14489.1</v>
      </c>
      <c r="CD43">
        <f ca="1"/>
        <v>14593.65</v>
      </c>
      <c r="CE43">
        <f ca="1"/>
        <v>14688</v>
      </c>
      <c r="CF43">
        <f ca="1"/>
        <v>14448.3</v>
      </c>
      <c r="CG43">
        <f ca="1"/>
        <v>14550.300000000001</v>
      </c>
      <c r="CH43">
        <f ca="1"/>
        <v>14430.45</v>
      </c>
      <c r="CI43">
        <f ca="1"/>
        <v>14606.4</v>
      </c>
      <c r="CJ43">
        <f ca="1"/>
        <v>14642.1</v>
      </c>
      <c r="CK43">
        <f ca="1"/>
        <v>14705.85</v>
      </c>
      <c r="CL43">
        <f ca="1"/>
        <v>14723.7</v>
      </c>
      <c r="CM43">
        <f ca="1"/>
        <v>14672.699999999999</v>
      </c>
      <c r="CN43">
        <f ca="1"/>
        <v>14795.1</v>
      </c>
      <c r="CO43">
        <f ca="1"/>
        <v>14728.8</v>
      </c>
      <c r="CP43">
        <f ca="1"/>
        <v>14807.85</v>
      </c>
      <c r="CQ43">
        <f ca="1"/>
        <v>14779.800000000001</v>
      </c>
      <c r="CR43">
        <f ca="1"/>
        <v>14716.050000000001</v>
      </c>
      <c r="CS43">
        <f ca="1"/>
        <v>14838.449999999999</v>
      </c>
      <c r="CT43">
        <f ca="1"/>
        <v>14823.150000000001</v>
      </c>
      <c r="CU43">
        <f ca="1"/>
        <v>14710.949999999999</v>
      </c>
      <c r="CV43">
        <f ca="1"/>
        <v>14848.65</v>
      </c>
      <c r="CW43">
        <f ca="1"/>
        <v>14856.3</v>
      </c>
      <c r="CX43">
        <f ca="1"/>
        <v>14779.800000000001</v>
      </c>
      <c r="CY43">
        <f ca="1"/>
        <v>14739</v>
      </c>
      <c r="CZ43">
        <f ca="1"/>
        <v>14866.5</v>
      </c>
      <c r="DA43">
        <f ca="1"/>
        <v>14963.4</v>
      </c>
      <c r="DB43">
        <f ca="1"/>
        <v>15121.5</v>
      </c>
      <c r="DC43">
        <f ca="1"/>
        <v>15083.25</v>
      </c>
      <c r="DD43">
        <f ca="1"/>
        <v>14973.6</v>
      </c>
      <c r="DE43">
        <f ca="1"/>
        <v>14626.8</v>
      </c>
      <c r="DF43">
        <f ca="1"/>
        <v>14685.45</v>
      </c>
      <c r="DG43">
        <f ca="1"/>
        <v>14759.400000000001</v>
      </c>
      <c r="DH43">
        <f ca="1"/>
        <v>14978.7</v>
      </c>
      <c r="DI43">
        <f ca="1"/>
        <v>14677.800000000001</v>
      </c>
      <c r="DJ43">
        <f ca="1"/>
        <v>14932.800000000001</v>
      </c>
      <c r="DK43">
        <f ca="1"/>
        <v>14777.25</v>
      </c>
      <c r="DL43">
        <f ca="1"/>
        <v>14810.4</v>
      </c>
      <c r="DM43">
        <f ca="1"/>
        <v>14914.95</v>
      </c>
      <c r="DN43">
        <f ca="1"/>
        <v>15088.35</v>
      </c>
      <c r="DO43">
        <f ca="1"/>
        <v>15356.1</v>
      </c>
      <c r="DP43">
        <f ca="1"/>
        <v>15246.449999999999</v>
      </c>
      <c r="DQ43">
        <f ca="1"/>
        <v>15317.85</v>
      </c>
      <c r="DR43">
        <f ca="1"/>
        <v>15335.7</v>
      </c>
      <c r="DS43">
        <f ca="1"/>
        <v>15483.6</v>
      </c>
      <c r="DT43">
        <f ca="1"/>
        <v>15598.35</v>
      </c>
      <c r="DU43">
        <f ca="1"/>
        <v>15746.25</v>
      </c>
      <c r="DV43">
        <f ca="1"/>
        <v>15924.75</v>
      </c>
      <c r="DW43">
        <f ca="1"/>
        <v>15883.949999999999</v>
      </c>
      <c r="DX43">
        <f ca="1"/>
        <v>15937.5</v>
      </c>
      <c r="DY43">
        <f ca="1"/>
        <v>15677.4</v>
      </c>
      <c r="DZ43">
        <f ca="1"/>
        <v>15713.099999999999</v>
      </c>
      <c r="EA43">
        <f ca="1"/>
        <v>15468.3</v>
      </c>
      <c r="EB43">
        <f ca="1"/>
        <v>15651.900000000001</v>
      </c>
      <c r="EC43">
        <f ca="1"/>
        <v>15756.449999999999</v>
      </c>
      <c r="ED43">
        <f ca="1"/>
        <v>15876.3</v>
      </c>
      <c r="EE43">
        <f ca="1"/>
        <v>16075.199999999999</v>
      </c>
      <c r="EF43">
        <f ca="1"/>
        <v>16246.050000000001</v>
      </c>
      <c r="EG43">
        <f ca="1"/>
        <v>16279.2</v>
      </c>
      <c r="EH43">
        <f ca="1"/>
        <v>16424.55</v>
      </c>
      <c r="EI43">
        <f ca="1"/>
        <v>16416.899999999998</v>
      </c>
      <c r="EJ43">
        <f ca="1"/>
        <v>16674.45</v>
      </c>
      <c r="EK43">
        <f ca="1"/>
        <v>16753.5</v>
      </c>
      <c r="EL43">
        <f ca="1"/>
        <v>16906.5</v>
      </c>
      <c r="EM43">
        <f ca="1"/>
        <v>16919.25</v>
      </c>
      <c r="EN43">
        <f ca="1"/>
        <v>16850.399999999998</v>
      </c>
      <c r="EO43">
        <f ca="1"/>
        <v>17013.599999999999</v>
      </c>
      <c r="EP43">
        <f ca="1"/>
        <v>17120.7</v>
      </c>
      <c r="EQ43">
        <f ca="1"/>
        <v>17337.449999999997</v>
      </c>
      <c r="ER43">
        <f ca="1"/>
        <v>17528.699999999997</v>
      </c>
      <c r="ES43">
        <f ca="1"/>
        <v>17819.399999999998</v>
      </c>
      <c r="ET43">
        <f ca="1"/>
        <v>17977.5</v>
      </c>
      <c r="EU43">
        <f ca="1"/>
        <v>17768.400000000001</v>
      </c>
      <c r="EV43">
        <f ca="1"/>
        <v>17748</v>
      </c>
      <c r="EW43">
        <f ca="1"/>
        <v>17419.05</v>
      </c>
      <c r="EX43">
        <f ca="1"/>
        <v>17383.350000000002</v>
      </c>
      <c r="EY43">
        <f ca="1"/>
        <v>17521.05</v>
      </c>
      <c r="EZ43">
        <f ca="1"/>
        <v>17918.849999999999</v>
      </c>
      <c r="FA43">
        <f ca="1"/>
        <v>18041.25</v>
      </c>
      <c r="FB43">
        <f ca="1"/>
        <v>18367.650000000001</v>
      </c>
      <c r="FC43">
        <f ca="1"/>
        <v>18398.25</v>
      </c>
      <c r="FD43">
        <f ca="1"/>
        <v>18337.05</v>
      </c>
      <c r="FE43">
        <f ca="1"/>
        <v>18143.25</v>
      </c>
      <c r="FF43">
        <f ca="1"/>
        <v>18156</v>
      </c>
      <c r="FG43">
        <f ca="1"/>
        <v>17959.650000000001</v>
      </c>
      <c r="FH43">
        <f ca="1"/>
        <v>17888.25</v>
      </c>
      <c r="FI43">
        <f ca="1"/>
        <v>17906.099999999999</v>
      </c>
      <c r="FJ43">
        <f ca="1"/>
        <v>17980.050000000003</v>
      </c>
      <c r="FK43">
        <f ca="1"/>
        <v>18028.5</v>
      </c>
      <c r="FL43">
        <f ca="1"/>
        <v>18207</v>
      </c>
      <c r="FM43">
        <f ca="1"/>
        <v>18441.599999999999</v>
      </c>
      <c r="FN43">
        <f ca="1"/>
        <v>18586.95</v>
      </c>
      <c r="FO43">
        <f ca="1"/>
        <v>18645.600000000002</v>
      </c>
      <c r="FP43">
        <f ca="1"/>
        <v>18872.550000000003</v>
      </c>
      <c r="FQ43">
        <f ca="1"/>
        <v>18584.399999999998</v>
      </c>
      <c r="FR43">
        <f ca="1"/>
        <v>18388.05</v>
      </c>
      <c r="FS43">
        <f ca="1"/>
        <v>18589.5</v>
      </c>
      <c r="FT43">
        <f ca="1"/>
        <v>18467.100000000002</v>
      </c>
      <c r="FU43">
        <f ca="1"/>
        <v>18762.899999999998</v>
      </c>
      <c r="FV43">
        <f ca="1"/>
        <v>18630.3</v>
      </c>
      <c r="FW43">
        <f ca="1"/>
        <v>18732.3</v>
      </c>
      <c r="FX43">
        <f ca="1"/>
        <v>18711.899999999998</v>
      </c>
      <c r="FY43">
        <f ca="1"/>
        <v>18706.8</v>
      </c>
      <c r="FZ43">
        <f ca="1"/>
        <v>18602.25</v>
      </c>
      <c r="GA43">
        <f ca="1"/>
        <v>18342.150000000001</v>
      </c>
      <c r="GB43">
        <f ca="1"/>
        <v>18750.150000000001</v>
      </c>
      <c r="GC43">
        <f ca="1"/>
        <v>18882.75</v>
      </c>
      <c r="GD43">
        <f ca="1"/>
        <v>18829.2</v>
      </c>
      <c r="GE43">
        <f ca="1"/>
        <v>18467.100000000002</v>
      </c>
      <c r="GF43">
        <f ca="1"/>
        <v>18464.55</v>
      </c>
      <c r="GG43">
        <f ca="1"/>
        <v>18739.949999999997</v>
      </c>
      <c r="GH43">
        <f ca="1"/>
        <v>18222.3</v>
      </c>
      <c r="GI43">
        <f ca="1"/>
        <v>18541.05</v>
      </c>
      <c r="GJ43">
        <f ca="1"/>
        <v>18490.050000000003</v>
      </c>
      <c r="GK43">
        <f ca="1"/>
        <v>18408.45</v>
      </c>
      <c r="GL43">
        <f ca="1"/>
        <v>18235.050000000003</v>
      </c>
      <c r="GM43">
        <f ca="1"/>
        <v>18217.2</v>
      </c>
      <c r="GN43">
        <f ca="1"/>
        <v>18235.050000000003</v>
      </c>
      <c r="GO43">
        <f ca="1"/>
        <v>18041.25</v>
      </c>
      <c r="GP43">
        <f ca="1"/>
        <v>17842.349999999999</v>
      </c>
      <c r="GQ43">
        <f ca="1"/>
        <v>17816.850000000002</v>
      </c>
      <c r="GR43">
        <f ca="1"/>
        <v>17755.649999999998</v>
      </c>
      <c r="GS43">
        <f ca="1"/>
        <v>17648.55</v>
      </c>
      <c r="GT43">
        <f ca="1"/>
        <v>17523.599999999999</v>
      </c>
      <c r="GU43">
        <f ca="1"/>
        <v>17510.850000000002</v>
      </c>
      <c r="GV43">
        <f ca="1"/>
        <v>17640.900000000001</v>
      </c>
      <c r="GW43">
        <f ca="1"/>
        <v>17350.2</v>
      </c>
      <c r="GX43">
        <f ca="1"/>
        <v>16575</v>
      </c>
      <c r="GY43">
        <f ca="1"/>
        <v>16906.5</v>
      </c>
      <c r="GZ43">
        <f ca="1"/>
        <v>16447.5</v>
      </c>
      <c r="HA43">
        <f ca="1"/>
        <v>16633.650000000001</v>
      </c>
      <c r="HB43">
        <f ca="1"/>
        <v>16582.650000000001</v>
      </c>
      <c r="HC43">
        <f ca="1"/>
        <v>16177.199999999999</v>
      </c>
      <c r="HD43">
        <f ca="1"/>
        <v>16302.15</v>
      </c>
      <c r="HE43">
        <f ca="1"/>
        <v>16488.3</v>
      </c>
      <c r="HF43">
        <f ca="1"/>
        <v>16641.300000000003</v>
      </c>
      <c r="HG43">
        <f ca="1"/>
        <v>16748.400000000001</v>
      </c>
      <c r="HH43">
        <f ca="1"/>
        <v>16809.600000000002</v>
      </c>
      <c r="HI43">
        <f ca="1"/>
        <v>16827.449999999997</v>
      </c>
      <c r="HJ43">
        <f ca="1"/>
        <v>17056.95</v>
      </c>
      <c r="HK43">
        <f ca="1"/>
        <v>17125.8</v>
      </c>
      <c r="HL43">
        <f ca="1"/>
        <v>17299.2</v>
      </c>
      <c r="HM43">
        <f ca="1"/>
        <v>17533.800000000003</v>
      </c>
      <c r="HN43">
        <f ca="1"/>
        <v>17472.599999999999</v>
      </c>
      <c r="HO43">
        <f ca="1"/>
        <v>17411.400000000001</v>
      </c>
      <c r="HP43">
        <f ca="1"/>
        <v>17166.599999999999</v>
      </c>
      <c r="HQ43">
        <f ca="1"/>
        <v>17276.25</v>
      </c>
      <c r="HR43">
        <f ca="1"/>
        <v>17161.5</v>
      </c>
      <c r="HS43">
        <f ca="1"/>
        <v>16817.25</v>
      </c>
      <c r="HT43">
        <f ca="1"/>
        <v>16638.75</v>
      </c>
      <c r="HU43">
        <f ca="1"/>
        <v>16753.5</v>
      </c>
      <c r="HV43">
        <f ca="1"/>
        <v>16572.449999999997</v>
      </c>
      <c r="HW43">
        <f ca="1"/>
        <v>16483.2</v>
      </c>
      <c r="HX43">
        <f ca="1"/>
        <v>16893.75</v>
      </c>
      <c r="HY43">
        <f ca="1"/>
        <v>17090.099999999999</v>
      </c>
      <c r="HZ43">
        <f ca="1"/>
        <v>17023.800000000003</v>
      </c>
      <c r="IA43">
        <f ca="1"/>
        <v>16954.949999999997</v>
      </c>
      <c r="IB43">
        <f ca="1"/>
        <v>16276.65</v>
      </c>
      <c r="IC43">
        <f ca="1"/>
        <v>16544.399999999998</v>
      </c>
      <c r="ID43">
        <f ca="1"/>
        <v>16837.650000000001</v>
      </c>
      <c r="IE43">
        <f ca="1"/>
        <v>16822.349999999999</v>
      </c>
      <c r="IF43">
        <f ca="1"/>
        <v>17273.699999999997</v>
      </c>
      <c r="IG43">
        <f ca="1"/>
        <v>17039.099999999999</v>
      </c>
      <c r="IH43">
        <f ca="1"/>
        <v>16878.45</v>
      </c>
      <c r="II43">
        <f ca="1"/>
        <v>16903.95</v>
      </c>
      <c r="IJ43">
        <f ca="1"/>
        <v>17077.349999999999</v>
      </c>
      <c r="IK43">
        <f ca="1"/>
        <v>17396.099999999999</v>
      </c>
      <c r="IL43">
        <f ca="1"/>
        <v>17442</v>
      </c>
      <c r="IM43">
        <f ca="1"/>
        <v>17467.5</v>
      </c>
      <c r="IN43">
        <f ca="1"/>
        <v>17337.449999999997</v>
      </c>
      <c r="IO43">
        <f ca="1"/>
        <v>17299.2</v>
      </c>
      <c r="IP43">
        <f ca="1"/>
        <v>17758.2</v>
      </c>
      <c r="IQ43">
        <f ca="1"/>
        <v>17867.849999999999</v>
      </c>
      <c r="IR43">
        <f ca="1"/>
        <v>18413.55</v>
      </c>
      <c r="IS43">
        <f ca="1"/>
        <v>18717</v>
      </c>
      <c r="IT43">
        <f ca="1"/>
        <v>18887.849999999999</v>
      </c>
      <c r="IU43">
        <f ca="1"/>
        <v>18398.25</v>
      </c>
      <c r="IV43">
        <f ca="1"/>
        <v>18706.8</v>
      </c>
      <c r="IW43">
        <f ca="1"/>
        <v>18423.75</v>
      </c>
    </row>
    <row r="44" spans="2:257" x14ac:dyDescent="0.25">
      <c r="B44" t="str">
        <f t="shared" si="408"/>
        <v>20K6HZ6</v>
      </c>
      <c r="C44" t="s">
        <v>160</v>
      </c>
      <c r="D44" t="e" vm="559">
        <v>#VALUE!</v>
      </c>
      <c r="E44" t="str" cm="1">
        <f t="array" aca="1" ref="E44" ca="1">_FV(D44,"Code mnémonique",TRUE)</f>
        <v>RCI.B</v>
      </c>
      <c r="F44" s="12">
        <f>_xlfn.XLOOKUP(D44,Titres[Action],Titres[Nb d''actions])</f>
        <v>100</v>
      </c>
      <c r="G44" cm="1">
        <f t="array" aca="1" ref="G44:IW44" ca="1">IFERROR(TRANSPOSE(_xlfn.STOCKHISTORY(D44,TODAY()-365,TODAY(),0,0,1))*F44,"")</f>
        <v>3536.9999999999995</v>
      </c>
      <c r="H44">
        <f ca="1"/>
        <v>3511.9999999999995</v>
      </c>
      <c r="I44">
        <f ca="1"/>
        <v>3484.0000000000005</v>
      </c>
      <c r="J44">
        <f ca="1"/>
        <v>3497.9999999999995</v>
      </c>
      <c r="K44">
        <f ca="1"/>
        <v>3489</v>
      </c>
      <c r="L44">
        <f ca="1"/>
        <v>3522.9999999999995</v>
      </c>
      <c r="M44">
        <f ca="1"/>
        <v>3553</v>
      </c>
      <c r="N44">
        <f ca="1"/>
        <v>3594</v>
      </c>
      <c r="O44">
        <f ca="1"/>
        <v>3518</v>
      </c>
      <c r="P44">
        <f ca="1"/>
        <v>3522</v>
      </c>
      <c r="Q44">
        <f ca="1"/>
        <v>3510</v>
      </c>
      <c r="R44">
        <f ca="1"/>
        <v>3502.0000000000005</v>
      </c>
      <c r="S44">
        <f ca="1"/>
        <v>3526</v>
      </c>
      <c r="T44">
        <f ca="1"/>
        <v>3540.9999999999995</v>
      </c>
      <c r="U44">
        <f ca="1"/>
        <v>3557</v>
      </c>
      <c r="V44">
        <f ca="1"/>
        <v>3604.9999999999995</v>
      </c>
      <c r="W44">
        <f ca="1"/>
        <v>3540.9999999999995</v>
      </c>
      <c r="X44">
        <f ca="1"/>
        <v>3489</v>
      </c>
      <c r="Y44">
        <f ca="1"/>
        <v>3540</v>
      </c>
      <c r="Z44">
        <f ca="1"/>
        <v>3571</v>
      </c>
      <c r="AA44">
        <f ca="1"/>
        <v>3601</v>
      </c>
      <c r="AB44">
        <f ca="1"/>
        <v>3588.0000000000005</v>
      </c>
      <c r="AC44">
        <f ca="1"/>
        <v>3609.0000000000005</v>
      </c>
      <c r="AD44">
        <f ca="1"/>
        <v>3581</v>
      </c>
      <c r="AE44">
        <f ca="1"/>
        <v>3628</v>
      </c>
      <c r="AF44">
        <f ca="1"/>
        <v>3674</v>
      </c>
      <c r="AG44">
        <f ca="1"/>
        <v>3636.9999999999995</v>
      </c>
      <c r="AH44">
        <f ca="1"/>
        <v>3669</v>
      </c>
      <c r="AI44">
        <f ca="1"/>
        <v>3684.0000000000005</v>
      </c>
      <c r="AJ44">
        <f ca="1"/>
        <v>3677.0000000000005</v>
      </c>
      <c r="AK44">
        <f ca="1"/>
        <v>3671</v>
      </c>
      <c r="AL44">
        <f ca="1"/>
        <v>3672.9999999999995</v>
      </c>
      <c r="AM44">
        <f ca="1"/>
        <v>3650</v>
      </c>
      <c r="AN44">
        <f ca="1"/>
        <v>3642</v>
      </c>
      <c r="AO44">
        <f ca="1"/>
        <v>3646</v>
      </c>
      <c r="AP44">
        <f ca="1"/>
        <v>3725</v>
      </c>
      <c r="AQ44">
        <f ca="1"/>
        <v>3699</v>
      </c>
      <c r="AR44">
        <f ca="1"/>
        <v>3763.0000000000005</v>
      </c>
      <c r="AS44">
        <f ca="1"/>
        <v>3756</v>
      </c>
      <c r="AT44">
        <f ca="1"/>
        <v>3790.9999999999995</v>
      </c>
      <c r="AU44">
        <f ca="1"/>
        <v>3740.9999999999995</v>
      </c>
      <c r="AV44">
        <f ca="1"/>
        <v>3781</v>
      </c>
      <c r="AW44">
        <f ca="1"/>
        <v>3809.0000000000005</v>
      </c>
      <c r="AX44">
        <f ca="1"/>
        <v>3815</v>
      </c>
      <c r="AY44">
        <f ca="1"/>
        <v>3869</v>
      </c>
      <c r="AZ44">
        <f ca="1"/>
        <v>4001</v>
      </c>
      <c r="BA44">
        <f ca="1"/>
        <v>3994</v>
      </c>
      <c r="BB44">
        <f ca="1"/>
        <v>4001</v>
      </c>
      <c r="BC44">
        <f ca="1"/>
        <v>3986.9999999999995</v>
      </c>
      <c r="BD44">
        <f ca="1"/>
        <v>4039</v>
      </c>
      <c r="BE44">
        <f ca="1"/>
        <v>4329</v>
      </c>
      <c r="BF44">
        <f ca="1"/>
        <v>4388</v>
      </c>
      <c r="BG44">
        <f ca="1"/>
        <v>4404</v>
      </c>
      <c r="BH44">
        <f ca="1"/>
        <v>4354</v>
      </c>
      <c r="BI44">
        <f ca="1"/>
        <v>4415</v>
      </c>
      <c r="BJ44">
        <f ca="1"/>
        <v>4400</v>
      </c>
      <c r="BK44">
        <f ca="1"/>
        <v>4492</v>
      </c>
      <c r="BL44">
        <f ca="1"/>
        <v>4582</v>
      </c>
      <c r="BM44">
        <f ca="1"/>
        <v>4553</v>
      </c>
      <c r="BN44">
        <f ca="1"/>
        <v>4588</v>
      </c>
      <c r="BO44">
        <f ca="1"/>
        <v>4605</v>
      </c>
      <c r="BP44">
        <f ca="1"/>
        <v>4551</v>
      </c>
      <c r="BQ44">
        <f ca="1"/>
        <v>4521</v>
      </c>
      <c r="BR44">
        <f ca="1"/>
        <v>4563</v>
      </c>
      <c r="BS44">
        <f ca="1"/>
        <v>4644</v>
      </c>
      <c r="BT44">
        <f ca="1"/>
        <v>4699</v>
      </c>
      <c r="BU44">
        <f ca="1"/>
        <v>4706</v>
      </c>
      <c r="BV44">
        <f ca="1"/>
        <v>4704</v>
      </c>
      <c r="BW44">
        <f ca="1"/>
        <v>4662</v>
      </c>
      <c r="BX44">
        <f ca="1"/>
        <v>4640</v>
      </c>
      <c r="BY44">
        <f ca="1"/>
        <v>4616</v>
      </c>
      <c r="BZ44">
        <f ca="1"/>
        <v>4628</v>
      </c>
      <c r="CA44">
        <f ca="1"/>
        <v>4650</v>
      </c>
      <c r="CB44">
        <f ca="1"/>
        <v>4638</v>
      </c>
      <c r="CC44">
        <f ca="1"/>
        <v>4539</v>
      </c>
      <c r="CD44">
        <f ca="1"/>
        <v>4629</v>
      </c>
      <c r="CE44">
        <f ca="1"/>
        <v>4674</v>
      </c>
      <c r="CF44">
        <f ca="1"/>
        <v>4670</v>
      </c>
      <c r="CG44">
        <f ca="1"/>
        <v>4705</v>
      </c>
      <c r="CH44">
        <f ca="1"/>
        <v>4792</v>
      </c>
      <c r="CI44">
        <f ca="1"/>
        <v>4844</v>
      </c>
      <c r="CJ44">
        <f ca="1"/>
        <v>4878</v>
      </c>
      <c r="CK44">
        <f ca="1"/>
        <v>4857</v>
      </c>
      <c r="CL44">
        <f ca="1"/>
        <v>4883</v>
      </c>
      <c r="CM44">
        <f ca="1"/>
        <v>4904</v>
      </c>
      <c r="CN44">
        <f ca="1"/>
        <v>4952</v>
      </c>
      <c r="CO44">
        <f ca="1"/>
        <v>4930</v>
      </c>
      <c r="CP44">
        <f ca="1"/>
        <v>4921</v>
      </c>
      <c r="CQ44">
        <f ca="1"/>
        <v>4877</v>
      </c>
      <c r="CR44">
        <f ca="1"/>
        <v>4934</v>
      </c>
      <c r="CS44">
        <f ca="1"/>
        <v>4913</v>
      </c>
      <c r="CT44">
        <f ca="1"/>
        <v>4921</v>
      </c>
      <c r="CU44">
        <f ca="1"/>
        <v>4900</v>
      </c>
      <c r="CV44">
        <f ca="1"/>
        <v>4927</v>
      </c>
      <c r="CW44">
        <f ca="1"/>
        <v>4925</v>
      </c>
      <c r="CX44">
        <f ca="1"/>
        <v>4970</v>
      </c>
      <c r="CY44">
        <f ca="1"/>
        <v>4936</v>
      </c>
      <c r="CZ44">
        <f ca="1"/>
        <v>4923</v>
      </c>
      <c r="DA44">
        <f ca="1"/>
        <v>4914</v>
      </c>
      <c r="DB44">
        <f ca="1"/>
        <v>4974</v>
      </c>
      <c r="DC44">
        <f ca="1"/>
        <v>4953</v>
      </c>
      <c r="DD44">
        <f ca="1"/>
        <v>4926</v>
      </c>
      <c r="DE44">
        <f ca="1"/>
        <v>4925</v>
      </c>
      <c r="DF44">
        <f ca="1"/>
        <v>4922</v>
      </c>
      <c r="DG44">
        <f ca="1"/>
        <v>4852</v>
      </c>
      <c r="DH44">
        <f ca="1"/>
        <v>4882</v>
      </c>
      <c r="DI44">
        <f ca="1"/>
        <v>4849</v>
      </c>
      <c r="DJ44">
        <f ca="1"/>
        <v>4887</v>
      </c>
      <c r="DK44">
        <f ca="1"/>
        <v>4819</v>
      </c>
      <c r="DL44">
        <f ca="1"/>
        <v>4897</v>
      </c>
      <c r="DM44">
        <f ca="1"/>
        <v>4970</v>
      </c>
      <c r="DN44">
        <f ca="1"/>
        <v>4963</v>
      </c>
      <c r="DO44">
        <f ca="1"/>
        <v>4791</v>
      </c>
      <c r="DP44">
        <f ca="1"/>
        <v>4856</v>
      </c>
      <c r="DQ44">
        <f ca="1"/>
        <v>4911</v>
      </c>
      <c r="DR44">
        <f ca="1"/>
        <v>4847</v>
      </c>
      <c r="DS44">
        <f ca="1"/>
        <v>4882</v>
      </c>
      <c r="DT44">
        <f ca="1"/>
        <v>5000</v>
      </c>
      <c r="DU44">
        <f ca="1"/>
        <v>4960</v>
      </c>
      <c r="DV44">
        <f ca="1"/>
        <v>5076</v>
      </c>
      <c r="DW44">
        <f ca="1"/>
        <v>5150</v>
      </c>
      <c r="DX44">
        <f ca="1"/>
        <v>5162</v>
      </c>
      <c r="DY44">
        <f ca="1"/>
        <v>5176</v>
      </c>
      <c r="DZ44">
        <f ca="1"/>
        <v>5227</v>
      </c>
      <c r="EA44">
        <f ca="1"/>
        <v>5220</v>
      </c>
      <c r="EB44">
        <f ca="1"/>
        <v>5139</v>
      </c>
      <c r="EC44">
        <f ca="1"/>
        <v>5191</v>
      </c>
      <c r="ED44">
        <f ca="1"/>
        <v>5224</v>
      </c>
      <c r="EE44">
        <f ca="1"/>
        <v>5400</v>
      </c>
      <c r="EF44">
        <f ca="1"/>
        <v>5505</v>
      </c>
      <c r="EG44">
        <f ca="1"/>
        <v>5559</v>
      </c>
      <c r="EH44">
        <f ca="1"/>
        <v>5575</v>
      </c>
      <c r="EI44">
        <f ca="1"/>
        <v>5546</v>
      </c>
      <c r="EJ44">
        <f ca="1"/>
        <v>5513</v>
      </c>
      <c r="EK44">
        <f ca="1"/>
        <v>5489</v>
      </c>
      <c r="EL44">
        <f ca="1"/>
        <v>5405</v>
      </c>
      <c r="EM44">
        <f ca="1"/>
        <v>5367</v>
      </c>
      <c r="EN44">
        <f ca="1"/>
        <v>5251</v>
      </c>
      <c r="EO44">
        <f ca="1"/>
        <v>5193</v>
      </c>
      <c r="EP44">
        <f ca="1"/>
        <v>5249</v>
      </c>
      <c r="EQ44">
        <f ca="1"/>
        <v>5288</v>
      </c>
      <c r="ER44">
        <f ca="1"/>
        <v>5345</v>
      </c>
      <c r="ES44">
        <f ca="1"/>
        <v>5379</v>
      </c>
      <c r="ET44">
        <f ca="1"/>
        <v>5384</v>
      </c>
      <c r="EU44">
        <f ca="1"/>
        <v>5386</v>
      </c>
      <c r="EV44">
        <f ca="1"/>
        <v>5414</v>
      </c>
      <c r="EW44">
        <f ca="1"/>
        <v>5384</v>
      </c>
      <c r="EX44">
        <f ca="1"/>
        <v>5393</v>
      </c>
      <c r="EY44">
        <f ca="1"/>
        <v>5325</v>
      </c>
      <c r="EZ44">
        <f ca="1"/>
        <v>5401</v>
      </c>
      <c r="FA44">
        <f ca="1"/>
        <v>5388</v>
      </c>
      <c r="FB44">
        <f ca="1"/>
        <v>5424</v>
      </c>
      <c r="FC44">
        <f ca="1"/>
        <v>5495</v>
      </c>
      <c r="FD44">
        <f ca="1"/>
        <v>5450</v>
      </c>
      <c r="FE44">
        <f ca="1"/>
        <v>5463</v>
      </c>
      <c r="FF44">
        <f ca="1"/>
        <v>5454</v>
      </c>
      <c r="FG44">
        <f ca="1"/>
        <v>5408</v>
      </c>
      <c r="FH44">
        <f ca="1"/>
        <v>5277</v>
      </c>
      <c r="FI44">
        <f ca="1"/>
        <v>5240</v>
      </c>
      <c r="FJ44">
        <f ca="1"/>
        <v>5187</v>
      </c>
      <c r="FK44">
        <f ca="1"/>
        <v>5063</v>
      </c>
      <c r="FL44">
        <f ca="1"/>
        <v>5069</v>
      </c>
      <c r="FM44">
        <f ca="1"/>
        <v>4951</v>
      </c>
      <c r="FN44">
        <f ca="1"/>
        <v>4983</v>
      </c>
      <c r="FO44">
        <f ca="1"/>
        <v>4987</v>
      </c>
      <c r="FP44">
        <f ca="1"/>
        <v>5051</v>
      </c>
      <c r="FQ44">
        <f ca="1"/>
        <v>5064</v>
      </c>
      <c r="FR44">
        <f ca="1"/>
        <v>5130</v>
      </c>
      <c r="FS44">
        <f ca="1"/>
        <v>5051</v>
      </c>
      <c r="FT44">
        <f ca="1"/>
        <v>5051</v>
      </c>
      <c r="FU44">
        <f ca="1"/>
        <v>5055</v>
      </c>
      <c r="FV44">
        <f ca="1"/>
        <v>5070</v>
      </c>
      <c r="FW44">
        <f ca="1"/>
        <v>5085</v>
      </c>
      <c r="FX44">
        <f ca="1"/>
        <v>5133</v>
      </c>
      <c r="FY44">
        <f ca="1"/>
        <v>5182</v>
      </c>
      <c r="FZ44">
        <f ca="1"/>
        <v>5181</v>
      </c>
      <c r="GA44">
        <f ca="1"/>
        <v>5211</v>
      </c>
      <c r="GB44">
        <f ca="1"/>
        <v>5199</v>
      </c>
      <c r="GC44">
        <f ca="1"/>
        <v>5124</v>
      </c>
      <c r="GD44">
        <f ca="1"/>
        <v>5070</v>
      </c>
      <c r="GE44">
        <f ca="1"/>
        <v>5063</v>
      </c>
      <c r="GF44">
        <f ca="1"/>
        <v>5056</v>
      </c>
      <c r="GG44">
        <f ca="1"/>
        <v>5040</v>
      </c>
      <c r="GH44">
        <f ca="1"/>
        <v>4952</v>
      </c>
      <c r="GI44">
        <f ca="1"/>
        <v>5009</v>
      </c>
      <c r="GJ44">
        <f ca="1"/>
        <v>4944</v>
      </c>
      <c r="GK44">
        <f ca="1"/>
        <v>4975</v>
      </c>
      <c r="GL44">
        <f ca="1"/>
        <v>4998</v>
      </c>
      <c r="GM44">
        <f ca="1"/>
        <v>5055</v>
      </c>
      <c r="GN44">
        <f ca="1"/>
        <v>5078</v>
      </c>
      <c r="GO44">
        <f ca="1"/>
        <v>5110</v>
      </c>
      <c r="GP44">
        <f ca="1"/>
        <v>5052</v>
      </c>
      <c r="GQ44">
        <f ca="1"/>
        <v>5001</v>
      </c>
      <c r="GR44">
        <f ca="1"/>
        <v>4978</v>
      </c>
      <c r="GS44">
        <f ca="1"/>
        <v>4920</v>
      </c>
      <c r="GT44">
        <f ca="1"/>
        <v>5200</v>
      </c>
      <c r="GU44">
        <f ca="1"/>
        <v>5140</v>
      </c>
      <c r="GV44">
        <f ca="1"/>
        <v>5040</v>
      </c>
      <c r="GW44">
        <f ca="1"/>
        <v>5090</v>
      </c>
      <c r="GX44">
        <f ca="1"/>
        <v>5089</v>
      </c>
      <c r="GY44">
        <f ca="1"/>
        <v>5032</v>
      </c>
      <c r="GZ44">
        <f ca="1"/>
        <v>4929</v>
      </c>
      <c r="HA44">
        <f ca="1"/>
        <v>5028</v>
      </c>
      <c r="HB44">
        <f ca="1"/>
        <v>5095</v>
      </c>
      <c r="HC44">
        <f ca="1"/>
        <v>5142</v>
      </c>
      <c r="HD44">
        <f ca="1"/>
        <v>5257</v>
      </c>
      <c r="HE44">
        <f ca="1"/>
        <v>5287</v>
      </c>
      <c r="HF44">
        <f ca="1"/>
        <v>5245</v>
      </c>
      <c r="HG44">
        <f ca="1"/>
        <v>5249</v>
      </c>
      <c r="HH44">
        <f ca="1"/>
        <v>5232</v>
      </c>
      <c r="HI44">
        <f ca="1"/>
        <v>5254</v>
      </c>
      <c r="HJ44">
        <f ca="1"/>
        <v>5285</v>
      </c>
      <c r="HK44">
        <f ca="1"/>
        <v>5339</v>
      </c>
      <c r="HL44">
        <f ca="1"/>
        <v>5431</v>
      </c>
      <c r="HM44">
        <f ca="1"/>
        <v>5394</v>
      </c>
      <c r="HN44">
        <f ca="1"/>
        <v>5444</v>
      </c>
      <c r="HO44">
        <f ca="1"/>
        <v>5605</v>
      </c>
      <c r="HP44">
        <f ca="1"/>
        <v>5514</v>
      </c>
      <c r="HQ44">
        <f ca="1"/>
        <v>5528</v>
      </c>
      <c r="HR44">
        <f ca="1"/>
        <v>5554</v>
      </c>
      <c r="HS44">
        <f ca="1"/>
        <v>5470</v>
      </c>
      <c r="HT44">
        <f ca="1"/>
        <v>5519</v>
      </c>
      <c r="HU44">
        <f ca="1"/>
        <v>5405</v>
      </c>
      <c r="HV44">
        <f ca="1"/>
        <v>5366</v>
      </c>
      <c r="HW44">
        <f ca="1"/>
        <v>5277</v>
      </c>
      <c r="HX44">
        <f ca="1"/>
        <v>5321</v>
      </c>
      <c r="HY44">
        <f ca="1"/>
        <v>5315</v>
      </c>
      <c r="HZ44">
        <f ca="1"/>
        <v>5400</v>
      </c>
      <c r="IA44">
        <f ca="1"/>
        <v>5357</v>
      </c>
      <c r="IB44">
        <f ca="1"/>
        <v>5312</v>
      </c>
      <c r="IC44">
        <f ca="1"/>
        <v>5242</v>
      </c>
      <c r="ID44">
        <f ca="1"/>
        <v>5355</v>
      </c>
      <c r="IE44">
        <f ca="1"/>
        <v>5334</v>
      </c>
      <c r="IF44">
        <f ca="1"/>
        <v>5398</v>
      </c>
      <c r="IG44">
        <f ca="1"/>
        <v>5389</v>
      </c>
      <c r="IH44">
        <f ca="1"/>
        <v>5346</v>
      </c>
      <c r="II44">
        <f ca="1"/>
        <v>5291</v>
      </c>
      <c r="IJ44">
        <f ca="1"/>
        <v>5350</v>
      </c>
      <c r="IK44">
        <f ca="1"/>
        <v>5297</v>
      </c>
      <c r="IL44">
        <f ca="1"/>
        <v>4876</v>
      </c>
      <c r="IM44">
        <f ca="1"/>
        <v>4784</v>
      </c>
      <c r="IN44">
        <f ca="1"/>
        <v>4619</v>
      </c>
      <c r="IO44">
        <f ca="1"/>
        <v>4592</v>
      </c>
      <c r="IP44">
        <f ca="1"/>
        <v>4528</v>
      </c>
      <c r="IQ44">
        <f ca="1"/>
        <v>4486</v>
      </c>
      <c r="IR44">
        <f ca="1"/>
        <v>4509</v>
      </c>
      <c r="IS44">
        <f ca="1"/>
        <v>4582</v>
      </c>
      <c r="IT44">
        <f ca="1"/>
        <v>4573</v>
      </c>
      <c r="IU44">
        <f ca="1"/>
        <v>4569</v>
      </c>
      <c r="IV44">
        <f ca="1"/>
        <v>4557</v>
      </c>
      <c r="IW44">
        <f ca="1"/>
        <v>4552</v>
      </c>
    </row>
    <row r="45" spans="2:257" x14ac:dyDescent="0.25">
      <c r="B45" t="str">
        <f t="shared" si="408"/>
        <v>20K6HZ6</v>
      </c>
      <c r="C45" t="s">
        <v>160</v>
      </c>
      <c r="D45" t="e" vm="517">
        <v>#VALUE!</v>
      </c>
      <c r="E45" t="str" cm="1">
        <f t="array" aca="1" ref="E45" ca="1">_FV(D45,"Code mnémonique",TRUE)</f>
        <v>RY</v>
      </c>
      <c r="F45" s="12">
        <f>_xlfn.XLOOKUP(D45,Titres[Action],Titres[Nb d''actions])</f>
        <v>55</v>
      </c>
      <c r="G45" cm="1">
        <f t="array" aca="1" ref="G45:IW45" ca="1">IFERROR(TRANSPOSE(_xlfn.STOCKHISTORY(D45,TODAY()-365,TODAY(),0,0,1))*F45,"")</f>
        <v>8765.9</v>
      </c>
      <c r="H45">
        <f ca="1"/>
        <v>8966.65</v>
      </c>
      <c r="I45">
        <f ca="1"/>
        <v>8992.5</v>
      </c>
      <c r="J45">
        <f ca="1"/>
        <v>8967.1999999999989</v>
      </c>
      <c r="K45">
        <f ca="1"/>
        <v>8981.5</v>
      </c>
      <c r="L45">
        <f ca="1"/>
        <v>9013.4</v>
      </c>
      <c r="M45">
        <f ca="1"/>
        <v>9125.0499999999993</v>
      </c>
      <c r="N45">
        <f ca="1"/>
        <v>9100.85</v>
      </c>
      <c r="O45">
        <f ca="1"/>
        <v>9138.25</v>
      </c>
      <c r="P45">
        <f ca="1"/>
        <v>9208.65</v>
      </c>
      <c r="Q45">
        <f ca="1"/>
        <v>9185</v>
      </c>
      <c r="R45">
        <f ca="1"/>
        <v>9099.75</v>
      </c>
      <c r="S45">
        <f ca="1"/>
        <v>9152</v>
      </c>
      <c r="T45">
        <f ca="1"/>
        <v>9176.2000000000007</v>
      </c>
      <c r="U45">
        <f ca="1"/>
        <v>9217.4500000000007</v>
      </c>
      <c r="V45">
        <f ca="1"/>
        <v>9295.5499999999993</v>
      </c>
      <c r="W45">
        <f ca="1"/>
        <v>9337.9</v>
      </c>
      <c r="X45">
        <f ca="1"/>
        <v>9418.2000000000007</v>
      </c>
      <c r="Y45">
        <f ca="1"/>
        <v>9580.4500000000007</v>
      </c>
      <c r="Z45">
        <f ca="1"/>
        <v>9671.2000000000007</v>
      </c>
      <c r="AA45">
        <f ca="1"/>
        <v>9670.1</v>
      </c>
      <c r="AB45">
        <f ca="1"/>
        <v>9589.8000000000011</v>
      </c>
      <c r="AC45">
        <f ca="1"/>
        <v>9647.5499999999993</v>
      </c>
      <c r="AD45">
        <f ca="1"/>
        <v>9684.4000000000015</v>
      </c>
      <c r="AE45">
        <f ca="1"/>
        <v>9701.4499999999989</v>
      </c>
      <c r="AF45">
        <f ca="1"/>
        <v>9782.85</v>
      </c>
      <c r="AG45">
        <f ca="1"/>
        <v>9823</v>
      </c>
      <c r="AH45">
        <f ca="1"/>
        <v>9482</v>
      </c>
      <c r="AI45">
        <f ca="1"/>
        <v>9566.7000000000007</v>
      </c>
      <c r="AJ45">
        <f ca="1"/>
        <v>9633.7999999999993</v>
      </c>
      <c r="AK45">
        <f ca="1"/>
        <v>9621.15</v>
      </c>
      <c r="AL45">
        <f ca="1"/>
        <v>9583.75</v>
      </c>
      <c r="AM45">
        <f ca="1"/>
        <v>9541.4</v>
      </c>
      <c r="AN45">
        <f ca="1"/>
        <v>9601.35</v>
      </c>
      <c r="AO45">
        <f ca="1"/>
        <v>9606.2999999999993</v>
      </c>
      <c r="AP45">
        <f ca="1"/>
        <v>9650.85</v>
      </c>
      <c r="AQ45">
        <f ca="1"/>
        <v>9609.6</v>
      </c>
      <c r="AR45">
        <f ca="1"/>
        <v>9639.85</v>
      </c>
      <c r="AS45">
        <f ca="1"/>
        <v>9545.25</v>
      </c>
      <c r="AT45">
        <f ca="1"/>
        <v>9624.4500000000007</v>
      </c>
      <c r="AU45">
        <f ca="1"/>
        <v>9606.2999999999993</v>
      </c>
      <c r="AV45">
        <f ca="1"/>
        <v>9643.1500000000015</v>
      </c>
      <c r="AW45">
        <f ca="1"/>
        <v>9626.65</v>
      </c>
      <c r="AX45">
        <f ca="1"/>
        <v>9616.2000000000007</v>
      </c>
      <c r="AY45">
        <f ca="1"/>
        <v>9606.8499999999985</v>
      </c>
      <c r="AZ45">
        <f ca="1"/>
        <v>9687.15</v>
      </c>
      <c r="BA45">
        <f ca="1"/>
        <v>9664.6</v>
      </c>
      <c r="BB45">
        <f ca="1"/>
        <v>9768.5500000000011</v>
      </c>
      <c r="BC45">
        <f ca="1"/>
        <v>9773.5</v>
      </c>
      <c r="BD45">
        <f ca="1"/>
        <v>9870.85</v>
      </c>
      <c r="BE45">
        <f ca="1"/>
        <v>9796.0500000000011</v>
      </c>
      <c r="BF45">
        <f ca="1"/>
        <v>9874.15</v>
      </c>
      <c r="BG45">
        <f ca="1"/>
        <v>9875.25</v>
      </c>
      <c r="BH45">
        <f ca="1"/>
        <v>9906.6</v>
      </c>
      <c r="BI45">
        <f ca="1"/>
        <v>9921.4499999999989</v>
      </c>
      <c r="BJ45">
        <f ca="1"/>
        <v>9970.9499999999989</v>
      </c>
      <c r="BK45">
        <f ca="1"/>
        <v>10028.150000000001</v>
      </c>
      <c r="BL45">
        <f ca="1"/>
        <v>9920.35</v>
      </c>
      <c r="BM45">
        <f ca="1"/>
        <v>9934.65</v>
      </c>
      <c r="BN45">
        <f ca="1"/>
        <v>9864.25</v>
      </c>
      <c r="BO45">
        <f ca="1"/>
        <v>9934.65</v>
      </c>
      <c r="BP45">
        <f ca="1"/>
        <v>10052.9</v>
      </c>
      <c r="BQ45">
        <f ca="1"/>
        <v>10017.699999999999</v>
      </c>
      <c r="BR45">
        <f ca="1"/>
        <v>10029.800000000001</v>
      </c>
      <c r="BS45">
        <f ca="1"/>
        <v>9966.5500000000011</v>
      </c>
      <c r="BT45">
        <f ca="1"/>
        <v>10033.099999999999</v>
      </c>
      <c r="BU45">
        <f ca="1"/>
        <v>9903.85</v>
      </c>
      <c r="BV45">
        <f ca="1"/>
        <v>9953.35</v>
      </c>
      <c r="BW45">
        <f ca="1"/>
        <v>9855.4500000000007</v>
      </c>
      <c r="BX45">
        <f ca="1"/>
        <v>9823.5500000000011</v>
      </c>
      <c r="BY45">
        <f ca="1"/>
        <v>9848.85</v>
      </c>
      <c r="BZ45">
        <f ca="1"/>
        <v>9778.4499999999989</v>
      </c>
      <c r="CA45">
        <f ca="1"/>
        <v>9761.4</v>
      </c>
      <c r="CB45">
        <f ca="1"/>
        <v>9903.2999999999993</v>
      </c>
      <c r="CC45">
        <f ca="1"/>
        <v>9997.9</v>
      </c>
      <c r="CD45">
        <f ca="1"/>
        <v>10016.6</v>
      </c>
      <c r="CE45">
        <f ca="1"/>
        <v>10030.35</v>
      </c>
      <c r="CF45">
        <f ca="1"/>
        <v>10112.85</v>
      </c>
      <c r="CG45">
        <f ca="1"/>
        <v>10215.15</v>
      </c>
      <c r="CH45">
        <f ca="1"/>
        <v>10286.65</v>
      </c>
      <c r="CI45">
        <f ca="1"/>
        <v>10373.550000000001</v>
      </c>
      <c r="CJ45">
        <f ca="1"/>
        <v>10367.5</v>
      </c>
      <c r="CK45">
        <f ca="1"/>
        <v>10362.549999999999</v>
      </c>
      <c r="CL45">
        <f ca="1"/>
        <v>10396.65</v>
      </c>
      <c r="CM45">
        <f ca="1"/>
        <v>10414.25</v>
      </c>
      <c r="CN45">
        <f ca="1"/>
        <v>10417.549999999999</v>
      </c>
      <c r="CO45">
        <f ca="1"/>
        <v>10485.75</v>
      </c>
      <c r="CP45">
        <f ca="1"/>
        <v>10388.4</v>
      </c>
      <c r="CQ45">
        <f ca="1"/>
        <v>10471.449999999999</v>
      </c>
      <c r="CR45">
        <f ca="1"/>
        <v>11003.85</v>
      </c>
      <c r="CS45">
        <f ca="1"/>
        <v>11042.35</v>
      </c>
      <c r="CT45">
        <f ca="1"/>
        <v>10976.900000000001</v>
      </c>
      <c r="CU45">
        <f ca="1"/>
        <v>10974.15</v>
      </c>
      <c r="CV45">
        <f ca="1"/>
        <v>11053.35</v>
      </c>
      <c r="CW45">
        <f ca="1"/>
        <v>11094.6</v>
      </c>
      <c r="CX45">
        <f ca="1"/>
        <v>11012.1</v>
      </c>
      <c r="CY45">
        <f ca="1"/>
        <v>10987.35</v>
      </c>
      <c r="CZ45">
        <f ca="1"/>
        <v>10983.5</v>
      </c>
      <c r="DA45">
        <f ca="1"/>
        <v>10996.7</v>
      </c>
      <c r="DB45">
        <f ca="1"/>
        <v>11045.1</v>
      </c>
      <c r="DC45">
        <f ca="1"/>
        <v>10979.65</v>
      </c>
      <c r="DD45">
        <f ca="1"/>
        <v>11013.75</v>
      </c>
      <c r="DE45">
        <f ca="1"/>
        <v>11056.1</v>
      </c>
      <c r="DF45">
        <f ca="1"/>
        <v>11083.6</v>
      </c>
      <c r="DG45">
        <f ca="1"/>
        <v>11090.199999999999</v>
      </c>
      <c r="DH45">
        <f ca="1"/>
        <v>11172.699999999999</v>
      </c>
      <c r="DI45">
        <f ca="1"/>
        <v>11302.5</v>
      </c>
      <c r="DJ45">
        <f ca="1"/>
        <v>11277.199999999999</v>
      </c>
      <c r="DK45">
        <f ca="1"/>
        <v>11262.35</v>
      </c>
      <c r="DL45">
        <f ca="1"/>
        <v>11211.75</v>
      </c>
      <c r="DM45">
        <f ca="1"/>
        <v>11199.65</v>
      </c>
      <c r="DN45">
        <f ca="1"/>
        <v>11258.5</v>
      </c>
      <c r="DO45">
        <f ca="1"/>
        <v>11281.6</v>
      </c>
      <c r="DP45">
        <f ca="1"/>
        <v>11288.75</v>
      </c>
      <c r="DQ45">
        <f ca="1"/>
        <v>11244.2</v>
      </c>
      <c r="DR45">
        <f ca="1"/>
        <v>11278.3</v>
      </c>
      <c r="DS45">
        <f ca="1"/>
        <v>11276.65</v>
      </c>
      <c r="DT45">
        <f ca="1"/>
        <v>11198.550000000001</v>
      </c>
      <c r="DU45">
        <f ca="1"/>
        <v>11138.05</v>
      </c>
      <c r="DV45">
        <f ca="1"/>
        <v>11209.55</v>
      </c>
      <c r="DW45">
        <f ca="1"/>
        <v>11066</v>
      </c>
      <c r="DX45">
        <f ca="1"/>
        <v>11230.45</v>
      </c>
      <c r="DY45">
        <f ca="1"/>
        <v>11346.5</v>
      </c>
      <c r="DZ45">
        <f ca="1"/>
        <v>11231</v>
      </c>
      <c r="EA45">
        <f ca="1"/>
        <v>11234.85</v>
      </c>
      <c r="EB45">
        <f ca="1"/>
        <v>11341.550000000001</v>
      </c>
      <c r="EC45">
        <f ca="1"/>
        <v>11299.2</v>
      </c>
      <c r="ED45">
        <f ca="1"/>
        <v>11289.85</v>
      </c>
      <c r="EE45">
        <f ca="1"/>
        <v>11348.7</v>
      </c>
      <c r="EF45">
        <f ca="1"/>
        <v>11378.949999999999</v>
      </c>
      <c r="EG45">
        <f ca="1"/>
        <v>11409.75</v>
      </c>
      <c r="EH45">
        <f ca="1"/>
        <v>11429</v>
      </c>
      <c r="EI45">
        <f ca="1"/>
        <v>11250.25</v>
      </c>
      <c r="EJ45">
        <f ca="1"/>
        <v>11226.6</v>
      </c>
      <c r="EK45">
        <f ca="1"/>
        <v>11300.85</v>
      </c>
      <c r="EL45">
        <f ca="1"/>
        <v>11397.1</v>
      </c>
      <c r="EM45">
        <f ca="1"/>
        <v>11297</v>
      </c>
      <c r="EN45">
        <f ca="1"/>
        <v>11310.199999999999</v>
      </c>
      <c r="EO45">
        <f ca="1"/>
        <v>11288.75</v>
      </c>
      <c r="EP45">
        <f ca="1"/>
        <v>11220.55</v>
      </c>
      <c r="EQ45">
        <f ca="1"/>
        <v>11321.2</v>
      </c>
      <c r="ER45">
        <f ca="1"/>
        <v>11374.55</v>
      </c>
      <c r="ES45">
        <f ca="1"/>
        <v>11481.8</v>
      </c>
      <c r="ET45">
        <f ca="1"/>
        <v>11321.75</v>
      </c>
      <c r="EU45">
        <f ca="1"/>
        <v>11300.300000000001</v>
      </c>
      <c r="EV45">
        <f ca="1"/>
        <v>11381.15</v>
      </c>
      <c r="EW45">
        <f ca="1"/>
        <v>11460.9</v>
      </c>
      <c r="EX45">
        <f ca="1"/>
        <v>11468.05</v>
      </c>
      <c r="EY45">
        <f ca="1"/>
        <v>11438.9</v>
      </c>
      <c r="EZ45">
        <f ca="1"/>
        <v>11625.9</v>
      </c>
      <c r="FA45">
        <f ca="1"/>
        <v>11626.449999999999</v>
      </c>
      <c r="FB45">
        <f ca="1"/>
        <v>11809.6</v>
      </c>
      <c r="FC45">
        <f ca="1"/>
        <v>11828.3</v>
      </c>
      <c r="FD45">
        <f ca="1"/>
        <v>11847.55</v>
      </c>
      <c r="FE45">
        <f ca="1"/>
        <v>11887.699999999999</v>
      </c>
      <c r="FF45">
        <f ca="1"/>
        <v>11774.95</v>
      </c>
      <c r="FG45">
        <f ca="1"/>
        <v>11891.550000000001</v>
      </c>
      <c r="FH45">
        <f ca="1"/>
        <v>12025.199999999999</v>
      </c>
      <c r="FI45">
        <f ca="1"/>
        <v>12323.3</v>
      </c>
      <c r="FJ45">
        <f ca="1"/>
        <v>12359.6</v>
      </c>
      <c r="FK45">
        <f ca="1"/>
        <v>12454.75</v>
      </c>
      <c r="FL45">
        <f ca="1"/>
        <v>12431.65</v>
      </c>
      <c r="FM45">
        <f ca="1"/>
        <v>12526.25</v>
      </c>
      <c r="FN45">
        <f ca="1"/>
        <v>12650</v>
      </c>
      <c r="FO45">
        <f ca="1"/>
        <v>12555.949999999999</v>
      </c>
      <c r="FP45">
        <f ca="1"/>
        <v>12655.5</v>
      </c>
      <c r="FQ45">
        <f ca="1"/>
        <v>12582.9</v>
      </c>
      <c r="FR45">
        <f ca="1"/>
        <v>12532.300000000001</v>
      </c>
      <c r="FS45">
        <f ca="1"/>
        <v>12669.800000000001</v>
      </c>
      <c r="FT45">
        <f ca="1"/>
        <v>12799.050000000001</v>
      </c>
      <c r="FU45">
        <f ca="1"/>
        <v>12845.8</v>
      </c>
      <c r="FV45">
        <f ca="1"/>
        <v>12872.75</v>
      </c>
      <c r="FW45">
        <f ca="1"/>
        <v>12861.75</v>
      </c>
      <c r="FX45">
        <f ca="1"/>
        <v>12934.9</v>
      </c>
      <c r="FY45">
        <f ca="1"/>
        <v>12925</v>
      </c>
      <c r="FZ45">
        <f ca="1"/>
        <v>12869.45</v>
      </c>
      <c r="GA45">
        <f ca="1"/>
        <v>12901.35</v>
      </c>
      <c r="GB45">
        <f ca="1"/>
        <v>13103.75</v>
      </c>
      <c r="GC45">
        <f ca="1"/>
        <v>12949.75</v>
      </c>
      <c r="GD45">
        <f ca="1"/>
        <v>12907.4</v>
      </c>
      <c r="GE45">
        <f ca="1"/>
        <v>12926.65</v>
      </c>
      <c r="GF45">
        <f ca="1"/>
        <v>12953.6</v>
      </c>
      <c r="GG45">
        <f ca="1"/>
        <v>12942.05</v>
      </c>
      <c r="GH45">
        <f ca="1"/>
        <v>12900.8</v>
      </c>
      <c r="GI45">
        <f ca="1"/>
        <v>12874.400000000001</v>
      </c>
      <c r="GJ45">
        <f ca="1"/>
        <v>12943.7</v>
      </c>
      <c r="GK45">
        <f ca="1"/>
        <v>12948.099999999999</v>
      </c>
      <c r="GL45">
        <f ca="1"/>
        <v>12922.800000000001</v>
      </c>
      <c r="GM45">
        <f ca="1"/>
        <v>12754.5</v>
      </c>
      <c r="GN45">
        <f ca="1"/>
        <v>12777.05</v>
      </c>
      <c r="GO45">
        <f ca="1"/>
        <v>12804</v>
      </c>
      <c r="GP45">
        <f ca="1"/>
        <v>12799.050000000001</v>
      </c>
      <c r="GQ45">
        <f ca="1"/>
        <v>12625.8</v>
      </c>
      <c r="GR45">
        <f ca="1"/>
        <v>12605.45</v>
      </c>
      <c r="GS45">
        <f ca="1"/>
        <v>12426.15</v>
      </c>
      <c r="GT45">
        <f ca="1"/>
        <v>12513.6</v>
      </c>
      <c r="GU45">
        <f ca="1"/>
        <v>12469.6</v>
      </c>
      <c r="GV45">
        <f ca="1"/>
        <v>12678.05</v>
      </c>
      <c r="GW45">
        <f ca="1"/>
        <v>12801.25</v>
      </c>
      <c r="GX45">
        <f ca="1"/>
        <v>12780.35</v>
      </c>
      <c r="GY45">
        <f ca="1"/>
        <v>12712.15</v>
      </c>
      <c r="GZ45">
        <f ca="1"/>
        <v>12799.6</v>
      </c>
      <c r="HA45">
        <f ca="1"/>
        <v>12995.949999999999</v>
      </c>
      <c r="HB45">
        <f ca="1"/>
        <v>13080.1</v>
      </c>
      <c r="HC45">
        <f ca="1"/>
        <v>12909.050000000001</v>
      </c>
      <c r="HD45">
        <f ca="1"/>
        <v>12676.95</v>
      </c>
      <c r="HE45">
        <f ca="1"/>
        <v>12703.9</v>
      </c>
      <c r="HF45">
        <f ca="1"/>
        <v>12704.45</v>
      </c>
      <c r="HG45">
        <f ca="1"/>
        <v>12868.9</v>
      </c>
      <c r="HH45">
        <f ca="1"/>
        <v>12867.800000000001</v>
      </c>
      <c r="HI45">
        <f ca="1"/>
        <v>12980</v>
      </c>
      <c r="HJ45">
        <f ca="1"/>
        <v>12870</v>
      </c>
      <c r="HK45">
        <f ca="1"/>
        <v>12872.75</v>
      </c>
      <c r="HL45">
        <f ca="1"/>
        <v>13046.550000000001</v>
      </c>
      <c r="HM45">
        <f ca="1"/>
        <v>12767.699999999999</v>
      </c>
      <c r="HN45">
        <f ca="1"/>
        <v>12543.85</v>
      </c>
      <c r="HO45">
        <f ca="1"/>
        <v>12690.7</v>
      </c>
      <c r="HP45">
        <f ca="1"/>
        <v>12472.35</v>
      </c>
      <c r="HQ45">
        <f ca="1"/>
        <v>12452.55</v>
      </c>
      <c r="HR45">
        <f ca="1"/>
        <v>12363.449999999999</v>
      </c>
      <c r="HS45">
        <f ca="1"/>
        <v>12236.4</v>
      </c>
      <c r="HT45">
        <f ca="1"/>
        <v>12207.25</v>
      </c>
      <c r="HU45">
        <f ca="1"/>
        <v>12353.550000000001</v>
      </c>
      <c r="HV45">
        <f ca="1"/>
        <v>12330.45</v>
      </c>
      <c r="HW45">
        <f ca="1"/>
        <v>12216.050000000001</v>
      </c>
      <c r="HX45">
        <f ca="1"/>
        <v>12180.85</v>
      </c>
      <c r="HY45">
        <f ca="1"/>
        <v>12331.550000000001</v>
      </c>
      <c r="HZ45">
        <f ca="1"/>
        <v>12368.949999999999</v>
      </c>
      <c r="IA45">
        <f ca="1"/>
        <v>12262.25</v>
      </c>
      <c r="IB45">
        <f ca="1"/>
        <v>12113.75</v>
      </c>
      <c r="IC45">
        <f ca="1"/>
        <v>12017.5</v>
      </c>
      <c r="ID45">
        <f ca="1"/>
        <v>12204.5</v>
      </c>
      <c r="IE45">
        <f ca="1"/>
        <v>12274.9</v>
      </c>
      <c r="IF45">
        <f ca="1"/>
        <v>12348.05</v>
      </c>
      <c r="IG45">
        <f ca="1"/>
        <v>12210</v>
      </c>
      <c r="IH45">
        <f ca="1"/>
        <v>12091.75</v>
      </c>
      <c r="II45">
        <f ca="1"/>
        <v>12088.449999999999</v>
      </c>
      <c r="IJ45">
        <f ca="1"/>
        <v>12368.4</v>
      </c>
      <c r="IK45">
        <f ca="1"/>
        <v>12481.15</v>
      </c>
      <c r="IL45">
        <f ca="1"/>
        <v>12503.7</v>
      </c>
      <c r="IM45">
        <f ca="1"/>
        <v>12585.650000000001</v>
      </c>
      <c r="IN45">
        <f ca="1"/>
        <v>12649.45</v>
      </c>
      <c r="IO45">
        <f ca="1"/>
        <v>12885.4</v>
      </c>
      <c r="IP45">
        <f ca="1"/>
        <v>12970.650000000001</v>
      </c>
      <c r="IQ45">
        <f ca="1"/>
        <v>13082.300000000001</v>
      </c>
      <c r="IR45">
        <f ca="1"/>
        <v>13145</v>
      </c>
      <c r="IS45">
        <f ca="1"/>
        <v>13239.050000000001</v>
      </c>
      <c r="IT45">
        <f ca="1"/>
        <v>13295.7</v>
      </c>
      <c r="IU45">
        <f ca="1"/>
        <v>13260.5</v>
      </c>
      <c r="IV45">
        <f ca="1"/>
        <v>13432.65</v>
      </c>
      <c r="IW45">
        <f ca="1"/>
        <v>13521.75</v>
      </c>
    </row>
    <row r="46" spans="2:257" x14ac:dyDescent="0.25">
      <c r="B46" t="str">
        <f t="shared" si="408"/>
        <v>20K6HZ6</v>
      </c>
      <c r="C46" t="s">
        <v>160</v>
      </c>
      <c r="D46" t="e" vm="561">
        <v>#VALUE!</v>
      </c>
      <c r="E46" t="str" cm="1">
        <f t="array" aca="1" ref="E46" ca="1">_FV(D46,"Code mnémonique",TRUE)</f>
        <v>SLF</v>
      </c>
      <c r="F46" s="12">
        <f>_xlfn.XLOOKUP(D46,Titres[Action],Titres[Nb d''actions])</f>
        <v>54</v>
      </c>
      <c r="G46" cm="1">
        <f t="array" aca="1" ref="G46:IW46" ca="1">IFERROR(TRANSPOSE(_xlfn.STOCKHISTORY(D46,TODAY()-365,TODAY(),0,0,1))*F46,"")</f>
        <v>4226.04</v>
      </c>
      <c r="H46">
        <f ca="1"/>
        <v>4267.62</v>
      </c>
      <c r="I46">
        <f ca="1"/>
        <v>4334.58</v>
      </c>
      <c r="J46">
        <f ca="1"/>
        <v>4365.3600000000006</v>
      </c>
      <c r="K46">
        <f ca="1"/>
        <v>4364.28</v>
      </c>
      <c r="L46">
        <f ca="1"/>
        <v>4382.6399999999994</v>
      </c>
      <c r="M46">
        <f ca="1"/>
        <v>4426.38</v>
      </c>
      <c r="N46">
        <f ca="1"/>
        <v>4436.1000000000004</v>
      </c>
      <c r="O46">
        <f ca="1"/>
        <v>4421.5199999999995</v>
      </c>
      <c r="P46">
        <f ca="1"/>
        <v>4479.3</v>
      </c>
      <c r="Q46">
        <f ca="1"/>
        <v>4482.54</v>
      </c>
      <c r="R46">
        <f ca="1"/>
        <v>4450.68</v>
      </c>
      <c r="S46">
        <f ca="1"/>
        <v>4515.4800000000005</v>
      </c>
      <c r="T46">
        <f ca="1"/>
        <v>4509</v>
      </c>
      <c r="U46">
        <f ca="1"/>
        <v>4673.1600000000008</v>
      </c>
      <c r="V46">
        <f ca="1"/>
        <v>4718.5199999999995</v>
      </c>
      <c r="W46">
        <f ca="1"/>
        <v>4698.54</v>
      </c>
      <c r="X46">
        <f ca="1"/>
        <v>4752</v>
      </c>
      <c r="Y46">
        <f ca="1"/>
        <v>4758.4800000000005</v>
      </c>
      <c r="Z46">
        <f ca="1"/>
        <v>4748.76</v>
      </c>
      <c r="AA46">
        <f ca="1"/>
        <v>4770.8999999999996</v>
      </c>
      <c r="AB46">
        <f ca="1"/>
        <v>4726.62</v>
      </c>
      <c r="AC46">
        <f ca="1"/>
        <v>4727.1600000000008</v>
      </c>
      <c r="AD46">
        <f ca="1"/>
        <v>4715.28</v>
      </c>
      <c r="AE46">
        <f ca="1"/>
        <v>4730.3999999999996</v>
      </c>
      <c r="AF46">
        <f ca="1"/>
        <v>4797.3600000000006</v>
      </c>
      <c r="AG46">
        <f ca="1"/>
        <v>4763.88</v>
      </c>
      <c r="AH46">
        <f ca="1"/>
        <v>4782.78</v>
      </c>
      <c r="AI46">
        <f ca="1"/>
        <v>4773.6000000000004</v>
      </c>
      <c r="AJ46">
        <f ca="1"/>
        <v>4820.04</v>
      </c>
      <c r="AK46">
        <f ca="1"/>
        <v>4808.7</v>
      </c>
      <c r="AL46">
        <f ca="1"/>
        <v>4788.72</v>
      </c>
      <c r="AM46">
        <f ca="1"/>
        <v>4811.3999999999996</v>
      </c>
      <c r="AN46">
        <f ca="1"/>
        <v>4826.5199999999995</v>
      </c>
      <c r="AO46">
        <f ca="1"/>
        <v>4807.08</v>
      </c>
      <c r="AP46">
        <f ca="1"/>
        <v>4781.1600000000008</v>
      </c>
      <c r="AQ46">
        <f ca="1"/>
        <v>4774.68</v>
      </c>
      <c r="AR46">
        <f ca="1"/>
        <v>4774.1399999999994</v>
      </c>
      <c r="AS46">
        <f ca="1"/>
        <v>4713.6600000000008</v>
      </c>
      <c r="AT46">
        <f ca="1"/>
        <v>4743.3600000000006</v>
      </c>
      <c r="AU46">
        <f ca="1"/>
        <v>4735.26</v>
      </c>
      <c r="AV46">
        <f ca="1"/>
        <v>4741.74</v>
      </c>
      <c r="AW46">
        <f ca="1"/>
        <v>4727.1600000000008</v>
      </c>
      <c r="AX46">
        <f ca="1"/>
        <v>4754.7</v>
      </c>
      <c r="AY46">
        <f ca="1"/>
        <v>4804.92</v>
      </c>
      <c r="AZ46">
        <f ca="1"/>
        <v>4825.9800000000005</v>
      </c>
      <c r="BA46">
        <f ca="1"/>
        <v>4810.8600000000006</v>
      </c>
      <c r="BB46">
        <f ca="1"/>
        <v>4819.5</v>
      </c>
      <c r="BC46">
        <f ca="1"/>
        <v>4878.8999999999996</v>
      </c>
      <c r="BD46">
        <f ca="1"/>
        <v>4892.9399999999996</v>
      </c>
      <c r="BE46">
        <f ca="1"/>
        <v>4746.0600000000004</v>
      </c>
      <c r="BF46">
        <f ca="1"/>
        <v>4755.24</v>
      </c>
      <c r="BG46">
        <f ca="1"/>
        <v>4761.72</v>
      </c>
      <c r="BH46">
        <f ca="1"/>
        <v>4632.12</v>
      </c>
      <c r="BI46">
        <f ca="1"/>
        <v>4597.5600000000004</v>
      </c>
      <c r="BJ46">
        <f ca="1"/>
        <v>4552.2</v>
      </c>
      <c r="BK46">
        <f ca="1"/>
        <v>4577.58</v>
      </c>
      <c r="BL46">
        <f ca="1"/>
        <v>4590</v>
      </c>
      <c r="BM46">
        <f ca="1"/>
        <v>4642.92</v>
      </c>
      <c r="BN46">
        <f ca="1"/>
        <v>4595.9399999999996</v>
      </c>
      <c r="BO46">
        <f ca="1"/>
        <v>4614.3</v>
      </c>
      <c r="BP46">
        <f ca="1"/>
        <v>4617.54</v>
      </c>
      <c r="BQ46">
        <f ca="1"/>
        <v>4608.8999999999996</v>
      </c>
      <c r="BR46">
        <f ca="1"/>
        <v>4522.5</v>
      </c>
      <c r="BS46">
        <f ca="1"/>
        <v>4595.3999999999996</v>
      </c>
      <c r="BT46">
        <f ca="1"/>
        <v>4595.9399999999996</v>
      </c>
      <c r="BU46">
        <f ca="1"/>
        <v>4590</v>
      </c>
      <c r="BV46">
        <f ca="1"/>
        <v>4622.3999999999996</v>
      </c>
      <c r="BW46">
        <f ca="1"/>
        <v>4588.38</v>
      </c>
      <c r="BX46">
        <f ca="1"/>
        <v>4616.46</v>
      </c>
      <c r="BY46">
        <f ca="1"/>
        <v>4572.18</v>
      </c>
      <c r="BZ46">
        <f ca="1"/>
        <v>4561.92</v>
      </c>
      <c r="CA46">
        <f ca="1"/>
        <v>4499.82</v>
      </c>
      <c r="CB46">
        <f ca="1"/>
        <v>4520.3399999999992</v>
      </c>
      <c r="CC46">
        <f ca="1"/>
        <v>4585.1399999999994</v>
      </c>
      <c r="CD46">
        <f ca="1"/>
        <v>4566.78</v>
      </c>
      <c r="CE46">
        <f ca="1"/>
        <v>4203.8999999999996</v>
      </c>
      <c r="CF46">
        <f ca="1"/>
        <v>4236.3</v>
      </c>
      <c r="CG46">
        <f ca="1"/>
        <v>4285.9800000000005</v>
      </c>
      <c r="CH46">
        <f ca="1"/>
        <v>4308.6600000000008</v>
      </c>
      <c r="CI46">
        <f ca="1"/>
        <v>4331.3399999999992</v>
      </c>
      <c r="CJ46">
        <f ca="1"/>
        <v>4333.5</v>
      </c>
      <c r="CK46">
        <f ca="1"/>
        <v>4354.5600000000004</v>
      </c>
      <c r="CL46">
        <f ca="1"/>
        <v>4369.68</v>
      </c>
      <c r="CM46">
        <f ca="1"/>
        <v>4387.5</v>
      </c>
      <c r="CN46">
        <f ca="1"/>
        <v>4410.18</v>
      </c>
      <c r="CO46">
        <f ca="1"/>
        <v>4400.46</v>
      </c>
      <c r="CP46">
        <f ca="1"/>
        <v>4347.54</v>
      </c>
      <c r="CQ46">
        <f ca="1"/>
        <v>4375.62</v>
      </c>
      <c r="CR46">
        <f ca="1"/>
        <v>4305.42</v>
      </c>
      <c r="CS46">
        <f ca="1"/>
        <v>4326.4800000000005</v>
      </c>
      <c r="CT46">
        <f ca="1"/>
        <v>4331.88</v>
      </c>
      <c r="CU46">
        <f ca="1"/>
        <v>4294.62</v>
      </c>
      <c r="CV46">
        <f ca="1"/>
        <v>4324.8600000000006</v>
      </c>
      <c r="CW46">
        <f ca="1"/>
        <v>4316.76</v>
      </c>
      <c r="CX46">
        <f ca="1"/>
        <v>4318.92</v>
      </c>
      <c r="CY46">
        <f ca="1"/>
        <v>4359.42</v>
      </c>
      <c r="CZ46">
        <f ca="1"/>
        <v>4376.7</v>
      </c>
      <c r="DA46">
        <f ca="1"/>
        <v>4394.5199999999995</v>
      </c>
      <c r="DB46">
        <f ca="1"/>
        <v>4450.68</v>
      </c>
      <c r="DC46">
        <f ca="1"/>
        <v>4431.24</v>
      </c>
      <c r="DD46">
        <f ca="1"/>
        <v>4439.3399999999992</v>
      </c>
      <c r="DE46">
        <f ca="1"/>
        <v>4366.9800000000005</v>
      </c>
      <c r="DF46">
        <f ca="1"/>
        <v>4391.28</v>
      </c>
      <c r="DG46">
        <f ca="1"/>
        <v>4428</v>
      </c>
      <c r="DH46">
        <f ca="1"/>
        <v>4482.54</v>
      </c>
      <c r="DI46">
        <f ca="1"/>
        <v>4469.58</v>
      </c>
      <c r="DJ46">
        <f ca="1"/>
        <v>4462.0199999999995</v>
      </c>
      <c r="DK46">
        <f ca="1"/>
        <v>4428</v>
      </c>
      <c r="DL46">
        <f ca="1"/>
        <v>4441.5</v>
      </c>
      <c r="DM46">
        <f ca="1"/>
        <v>4433.3999999999996</v>
      </c>
      <c r="DN46">
        <f ca="1"/>
        <v>4464.72</v>
      </c>
      <c r="DO46">
        <f ca="1"/>
        <v>4512.78</v>
      </c>
      <c r="DP46">
        <f ca="1"/>
        <v>4531.1399999999994</v>
      </c>
      <c r="DQ46">
        <f ca="1"/>
        <v>4534.92</v>
      </c>
      <c r="DR46">
        <f ca="1"/>
        <v>4545.18</v>
      </c>
      <c r="DS46">
        <f ca="1"/>
        <v>4602.42</v>
      </c>
      <c r="DT46">
        <f ca="1"/>
        <v>4582.9800000000005</v>
      </c>
      <c r="DU46">
        <f ca="1"/>
        <v>4668.3</v>
      </c>
      <c r="DV46">
        <f ca="1"/>
        <v>4605.12</v>
      </c>
      <c r="DW46">
        <f ca="1"/>
        <v>4656.96</v>
      </c>
      <c r="DX46">
        <f ca="1"/>
        <v>4730.3999999999996</v>
      </c>
      <c r="DY46">
        <f ca="1"/>
        <v>4718.5199999999995</v>
      </c>
      <c r="DZ46">
        <f ca="1"/>
        <v>4628.88</v>
      </c>
      <c r="EA46">
        <f ca="1"/>
        <v>4584.6000000000004</v>
      </c>
      <c r="EB46">
        <f ca="1"/>
        <v>4635.3600000000006</v>
      </c>
      <c r="EC46">
        <f ca="1"/>
        <v>4624.5600000000004</v>
      </c>
      <c r="ED46">
        <f ca="1"/>
        <v>4646.1600000000008</v>
      </c>
      <c r="EE46">
        <f ca="1"/>
        <v>4635.8999999999996</v>
      </c>
      <c r="EF46">
        <f ca="1"/>
        <v>4642.92</v>
      </c>
      <c r="EG46">
        <f ca="1"/>
        <v>4708.26</v>
      </c>
      <c r="EH46">
        <f ca="1"/>
        <v>4693.68</v>
      </c>
      <c r="EI46">
        <f ca="1"/>
        <v>4650.4800000000005</v>
      </c>
      <c r="EJ46">
        <f ca="1"/>
        <v>4615.92</v>
      </c>
      <c r="EK46">
        <f ca="1"/>
        <v>4606.74</v>
      </c>
      <c r="EL46">
        <f ca="1"/>
        <v>4629.96</v>
      </c>
      <c r="EM46">
        <f ca="1"/>
        <v>4671</v>
      </c>
      <c r="EN46">
        <f ca="1"/>
        <v>4699.62</v>
      </c>
      <c r="EO46">
        <f ca="1"/>
        <v>4504.1399999999994</v>
      </c>
      <c r="EP46">
        <f ca="1"/>
        <v>4434.4800000000005</v>
      </c>
      <c r="EQ46">
        <f ca="1"/>
        <v>4393.9800000000005</v>
      </c>
      <c r="ER46">
        <f ca="1"/>
        <v>4383.72</v>
      </c>
      <c r="ES46">
        <f ca="1"/>
        <v>4471.2</v>
      </c>
      <c r="ET46">
        <f ca="1"/>
        <v>4463.6399999999994</v>
      </c>
      <c r="EU46">
        <f ca="1"/>
        <v>4487.9399999999996</v>
      </c>
      <c r="EV46">
        <f ca="1"/>
        <v>4483.08</v>
      </c>
      <c r="EW46">
        <f ca="1"/>
        <v>4472.28</v>
      </c>
      <c r="EX46">
        <f ca="1"/>
        <v>4453.92</v>
      </c>
      <c r="EY46">
        <f ca="1"/>
        <v>4469.58</v>
      </c>
      <c r="EZ46">
        <f ca="1"/>
        <v>4536</v>
      </c>
      <c r="FA46">
        <f ca="1"/>
        <v>4498.2</v>
      </c>
      <c r="FB46">
        <f ca="1"/>
        <v>4555.9800000000005</v>
      </c>
      <c r="FC46">
        <f ca="1"/>
        <v>4450.1399999999994</v>
      </c>
      <c r="FD46">
        <f ca="1"/>
        <v>4435.0199999999995</v>
      </c>
      <c r="FE46">
        <f ca="1"/>
        <v>4472.82</v>
      </c>
      <c r="FF46">
        <f ca="1"/>
        <v>4366.4399999999996</v>
      </c>
      <c r="FG46">
        <f ca="1"/>
        <v>4349.1600000000008</v>
      </c>
      <c r="FH46">
        <f ca="1"/>
        <v>4357.8</v>
      </c>
      <c r="FI46">
        <f ca="1"/>
        <v>4351.32</v>
      </c>
      <c r="FJ46">
        <f ca="1"/>
        <v>4380.4800000000005</v>
      </c>
      <c r="FK46">
        <f ca="1"/>
        <v>4379.3999999999996</v>
      </c>
      <c r="FL46">
        <f ca="1"/>
        <v>4422.0600000000004</v>
      </c>
      <c r="FM46">
        <f ca="1"/>
        <v>4381.0199999999995</v>
      </c>
      <c r="FN46">
        <f ca="1"/>
        <v>4440.42</v>
      </c>
      <c r="FO46">
        <f ca="1"/>
        <v>4490.6399999999994</v>
      </c>
      <c r="FP46">
        <f ca="1"/>
        <v>4522.5</v>
      </c>
      <c r="FQ46">
        <f ca="1"/>
        <v>4548.42</v>
      </c>
      <c r="FR46">
        <f ca="1"/>
        <v>4556.5199999999995</v>
      </c>
      <c r="FS46">
        <f ca="1"/>
        <v>4566.24</v>
      </c>
      <c r="FT46">
        <f ca="1"/>
        <v>4582.4399999999996</v>
      </c>
      <c r="FU46">
        <f ca="1"/>
        <v>4613.22</v>
      </c>
      <c r="FV46">
        <f ca="1"/>
        <v>4626.72</v>
      </c>
      <c r="FW46">
        <f ca="1"/>
        <v>4612.1399999999994</v>
      </c>
      <c r="FX46">
        <f ca="1"/>
        <v>4644</v>
      </c>
      <c r="FY46">
        <f ca="1"/>
        <v>4635.3600000000006</v>
      </c>
      <c r="FZ46">
        <f ca="1"/>
        <v>4626.72</v>
      </c>
      <c r="GA46">
        <f ca="1"/>
        <v>4661.28</v>
      </c>
      <c r="GB46">
        <f ca="1"/>
        <v>4719.6000000000004</v>
      </c>
      <c r="GC46">
        <f ca="1"/>
        <v>4746.0600000000004</v>
      </c>
      <c r="GD46">
        <f ca="1"/>
        <v>4696.38</v>
      </c>
      <c r="GE46">
        <f ca="1"/>
        <v>4689.8999999999996</v>
      </c>
      <c r="GF46">
        <f ca="1"/>
        <v>4719.6000000000004</v>
      </c>
      <c r="GG46">
        <f ca="1"/>
        <v>4683.96</v>
      </c>
      <c r="GH46">
        <f ca="1"/>
        <v>4602.96</v>
      </c>
      <c r="GI46">
        <f ca="1"/>
        <v>4643.46</v>
      </c>
      <c r="GJ46">
        <f ca="1"/>
        <v>4709.3399999999992</v>
      </c>
      <c r="GK46">
        <f ca="1"/>
        <v>4723.38</v>
      </c>
      <c r="GL46">
        <f ca="1"/>
        <v>4728.24</v>
      </c>
      <c r="GM46">
        <f ca="1"/>
        <v>4662.3600000000006</v>
      </c>
      <c r="GN46">
        <f ca="1"/>
        <v>4663.9800000000005</v>
      </c>
      <c r="GO46">
        <f ca="1"/>
        <v>4661.28</v>
      </c>
      <c r="GP46">
        <f ca="1"/>
        <v>4710.42</v>
      </c>
      <c r="GQ46">
        <f ca="1"/>
        <v>4680.18</v>
      </c>
      <c r="GR46">
        <f ca="1"/>
        <v>4605.6600000000008</v>
      </c>
      <c r="GS46">
        <f ca="1"/>
        <v>4612.1399999999994</v>
      </c>
      <c r="GT46">
        <f ca="1"/>
        <v>4644</v>
      </c>
      <c r="GU46">
        <f ca="1"/>
        <v>4633.2</v>
      </c>
      <c r="GV46">
        <f ca="1"/>
        <v>4706.1000000000004</v>
      </c>
      <c r="GW46">
        <f ca="1"/>
        <v>4743.3600000000006</v>
      </c>
      <c r="GX46">
        <f ca="1"/>
        <v>4839.4800000000005</v>
      </c>
      <c r="GY46">
        <f ca="1"/>
        <v>4794.12</v>
      </c>
      <c r="GZ46">
        <f ca="1"/>
        <v>4805.46</v>
      </c>
      <c r="HA46">
        <f ca="1"/>
        <v>4721.76</v>
      </c>
      <c r="HB46">
        <f ca="1"/>
        <v>4793.04</v>
      </c>
      <c r="HC46">
        <f ca="1"/>
        <v>4755.78</v>
      </c>
      <c r="HD46">
        <f ca="1"/>
        <v>5056.5600000000004</v>
      </c>
      <c r="HE46">
        <f ca="1"/>
        <v>5072.76</v>
      </c>
      <c r="HF46">
        <f ca="1"/>
        <v>4993.38</v>
      </c>
      <c r="HG46">
        <f ca="1"/>
        <v>4905.3600000000006</v>
      </c>
      <c r="HH46">
        <f ca="1"/>
        <v>4831.38</v>
      </c>
      <c r="HI46">
        <f ca="1"/>
        <v>4905.3600000000006</v>
      </c>
      <c r="HJ46">
        <f ca="1"/>
        <v>4777.38</v>
      </c>
      <c r="HK46">
        <f ca="1"/>
        <v>4803.8399999999992</v>
      </c>
      <c r="HL46">
        <f ca="1"/>
        <v>4836.78</v>
      </c>
      <c r="HM46">
        <f ca="1"/>
        <v>4829.22</v>
      </c>
      <c r="HN46">
        <f ca="1"/>
        <v>4827.6000000000004</v>
      </c>
      <c r="HO46">
        <f ca="1"/>
        <v>4815.18</v>
      </c>
      <c r="HP46">
        <f ca="1"/>
        <v>4767.6600000000008</v>
      </c>
      <c r="HQ46">
        <f ca="1"/>
        <v>4825.4399999999996</v>
      </c>
      <c r="HR46">
        <f ca="1"/>
        <v>4835.1600000000008</v>
      </c>
      <c r="HS46">
        <f ca="1"/>
        <v>4758.4800000000005</v>
      </c>
      <c r="HT46">
        <f ca="1"/>
        <v>4660.2</v>
      </c>
      <c r="HU46">
        <f ca="1"/>
        <v>4663.9800000000005</v>
      </c>
      <c r="HV46">
        <f ca="1"/>
        <v>4664.5199999999995</v>
      </c>
      <c r="HW46">
        <f ca="1"/>
        <v>4626.72</v>
      </c>
      <c r="HX46">
        <f ca="1"/>
        <v>4652.1000000000004</v>
      </c>
      <c r="HY46">
        <f ca="1"/>
        <v>4716.3600000000006</v>
      </c>
      <c r="HZ46">
        <f ca="1"/>
        <v>4736.3399999999992</v>
      </c>
      <c r="IA46">
        <f ca="1"/>
        <v>4699.08</v>
      </c>
      <c r="IB46">
        <f ca="1"/>
        <v>4641.3</v>
      </c>
      <c r="IC46">
        <f ca="1"/>
        <v>4608.3600000000006</v>
      </c>
      <c r="ID46">
        <f ca="1"/>
        <v>4677.4800000000005</v>
      </c>
      <c r="IE46">
        <f ca="1"/>
        <v>4687.74</v>
      </c>
      <c r="IF46">
        <f ca="1"/>
        <v>4683.96</v>
      </c>
      <c r="IG46">
        <f ca="1"/>
        <v>4679.1000000000004</v>
      </c>
      <c r="IH46">
        <f ca="1"/>
        <v>4604.04</v>
      </c>
      <c r="II46">
        <f ca="1"/>
        <v>4660.74</v>
      </c>
      <c r="IJ46">
        <f ca="1"/>
        <v>4706.1000000000004</v>
      </c>
      <c r="IK46">
        <f ca="1"/>
        <v>4716.3600000000006</v>
      </c>
      <c r="IL46">
        <f ca="1"/>
        <v>4779</v>
      </c>
      <c r="IM46">
        <f ca="1"/>
        <v>4774.68</v>
      </c>
      <c r="IN46">
        <f ca="1"/>
        <v>4796.28</v>
      </c>
      <c r="IO46">
        <f ca="1"/>
        <v>4926.42</v>
      </c>
      <c r="IP46">
        <f ca="1"/>
        <v>4930.74</v>
      </c>
      <c r="IQ46">
        <f ca="1"/>
        <v>4874.58</v>
      </c>
      <c r="IR46">
        <f ca="1"/>
        <v>4936.1399999999994</v>
      </c>
      <c r="IS46">
        <f ca="1"/>
        <v>4990.68</v>
      </c>
      <c r="IT46">
        <f ca="1"/>
        <v>5070.0600000000004</v>
      </c>
      <c r="IU46">
        <f ca="1"/>
        <v>5079.24</v>
      </c>
      <c r="IV46">
        <f ca="1"/>
        <v>5200.74</v>
      </c>
      <c r="IW46">
        <f ca="1"/>
        <v>5188.32</v>
      </c>
    </row>
    <row r="47" spans="2:257" x14ac:dyDescent="0.25">
      <c r="B47" t="str">
        <f t="shared" si="408"/>
        <v>20K6HZ6</v>
      </c>
      <c r="C47" t="s">
        <v>160</v>
      </c>
      <c r="D47" t="e" vm="1">
        <v>#VALUE!</v>
      </c>
      <c r="E47" t="str" cm="1">
        <f t="array" aca="1" ref="E47" ca="1">_FV(D47,"Code mnémonique",TRUE)</f>
        <v>SU</v>
      </c>
      <c r="F47" s="12">
        <f>_xlfn.XLOOKUP(D47,Titres[Action],Titres[Nb d''actions])</f>
        <v>237</v>
      </c>
      <c r="G47" cm="1">
        <f t="array" aca="1" ref="G47:IW47" ca="1">IFERROR(TRANSPOSE(_xlfn.STOCKHISTORY(D47,TODAY()-365,TODAY(),0,0,1))*F47,"")</f>
        <v>11330.970000000001</v>
      </c>
      <c r="H47">
        <f ca="1"/>
        <v>11603.52</v>
      </c>
      <c r="I47">
        <f ca="1"/>
        <v>11544.27</v>
      </c>
      <c r="J47">
        <f ca="1"/>
        <v>11688.84</v>
      </c>
      <c r="K47">
        <f ca="1"/>
        <v>11693.58</v>
      </c>
      <c r="L47">
        <f ca="1"/>
        <v>11695.95</v>
      </c>
      <c r="M47">
        <f ca="1"/>
        <v>11717.279999999999</v>
      </c>
      <c r="N47">
        <f ca="1"/>
        <v>11539.529999999999</v>
      </c>
      <c r="O47">
        <f ca="1"/>
        <v>11712.54</v>
      </c>
      <c r="P47">
        <f ca="1"/>
        <v>11788.380000000001</v>
      </c>
      <c r="Q47">
        <f ca="1"/>
        <v>11423.400000000001</v>
      </c>
      <c r="R47">
        <f ca="1"/>
        <v>11461.32</v>
      </c>
      <c r="S47">
        <f ca="1"/>
        <v>11136.630000000001</v>
      </c>
      <c r="T47">
        <f ca="1"/>
        <v>11302.529999999999</v>
      </c>
      <c r="U47">
        <f ca="1"/>
        <v>11546.64</v>
      </c>
      <c r="V47">
        <f ca="1"/>
        <v>11890.29</v>
      </c>
      <c r="W47">
        <f ca="1"/>
        <v>12030.119999999999</v>
      </c>
      <c r="X47">
        <f ca="1"/>
        <v>12039.599999999999</v>
      </c>
      <c r="Y47">
        <f ca="1"/>
        <v>11906.880000000001</v>
      </c>
      <c r="Z47">
        <f ca="1"/>
        <v>11816.82</v>
      </c>
      <c r="AA47">
        <f ca="1"/>
        <v>11620.11</v>
      </c>
      <c r="AB47">
        <f ca="1"/>
        <v>11551.380000000001</v>
      </c>
      <c r="AC47">
        <f ca="1"/>
        <v>11624.849999999999</v>
      </c>
      <c r="AD47">
        <f ca="1"/>
        <v>11624.849999999999</v>
      </c>
      <c r="AE47">
        <f ca="1"/>
        <v>11679.36</v>
      </c>
      <c r="AF47">
        <f ca="1"/>
        <v>11700.689999999999</v>
      </c>
      <c r="AG47">
        <f ca="1"/>
        <v>11584.560000000001</v>
      </c>
      <c r="AH47">
        <f ca="1"/>
        <v>11703.060000000001</v>
      </c>
      <c r="AI47">
        <f ca="1"/>
        <v>11563.23</v>
      </c>
      <c r="AJ47">
        <f ca="1"/>
        <v>11899.77</v>
      </c>
      <c r="AK47">
        <f ca="1"/>
        <v>12004.05</v>
      </c>
      <c r="AL47">
        <f ca="1"/>
        <v>11781.27</v>
      </c>
      <c r="AM47">
        <f ca="1"/>
        <v>11864.220000000001</v>
      </c>
      <c r="AN47">
        <f ca="1"/>
        <v>11935.32</v>
      </c>
      <c r="AO47">
        <f ca="1"/>
        <v>11996.939999999999</v>
      </c>
      <c r="AP47">
        <f ca="1"/>
        <v>12193.650000000001</v>
      </c>
      <c r="AQ47">
        <f ca="1"/>
        <v>12582.33</v>
      </c>
      <c r="AR47">
        <f ca="1"/>
        <v>12601.29</v>
      </c>
      <c r="AS47">
        <f ca="1"/>
        <v>13193.79</v>
      </c>
      <c r="AT47">
        <f ca="1"/>
        <v>13084.77</v>
      </c>
      <c r="AU47">
        <f ca="1"/>
        <v>13269.630000000001</v>
      </c>
      <c r="AV47">
        <f ca="1"/>
        <v>13001.82</v>
      </c>
      <c r="AW47">
        <f ca="1"/>
        <v>13068.18</v>
      </c>
      <c r="AX47">
        <f ca="1"/>
        <v>13082.400000000001</v>
      </c>
      <c r="AY47">
        <f ca="1"/>
        <v>12684.240000000002</v>
      </c>
      <c r="AZ47">
        <f ca="1"/>
        <v>12456.720000000001</v>
      </c>
      <c r="BA47">
        <f ca="1"/>
        <v>12345.33</v>
      </c>
      <c r="BB47">
        <f ca="1"/>
        <v>12267.119999999999</v>
      </c>
      <c r="BC47">
        <f ca="1"/>
        <v>12196.02</v>
      </c>
      <c r="BD47">
        <f ca="1"/>
        <v>12089.369999999999</v>
      </c>
      <c r="BE47">
        <f ca="1"/>
        <v>12324</v>
      </c>
      <c r="BF47">
        <f ca="1"/>
        <v>12364.29</v>
      </c>
      <c r="BG47">
        <f ca="1"/>
        <v>12269.490000000002</v>
      </c>
      <c r="BH47">
        <f ca="1"/>
        <v>12248.16</v>
      </c>
      <c r="BI47">
        <f ca="1"/>
        <v>12589.439999999999</v>
      </c>
      <c r="BJ47">
        <f ca="1"/>
        <v>12729.27</v>
      </c>
      <c r="BK47">
        <f ca="1"/>
        <v>12760.08</v>
      </c>
      <c r="BL47">
        <f ca="1"/>
        <v>13004.189999999999</v>
      </c>
      <c r="BM47">
        <f ca="1"/>
        <v>12933.09</v>
      </c>
      <c r="BN47">
        <f ca="1"/>
        <v>12821.7</v>
      </c>
      <c r="BO47">
        <f ca="1"/>
        <v>12693.720000000001</v>
      </c>
      <c r="BP47">
        <f ca="1"/>
        <v>12729.27</v>
      </c>
      <c r="BQ47">
        <f ca="1"/>
        <v>12634.470000000001</v>
      </c>
      <c r="BR47">
        <f ca="1"/>
        <v>12556.259999999998</v>
      </c>
      <c r="BS47">
        <f ca="1"/>
        <v>12608.400000000001</v>
      </c>
      <c r="BT47">
        <f ca="1"/>
        <v>12788.52</v>
      </c>
      <c r="BU47">
        <f ca="1"/>
        <v>12835.92</v>
      </c>
      <c r="BV47">
        <f ca="1"/>
        <v>12764.82</v>
      </c>
      <c r="BW47">
        <f ca="1"/>
        <v>13013.67</v>
      </c>
      <c r="BX47">
        <f ca="1"/>
        <v>13082.400000000001</v>
      </c>
      <c r="BY47">
        <f ca="1"/>
        <v>13020.779999999999</v>
      </c>
      <c r="BZ47">
        <f ca="1"/>
        <v>12952.05</v>
      </c>
      <c r="CA47">
        <f ca="1"/>
        <v>12764.82</v>
      </c>
      <c r="CB47">
        <f ca="1"/>
        <v>12809.849999999999</v>
      </c>
      <c r="CC47">
        <f ca="1"/>
        <v>12776.67</v>
      </c>
      <c r="CD47">
        <f ca="1"/>
        <v>12707.939999999999</v>
      </c>
      <c r="CE47">
        <f ca="1"/>
        <v>12783.779999999999</v>
      </c>
      <c r="CF47">
        <f ca="1"/>
        <v>12667.650000000001</v>
      </c>
      <c r="CG47">
        <f ca="1"/>
        <v>12679.5</v>
      </c>
      <c r="CH47">
        <f ca="1"/>
        <v>12696.09</v>
      </c>
      <c r="CI47">
        <f ca="1"/>
        <v>12764.82</v>
      </c>
      <c r="CJ47">
        <f ca="1"/>
        <v>12729.27</v>
      </c>
      <c r="CK47">
        <f ca="1"/>
        <v>12624.990000000002</v>
      </c>
      <c r="CL47">
        <f ca="1"/>
        <v>12610.77</v>
      </c>
      <c r="CM47">
        <f ca="1"/>
        <v>12688.98</v>
      </c>
      <c r="CN47">
        <f ca="1"/>
        <v>12866.73</v>
      </c>
      <c r="CO47">
        <f ca="1"/>
        <v>13101.36</v>
      </c>
      <c r="CP47">
        <f ca="1"/>
        <v>13262.52</v>
      </c>
      <c r="CQ47">
        <f ca="1"/>
        <v>13153.5</v>
      </c>
      <c r="CR47">
        <f ca="1"/>
        <v>13404.720000000001</v>
      </c>
      <c r="CS47">
        <f ca="1"/>
        <v>13561.14</v>
      </c>
      <c r="CT47">
        <f ca="1"/>
        <v>13454.490000000002</v>
      </c>
      <c r="CU47">
        <f ca="1"/>
        <v>13494.779999999999</v>
      </c>
      <c r="CV47">
        <f ca="1"/>
        <v>13300.439999999999</v>
      </c>
      <c r="CW47">
        <f ca="1"/>
        <v>13174.83</v>
      </c>
      <c r="CX47">
        <f ca="1"/>
        <v>13129.8</v>
      </c>
      <c r="CY47">
        <f ca="1"/>
        <v>13172.46</v>
      </c>
      <c r="CZ47">
        <f ca="1"/>
        <v>13456.86</v>
      </c>
      <c r="DA47">
        <f ca="1"/>
        <v>13876.349999999999</v>
      </c>
      <c r="DB47">
        <f ca="1"/>
        <v>13769.7</v>
      </c>
      <c r="DC47">
        <f ca="1"/>
        <v>13686.75</v>
      </c>
      <c r="DD47">
        <f ca="1"/>
        <v>13776.810000000001</v>
      </c>
      <c r="DE47">
        <f ca="1"/>
        <v>14018.55</v>
      </c>
      <c r="DF47">
        <f ca="1"/>
        <v>13987.740000000002</v>
      </c>
      <c r="DG47">
        <f ca="1"/>
        <v>13964.04</v>
      </c>
      <c r="DH47">
        <f ca="1"/>
        <v>13575.36</v>
      </c>
      <c r="DI47">
        <f ca="1"/>
        <v>13684.380000000001</v>
      </c>
      <c r="DJ47">
        <f ca="1"/>
        <v>13876.349999999999</v>
      </c>
      <c r="DK47">
        <f ca="1"/>
        <v>13980.630000000001</v>
      </c>
      <c r="DL47">
        <f ca="1"/>
        <v>14118.09</v>
      </c>
      <c r="DM47">
        <f ca="1"/>
        <v>14075.43</v>
      </c>
      <c r="DN47">
        <f ca="1"/>
        <v>13857.39</v>
      </c>
      <c r="DO47">
        <f ca="1"/>
        <v>13802.880000000001</v>
      </c>
      <c r="DP47">
        <f ca="1"/>
        <v>13641.720000000001</v>
      </c>
      <c r="DQ47">
        <f ca="1"/>
        <v>13606.17</v>
      </c>
      <c r="DR47">
        <f ca="1"/>
        <v>13674.900000000001</v>
      </c>
      <c r="DS47">
        <f ca="1"/>
        <v>13734.150000000001</v>
      </c>
      <c r="DT47">
        <f ca="1"/>
        <v>13682.009999999998</v>
      </c>
      <c r="DU47">
        <f ca="1"/>
        <v>13509</v>
      </c>
      <c r="DV47">
        <f ca="1"/>
        <v>13426.05</v>
      </c>
      <c r="DW47">
        <f ca="1"/>
        <v>13101.36</v>
      </c>
      <c r="DX47">
        <f ca="1"/>
        <v>13108.470000000001</v>
      </c>
      <c r="DY47">
        <f ca="1"/>
        <v>13023.150000000001</v>
      </c>
      <c r="DZ47">
        <f ca="1"/>
        <v>12845.400000000001</v>
      </c>
      <c r="EA47">
        <f ca="1"/>
        <v>12807.48</v>
      </c>
      <c r="EB47">
        <f ca="1"/>
        <v>12736.380000000001</v>
      </c>
      <c r="EC47">
        <f ca="1"/>
        <v>12681.869999999999</v>
      </c>
      <c r="ED47">
        <f ca="1"/>
        <v>12956.79</v>
      </c>
      <c r="EE47">
        <f ca="1"/>
        <v>13134.54</v>
      </c>
      <c r="EF47">
        <f ca="1"/>
        <v>13208.009999999998</v>
      </c>
      <c r="EG47">
        <f ca="1"/>
        <v>13288.59</v>
      </c>
      <c r="EH47">
        <f ca="1"/>
        <v>13094.25</v>
      </c>
      <c r="EI47">
        <f ca="1"/>
        <v>13222.23</v>
      </c>
      <c r="EJ47">
        <f ca="1"/>
        <v>13167.720000000001</v>
      </c>
      <c r="EK47">
        <f ca="1"/>
        <v>13236.45</v>
      </c>
      <c r="EL47">
        <f ca="1"/>
        <v>13196.16</v>
      </c>
      <c r="EM47">
        <f ca="1"/>
        <v>13189.05</v>
      </c>
      <c r="EN47">
        <f ca="1"/>
        <v>13786.29</v>
      </c>
      <c r="EO47">
        <f ca="1"/>
        <v>14046.990000000002</v>
      </c>
      <c r="EP47">
        <f ca="1"/>
        <v>14163.119999999999</v>
      </c>
      <c r="EQ47">
        <f ca="1"/>
        <v>14312.43</v>
      </c>
      <c r="ER47">
        <f ca="1"/>
        <v>14627.64</v>
      </c>
      <c r="ES47">
        <f ca="1"/>
        <v>14675.04</v>
      </c>
      <c r="ET47">
        <f ca="1"/>
        <v>14499.66</v>
      </c>
      <c r="EU47">
        <f ca="1"/>
        <v>14734.29</v>
      </c>
      <c r="EV47">
        <f ca="1"/>
        <v>14800.650000000001</v>
      </c>
      <c r="EW47">
        <f ca="1"/>
        <v>14978.400000000001</v>
      </c>
      <c r="EX47">
        <f ca="1"/>
        <v>14990.25</v>
      </c>
      <c r="EY47">
        <f ca="1"/>
        <v>14928.630000000001</v>
      </c>
      <c r="EZ47">
        <f ca="1"/>
        <v>14795.91</v>
      </c>
      <c r="FA47">
        <f ca="1"/>
        <v>14800.650000000001</v>
      </c>
      <c r="FB47">
        <f ca="1"/>
        <v>14817.240000000002</v>
      </c>
      <c r="FC47">
        <f ca="1"/>
        <v>14793.54</v>
      </c>
      <c r="FD47">
        <f ca="1"/>
        <v>14812.5</v>
      </c>
      <c r="FE47">
        <f ca="1"/>
        <v>14893.08</v>
      </c>
      <c r="FF47">
        <f ca="1"/>
        <v>14871.75</v>
      </c>
      <c r="FG47">
        <f ca="1"/>
        <v>14561.279999999999</v>
      </c>
      <c r="FH47">
        <f ca="1"/>
        <v>14779.32</v>
      </c>
      <c r="FI47">
        <f ca="1"/>
        <v>14805.39</v>
      </c>
      <c r="FJ47">
        <f ca="1"/>
        <v>14502.029999999999</v>
      </c>
      <c r="FK47">
        <f ca="1"/>
        <v>14464.11</v>
      </c>
      <c r="FL47">
        <f ca="1"/>
        <v>14371.68</v>
      </c>
      <c r="FM47">
        <f ca="1"/>
        <v>14445.150000000001</v>
      </c>
      <c r="FN47">
        <f ca="1"/>
        <v>14452.259999999998</v>
      </c>
      <c r="FO47">
        <f ca="1"/>
        <v>14459.369999999999</v>
      </c>
      <c r="FP47">
        <f ca="1"/>
        <v>14236.59</v>
      </c>
      <c r="FQ47">
        <f ca="1"/>
        <v>13760.220000000001</v>
      </c>
      <c r="FR47">
        <f ca="1"/>
        <v>13978.259999999998</v>
      </c>
      <c r="FS47">
        <f ca="1"/>
        <v>13855.02</v>
      </c>
      <c r="FT47">
        <f ca="1"/>
        <v>13978.259999999998</v>
      </c>
      <c r="FU47">
        <f ca="1"/>
        <v>13997.220000000001</v>
      </c>
      <c r="FV47">
        <f ca="1"/>
        <v>14004.33</v>
      </c>
      <c r="FW47">
        <f ca="1"/>
        <v>14006.7</v>
      </c>
      <c r="FX47">
        <f ca="1"/>
        <v>14198.67</v>
      </c>
      <c r="FY47">
        <f ca="1"/>
        <v>14449.89</v>
      </c>
      <c r="FZ47">
        <f ca="1"/>
        <v>14438.04</v>
      </c>
      <c r="GA47">
        <f ca="1"/>
        <v>14838.57</v>
      </c>
      <c r="GB47">
        <f ca="1"/>
        <v>14594.46</v>
      </c>
      <c r="GC47">
        <f ca="1"/>
        <v>14807.759999999998</v>
      </c>
      <c r="GD47">
        <f ca="1"/>
        <v>14859.900000000001</v>
      </c>
      <c r="GE47">
        <f ca="1"/>
        <v>15009.21</v>
      </c>
      <c r="GF47">
        <f ca="1"/>
        <v>15405</v>
      </c>
      <c r="GG47">
        <f ca="1"/>
        <v>15317.31</v>
      </c>
      <c r="GH47">
        <f ca="1"/>
        <v>15805.529999999999</v>
      </c>
      <c r="GI47">
        <f ca="1"/>
        <v>16331.67</v>
      </c>
      <c r="GJ47">
        <f ca="1"/>
        <v>16127.849999999999</v>
      </c>
      <c r="GK47">
        <f ca="1"/>
        <v>16379.07</v>
      </c>
      <c r="GL47">
        <f ca="1"/>
        <v>16457.28</v>
      </c>
      <c r="GM47">
        <f ca="1"/>
        <v>16189.470000000001</v>
      </c>
      <c r="GN47">
        <f ca="1"/>
        <v>16549.71</v>
      </c>
      <c r="GO47">
        <f ca="1"/>
        <v>16286.64</v>
      </c>
      <c r="GP47">
        <f ca="1"/>
        <v>16497.57</v>
      </c>
      <c r="GQ47">
        <f ca="1"/>
        <v>16620.809999999998</v>
      </c>
      <c r="GR47">
        <f ca="1"/>
        <v>16727.46</v>
      </c>
      <c r="GS47">
        <f ca="1"/>
        <v>17016.599999999999</v>
      </c>
      <c r="GT47">
        <f ca="1"/>
        <v>17132.730000000003</v>
      </c>
      <c r="GU47">
        <f ca="1"/>
        <v>17056.89</v>
      </c>
      <c r="GV47">
        <f ca="1"/>
        <v>17059.260000000002</v>
      </c>
      <c r="GW47">
        <f ca="1"/>
        <v>17265.449999999997</v>
      </c>
      <c r="GX47">
        <f ca="1"/>
        <v>17064</v>
      </c>
      <c r="GY47">
        <f ca="1"/>
        <v>17234.64</v>
      </c>
      <c r="GZ47">
        <f ca="1"/>
        <v>17410.019999999997</v>
      </c>
      <c r="HA47">
        <f ca="1"/>
        <v>17566.440000000002</v>
      </c>
      <c r="HB47">
        <f ca="1"/>
        <v>17538</v>
      </c>
      <c r="HC47">
        <f ca="1"/>
        <v>17985.93</v>
      </c>
      <c r="HD47">
        <f ca="1"/>
        <v>17751.300000000003</v>
      </c>
      <c r="HE47">
        <f ca="1"/>
        <v>18071.25</v>
      </c>
      <c r="HF47">
        <f ca="1"/>
        <v>17822.400000000001</v>
      </c>
      <c r="HG47">
        <f ca="1"/>
        <v>18125.760000000002</v>
      </c>
      <c r="HH47">
        <f ca="1"/>
        <v>18431.489999999998</v>
      </c>
      <c r="HI47">
        <f ca="1"/>
        <v>18066.510000000002</v>
      </c>
      <c r="HJ47">
        <f ca="1"/>
        <v>18265.59</v>
      </c>
      <c r="HK47">
        <f ca="1"/>
        <v>18177.900000000001</v>
      </c>
      <c r="HL47">
        <f ca="1"/>
        <v>18061.769999999997</v>
      </c>
      <c r="HM47">
        <f ca="1"/>
        <v>17990.669999999998</v>
      </c>
      <c r="HN47">
        <f ca="1"/>
        <v>18260.849999999999</v>
      </c>
      <c r="HO47">
        <f ca="1"/>
        <v>18734.849999999999</v>
      </c>
      <c r="HP47">
        <f ca="1"/>
        <v>18512.07</v>
      </c>
      <c r="HQ47">
        <f ca="1"/>
        <v>18535.769999999997</v>
      </c>
      <c r="HR47">
        <f ca="1"/>
        <v>18661.379999999997</v>
      </c>
      <c r="HS47">
        <f ca="1"/>
        <v>18296.400000000001</v>
      </c>
      <c r="HT47">
        <f ca="1"/>
        <v>18500.22</v>
      </c>
      <c r="HU47">
        <f ca="1"/>
        <v>18429.120000000003</v>
      </c>
      <c r="HV47">
        <f ca="1"/>
        <v>18746.699999999997</v>
      </c>
      <c r="HW47">
        <f ca="1"/>
        <v>19306.019999999997</v>
      </c>
      <c r="HX47">
        <f ca="1"/>
        <v>19393.71</v>
      </c>
      <c r="HY47">
        <f ca="1"/>
        <v>19654.41</v>
      </c>
      <c r="HZ47">
        <f ca="1"/>
        <v>19934.07</v>
      </c>
      <c r="IA47">
        <f ca="1"/>
        <v>20175.809999999998</v>
      </c>
      <c r="IB47">
        <f ca="1"/>
        <v>20621.370000000003</v>
      </c>
      <c r="IC47">
        <f ca="1"/>
        <v>20735.129999999997</v>
      </c>
      <c r="ID47">
        <f ca="1"/>
        <v>20547.900000000001</v>
      </c>
      <c r="IE47">
        <f ca="1"/>
        <v>20910.510000000002</v>
      </c>
      <c r="IF47">
        <f ca="1"/>
        <v>21192.54</v>
      </c>
      <c r="IG47">
        <f ca="1"/>
        <v>21344.22</v>
      </c>
      <c r="IH47">
        <f ca="1"/>
        <v>21922.5</v>
      </c>
      <c r="II47">
        <f ca="1"/>
        <v>21789.78</v>
      </c>
      <c r="IJ47">
        <f ca="1"/>
        <v>21806.370000000003</v>
      </c>
      <c r="IK47">
        <f ca="1"/>
        <v>21398.730000000003</v>
      </c>
      <c r="IL47">
        <f ca="1"/>
        <v>21737.64</v>
      </c>
      <c r="IM47">
        <f ca="1"/>
        <v>21770.82</v>
      </c>
      <c r="IN47">
        <f ca="1"/>
        <v>21991.230000000003</v>
      </c>
      <c r="IO47">
        <f ca="1"/>
        <v>21149.879999999997</v>
      </c>
      <c r="IP47">
        <f ca="1"/>
        <v>20773.050000000003</v>
      </c>
      <c r="IQ47">
        <f ca="1"/>
        <v>21161.730000000003</v>
      </c>
      <c r="IR47">
        <f ca="1"/>
        <v>21190.17</v>
      </c>
      <c r="IS47">
        <f ca="1"/>
        <v>20751.72</v>
      </c>
      <c r="IT47">
        <f ca="1"/>
        <v>20455.47</v>
      </c>
      <c r="IU47">
        <f ca="1"/>
        <v>20706.690000000002</v>
      </c>
      <c r="IV47">
        <f ca="1"/>
        <v>19834.53</v>
      </c>
      <c r="IW47">
        <f ca="1"/>
        <v>19934.07</v>
      </c>
    </row>
    <row r="48" spans="2:257" x14ac:dyDescent="0.25">
      <c r="B48" t="str">
        <f t="shared" si="408"/>
        <v>20K6HZ6</v>
      </c>
      <c r="C48" t="s">
        <v>160</v>
      </c>
      <c r="D48" t="e" vm="544">
        <v>#VALUE!</v>
      </c>
      <c r="E48" t="str" cm="1">
        <f t="array" aca="1" ref="E48" ca="1">_FV(D48,"Code mnémonique",TRUE)</f>
        <v>TD</v>
      </c>
      <c r="F48" s="12">
        <f>_xlfn.XLOOKUP(D48,Titres[Action],Titres[Nb d''actions])</f>
        <v>48</v>
      </c>
      <c r="G48" cm="1">
        <f t="array" aca="1" ref="G48:IW48" ca="1">IFERROR(TRANSPOSE(_xlfn.STOCKHISTORY(D48,TODAY()-365,TODAY(),0,0,1))*F48,"")</f>
        <v>4040.6400000000003</v>
      </c>
      <c r="H48">
        <f ca="1"/>
        <v>4108.7999999999993</v>
      </c>
      <c r="I48">
        <f ca="1"/>
        <v>4113.6000000000004</v>
      </c>
      <c r="J48">
        <f ca="1"/>
        <v>4137.6000000000004</v>
      </c>
      <c r="K48">
        <f ca="1"/>
        <v>4136.16</v>
      </c>
      <c r="L48">
        <f ca="1"/>
        <v>4160.6400000000003</v>
      </c>
      <c r="M48">
        <f ca="1"/>
        <v>4202.88</v>
      </c>
      <c r="N48">
        <f ca="1"/>
        <v>4228.32</v>
      </c>
      <c r="O48">
        <f ca="1"/>
        <v>4195.68</v>
      </c>
      <c r="P48">
        <f ca="1"/>
        <v>4240.32</v>
      </c>
      <c r="Q48">
        <f ca="1"/>
        <v>4232.6400000000003</v>
      </c>
      <c r="R48">
        <f ca="1"/>
        <v>4197.6000000000004</v>
      </c>
      <c r="S48">
        <f ca="1"/>
        <v>4192.32</v>
      </c>
      <c r="T48">
        <f ca="1"/>
        <v>4212.4800000000005</v>
      </c>
      <c r="U48">
        <f ca="1"/>
        <v>4227.3599999999997</v>
      </c>
      <c r="V48">
        <f ca="1"/>
        <v>4248.96</v>
      </c>
      <c r="W48">
        <f ca="1"/>
        <v>4278.24</v>
      </c>
      <c r="X48">
        <f ca="1"/>
        <v>4310.3999999999996</v>
      </c>
      <c r="Y48">
        <f ca="1"/>
        <v>4354.5599999999995</v>
      </c>
      <c r="Z48">
        <f ca="1"/>
        <v>4311.84</v>
      </c>
      <c r="AA48">
        <f ca="1"/>
        <v>4328.16</v>
      </c>
      <c r="AB48">
        <f ca="1"/>
        <v>4315.2000000000007</v>
      </c>
      <c r="AC48">
        <f ca="1"/>
        <v>4454.88</v>
      </c>
      <c r="AD48">
        <f ca="1"/>
        <v>4459.68</v>
      </c>
      <c r="AE48">
        <f ca="1"/>
        <v>4484.16</v>
      </c>
      <c r="AF48">
        <f ca="1"/>
        <v>4527.3599999999997</v>
      </c>
      <c r="AG48">
        <f ca="1"/>
        <v>4523.5199999999995</v>
      </c>
      <c r="AH48">
        <f ca="1"/>
        <v>4556.16</v>
      </c>
      <c r="AI48">
        <f ca="1"/>
        <v>4548.96</v>
      </c>
      <c r="AJ48">
        <f ca="1"/>
        <v>4558.08</v>
      </c>
      <c r="AK48">
        <f ca="1"/>
        <v>4608.96</v>
      </c>
      <c r="AL48">
        <f ca="1"/>
        <v>4570.5599999999995</v>
      </c>
      <c r="AM48">
        <f ca="1"/>
        <v>4588.7999999999993</v>
      </c>
      <c r="AN48">
        <f ca="1"/>
        <v>4624.7999999999993</v>
      </c>
      <c r="AO48">
        <f ca="1"/>
        <v>4604.16</v>
      </c>
      <c r="AP48">
        <f ca="1"/>
        <v>4644.4800000000005</v>
      </c>
      <c r="AQ48">
        <f ca="1"/>
        <v>4607.04</v>
      </c>
      <c r="AR48">
        <f ca="1"/>
        <v>4622.88</v>
      </c>
      <c r="AS48">
        <f ca="1"/>
        <v>4619.04</v>
      </c>
      <c r="AT48">
        <f ca="1"/>
        <v>4630.08</v>
      </c>
      <c r="AU48">
        <f ca="1"/>
        <v>4646.3999999999996</v>
      </c>
      <c r="AV48">
        <f ca="1"/>
        <v>4689.12</v>
      </c>
      <c r="AW48">
        <f ca="1"/>
        <v>4676.6400000000003</v>
      </c>
      <c r="AX48">
        <f ca="1"/>
        <v>4674.72</v>
      </c>
      <c r="AY48">
        <f ca="1"/>
        <v>4692.96</v>
      </c>
      <c r="AZ48">
        <f ca="1"/>
        <v>4731.84</v>
      </c>
      <c r="BA48">
        <f ca="1"/>
        <v>4744.32</v>
      </c>
      <c r="BB48">
        <f ca="1"/>
        <v>4774.08</v>
      </c>
      <c r="BC48">
        <f ca="1"/>
        <v>4773.6000000000004</v>
      </c>
      <c r="BD48">
        <f ca="1"/>
        <v>4807.68</v>
      </c>
      <c r="BE48">
        <f ca="1"/>
        <v>4852.7999999999993</v>
      </c>
      <c r="BF48">
        <f ca="1"/>
        <v>4876.32</v>
      </c>
      <c r="BG48">
        <f ca="1"/>
        <v>4881.12</v>
      </c>
      <c r="BH48">
        <f ca="1"/>
        <v>4860.96</v>
      </c>
      <c r="BI48">
        <f ca="1"/>
        <v>4867.2000000000007</v>
      </c>
      <c r="BJ48">
        <f ca="1"/>
        <v>4869.12</v>
      </c>
      <c r="BK48">
        <f ca="1"/>
        <v>4847.04</v>
      </c>
      <c r="BL48">
        <f ca="1"/>
        <v>4833.12</v>
      </c>
      <c r="BM48">
        <f ca="1"/>
        <v>4871.04</v>
      </c>
      <c r="BN48">
        <f ca="1"/>
        <v>4841.76</v>
      </c>
      <c r="BO48">
        <f ca="1"/>
        <v>4861.92</v>
      </c>
      <c r="BP48">
        <f ca="1"/>
        <v>4880.16</v>
      </c>
      <c r="BQ48">
        <f ca="1"/>
        <v>4848.4800000000005</v>
      </c>
      <c r="BR48">
        <f ca="1"/>
        <v>4887.3599999999997</v>
      </c>
      <c r="BS48">
        <f ca="1"/>
        <v>4904.16</v>
      </c>
      <c r="BT48">
        <f ca="1"/>
        <v>4917.12</v>
      </c>
      <c r="BU48">
        <f ca="1"/>
        <v>4902.24</v>
      </c>
      <c r="BV48">
        <f ca="1"/>
        <v>4927.2000000000007</v>
      </c>
      <c r="BW48">
        <f ca="1"/>
        <v>4885.92</v>
      </c>
      <c r="BX48">
        <f ca="1"/>
        <v>4862.88</v>
      </c>
      <c r="BY48">
        <f ca="1"/>
        <v>4886.3999999999996</v>
      </c>
      <c r="BZ48">
        <f ca="1"/>
        <v>4844.16</v>
      </c>
      <c r="CA48">
        <f ca="1"/>
        <v>4804.32</v>
      </c>
      <c r="CB48">
        <f ca="1"/>
        <v>4825.4400000000005</v>
      </c>
      <c r="CC48">
        <f ca="1"/>
        <v>4849.92</v>
      </c>
      <c r="CD48">
        <f ca="1"/>
        <v>4811.5199999999995</v>
      </c>
      <c r="CE48">
        <f ca="1"/>
        <v>4836.4800000000005</v>
      </c>
      <c r="CF48">
        <f ca="1"/>
        <v>4837.4400000000005</v>
      </c>
      <c r="CG48">
        <f ca="1"/>
        <v>4845.12</v>
      </c>
      <c r="CH48">
        <f ca="1"/>
        <v>4923.3599999999997</v>
      </c>
      <c r="CI48">
        <f ca="1"/>
        <v>4943.5199999999995</v>
      </c>
      <c r="CJ48">
        <f ca="1"/>
        <v>4912.7999999999993</v>
      </c>
      <c r="CK48">
        <f ca="1"/>
        <v>4899.84</v>
      </c>
      <c r="CL48">
        <f ca="1"/>
        <v>4881.12</v>
      </c>
      <c r="CM48">
        <f ca="1"/>
        <v>4907.5199999999995</v>
      </c>
      <c r="CN48">
        <f ca="1"/>
        <v>4917.6000000000004</v>
      </c>
      <c r="CO48">
        <f ca="1"/>
        <v>4938.24</v>
      </c>
      <c r="CP48">
        <f ca="1"/>
        <v>4909.4400000000005</v>
      </c>
      <c r="CQ48">
        <f ca="1"/>
        <v>4996.32</v>
      </c>
      <c r="CR48">
        <f ca="1"/>
        <v>5040.4800000000005</v>
      </c>
      <c r="CS48">
        <f ca="1"/>
        <v>4812.96</v>
      </c>
      <c r="CT48">
        <f ca="1"/>
        <v>4949.76</v>
      </c>
      <c r="CU48">
        <f ca="1"/>
        <v>4932</v>
      </c>
      <c r="CV48">
        <f ca="1"/>
        <v>4959.84</v>
      </c>
      <c r="CW48">
        <f ca="1"/>
        <v>4959.84</v>
      </c>
      <c r="CX48">
        <f ca="1"/>
        <v>4951.68</v>
      </c>
      <c r="CY48">
        <f ca="1"/>
        <v>4955.04</v>
      </c>
      <c r="CZ48">
        <f ca="1"/>
        <v>5013.12</v>
      </c>
      <c r="DA48">
        <f ca="1"/>
        <v>5051.5199999999995</v>
      </c>
      <c r="DB48">
        <f ca="1"/>
        <v>5099.5199999999995</v>
      </c>
      <c r="DC48">
        <f ca="1"/>
        <v>5103.3599999999997</v>
      </c>
      <c r="DD48">
        <f ca="1"/>
        <v>5134.08</v>
      </c>
      <c r="DE48">
        <f ca="1"/>
        <v>5139.84</v>
      </c>
      <c r="DF48">
        <f ca="1"/>
        <v>5183.04</v>
      </c>
      <c r="DG48">
        <f ca="1"/>
        <v>5193.12</v>
      </c>
      <c r="DH48">
        <f ca="1"/>
        <v>5202.72</v>
      </c>
      <c r="DI48">
        <f ca="1"/>
        <v>5258.88</v>
      </c>
      <c r="DJ48">
        <f ca="1"/>
        <v>5229.6000000000004</v>
      </c>
      <c r="DK48">
        <f ca="1"/>
        <v>5212.32</v>
      </c>
      <c r="DL48">
        <f ca="1"/>
        <v>5278.08</v>
      </c>
      <c r="DM48">
        <f ca="1"/>
        <v>5296.7999999999993</v>
      </c>
      <c r="DN48">
        <f ca="1"/>
        <v>5333.28</v>
      </c>
      <c r="DO48">
        <f ca="1"/>
        <v>5341.4400000000005</v>
      </c>
      <c r="DP48">
        <f ca="1"/>
        <v>5382.24</v>
      </c>
      <c r="DQ48">
        <f ca="1"/>
        <v>5334.72</v>
      </c>
      <c r="DR48">
        <f ca="1"/>
        <v>5436.4800000000005</v>
      </c>
      <c r="DS48">
        <f ca="1"/>
        <v>5438.4</v>
      </c>
      <c r="DT48">
        <f ca="1"/>
        <v>5421.12</v>
      </c>
      <c r="DU48">
        <f ca="1"/>
        <v>5392.32</v>
      </c>
      <c r="DV48">
        <f ca="1"/>
        <v>5376.96</v>
      </c>
      <c r="DW48">
        <f ca="1"/>
        <v>5269.4400000000005</v>
      </c>
      <c r="DX48">
        <f ca="1"/>
        <v>5352.4800000000005</v>
      </c>
      <c r="DY48">
        <f ca="1"/>
        <v>5422.08</v>
      </c>
      <c r="DZ48">
        <f ca="1"/>
        <v>5315.04</v>
      </c>
      <c r="EA48">
        <f ca="1"/>
        <v>5330.88</v>
      </c>
      <c r="EB48">
        <f ca="1"/>
        <v>5379.36</v>
      </c>
      <c r="EC48">
        <f ca="1"/>
        <v>5406.72</v>
      </c>
      <c r="ED48">
        <f ca="1"/>
        <v>5429.28</v>
      </c>
      <c r="EE48">
        <f ca="1"/>
        <v>5430.72</v>
      </c>
      <c r="EF48">
        <f ca="1"/>
        <v>5440.7999999999993</v>
      </c>
      <c r="EG48">
        <f ca="1"/>
        <v>5484.4800000000005</v>
      </c>
      <c r="EH48">
        <f ca="1"/>
        <v>5533.92</v>
      </c>
      <c r="EI48">
        <f ca="1"/>
        <v>5473.4400000000005</v>
      </c>
      <c r="EJ48">
        <f ca="1"/>
        <v>5502.72</v>
      </c>
      <c r="EK48">
        <f ca="1"/>
        <v>5527.68</v>
      </c>
      <c r="EL48">
        <f ca="1"/>
        <v>5528.64</v>
      </c>
      <c r="EM48">
        <f ca="1"/>
        <v>5450.88</v>
      </c>
      <c r="EN48">
        <f ca="1"/>
        <v>5464.7999999999993</v>
      </c>
      <c r="EO48">
        <f ca="1"/>
        <v>5449.92</v>
      </c>
      <c r="EP48">
        <f ca="1"/>
        <v>5451.84</v>
      </c>
      <c r="EQ48">
        <f ca="1"/>
        <v>5458.5599999999995</v>
      </c>
      <c r="ER48">
        <f ca="1"/>
        <v>5488.7999999999993</v>
      </c>
      <c r="ES48">
        <f ca="1"/>
        <v>5562.72</v>
      </c>
      <c r="ET48">
        <f ca="1"/>
        <v>5482.5599999999995</v>
      </c>
      <c r="EU48">
        <f ca="1"/>
        <v>5474.4</v>
      </c>
      <c r="EV48">
        <f ca="1"/>
        <v>5494.08</v>
      </c>
      <c r="EW48">
        <f ca="1"/>
        <v>5516.64</v>
      </c>
      <c r="EX48">
        <f ca="1"/>
        <v>5504.16</v>
      </c>
      <c r="EY48">
        <f ca="1"/>
        <v>5503.68</v>
      </c>
      <c r="EZ48">
        <f ca="1"/>
        <v>5548.32</v>
      </c>
      <c r="FA48">
        <f ca="1"/>
        <v>5602.08</v>
      </c>
      <c r="FB48">
        <f ca="1"/>
        <v>5569.92</v>
      </c>
      <c r="FC48">
        <f ca="1"/>
        <v>5623.2000000000007</v>
      </c>
      <c r="FD48">
        <f ca="1"/>
        <v>5618.88</v>
      </c>
      <c r="FE48">
        <f ca="1"/>
        <v>5647.2000000000007</v>
      </c>
      <c r="FF48">
        <f ca="1"/>
        <v>5614.08</v>
      </c>
      <c r="FG48">
        <f ca="1"/>
        <v>5673.6</v>
      </c>
      <c r="FH48">
        <f ca="1"/>
        <v>5649.6</v>
      </c>
      <c r="FI48">
        <f ca="1"/>
        <v>5764.32</v>
      </c>
      <c r="FJ48">
        <f ca="1"/>
        <v>5865.6</v>
      </c>
      <c r="FK48">
        <f ca="1"/>
        <v>5863.2000000000007</v>
      </c>
      <c r="FL48">
        <f ca="1"/>
        <v>5926.5599999999995</v>
      </c>
      <c r="FM48">
        <f ca="1"/>
        <v>6042.24</v>
      </c>
      <c r="FN48">
        <f ca="1"/>
        <v>6068.64</v>
      </c>
      <c r="FO48">
        <f ca="1"/>
        <v>6038.4</v>
      </c>
      <c r="FP48">
        <f ca="1"/>
        <v>6084</v>
      </c>
      <c r="FQ48">
        <f ca="1"/>
        <v>6053.28</v>
      </c>
      <c r="FR48">
        <f ca="1"/>
        <v>6037.4400000000005</v>
      </c>
      <c r="FS48">
        <f ca="1"/>
        <v>6119.5199999999995</v>
      </c>
      <c r="FT48">
        <f ca="1"/>
        <v>6143.5199999999995</v>
      </c>
      <c r="FU48">
        <f ca="1"/>
        <v>6143.04</v>
      </c>
      <c r="FV48">
        <f ca="1"/>
        <v>6188.16</v>
      </c>
      <c r="FW48">
        <f ca="1"/>
        <v>6199.68</v>
      </c>
      <c r="FX48">
        <f ca="1"/>
        <v>6220.32</v>
      </c>
      <c r="FY48">
        <f ca="1"/>
        <v>6230.88</v>
      </c>
      <c r="FZ48">
        <f ca="1"/>
        <v>6209.2800000000007</v>
      </c>
      <c r="GA48">
        <f ca="1"/>
        <v>6231.36</v>
      </c>
      <c r="GB48">
        <f ca="1"/>
        <v>6348.9600000000009</v>
      </c>
      <c r="GC48">
        <f ca="1"/>
        <v>6275.0399999999991</v>
      </c>
      <c r="GD48">
        <f ca="1"/>
        <v>6247.68</v>
      </c>
      <c r="GE48">
        <f ca="1"/>
        <v>6295.2000000000007</v>
      </c>
      <c r="GF48">
        <f ca="1"/>
        <v>6296.16</v>
      </c>
      <c r="GG48">
        <f ca="1"/>
        <v>6271.2000000000007</v>
      </c>
      <c r="GH48">
        <f ca="1"/>
        <v>6259.68</v>
      </c>
      <c r="GI48">
        <f ca="1"/>
        <v>6248.64</v>
      </c>
      <c r="GJ48">
        <f ca="1"/>
        <v>6274.08</v>
      </c>
      <c r="GK48">
        <f ca="1"/>
        <v>6266.4000000000005</v>
      </c>
      <c r="GL48">
        <f ca="1"/>
        <v>6239.52</v>
      </c>
      <c r="GM48">
        <f ca="1"/>
        <v>6176.16</v>
      </c>
      <c r="GN48">
        <f ca="1"/>
        <v>6218.4000000000005</v>
      </c>
      <c r="GO48">
        <f ca="1"/>
        <v>6266.88</v>
      </c>
      <c r="GP48">
        <f ca="1"/>
        <v>6257.76</v>
      </c>
      <c r="GQ48">
        <f ca="1"/>
        <v>6244.32</v>
      </c>
      <c r="GR48">
        <f ca="1"/>
        <v>6260.16</v>
      </c>
      <c r="GS48">
        <f ca="1"/>
        <v>6091.2000000000007</v>
      </c>
      <c r="GT48">
        <f ca="1"/>
        <v>6143.5199999999995</v>
      </c>
      <c r="GU48">
        <f ca="1"/>
        <v>6108.4800000000005</v>
      </c>
      <c r="GV48">
        <f ca="1"/>
        <v>6199.68</v>
      </c>
      <c r="GW48">
        <f ca="1"/>
        <v>6249.5999999999995</v>
      </c>
      <c r="GX48">
        <f ca="1"/>
        <v>6257.76</v>
      </c>
      <c r="GY48">
        <f ca="1"/>
        <v>6248.16</v>
      </c>
      <c r="GZ48">
        <f ca="1"/>
        <v>6335.52</v>
      </c>
      <c r="HA48">
        <f ca="1"/>
        <v>6392.16</v>
      </c>
      <c r="HB48">
        <f ca="1"/>
        <v>6414.7199999999993</v>
      </c>
      <c r="HC48">
        <f ca="1"/>
        <v>6339.36</v>
      </c>
      <c r="HD48">
        <f ca="1"/>
        <v>6248.64</v>
      </c>
      <c r="HE48">
        <f ca="1"/>
        <v>6236.64</v>
      </c>
      <c r="HF48">
        <f ca="1"/>
        <v>6259.2000000000007</v>
      </c>
      <c r="HG48">
        <f ca="1"/>
        <v>6319.68</v>
      </c>
      <c r="HH48">
        <f ca="1"/>
        <v>6300.9600000000009</v>
      </c>
      <c r="HI48">
        <f ca="1"/>
        <v>6373.92</v>
      </c>
      <c r="HJ48">
        <f ca="1"/>
        <v>6302.4000000000005</v>
      </c>
      <c r="HK48">
        <f ca="1"/>
        <v>6255.84</v>
      </c>
      <c r="HL48">
        <f ca="1"/>
        <v>6382.08</v>
      </c>
      <c r="HM48">
        <f ca="1"/>
        <v>6486.7199999999993</v>
      </c>
      <c r="HN48">
        <f ca="1"/>
        <v>6378.24</v>
      </c>
      <c r="HO48">
        <f ca="1"/>
        <v>6450.24</v>
      </c>
      <c r="HP48">
        <f ca="1"/>
        <v>6412.7999999999993</v>
      </c>
      <c r="HQ48">
        <f ca="1"/>
        <v>6465.5999999999995</v>
      </c>
      <c r="HR48">
        <f ca="1"/>
        <v>6373.4400000000005</v>
      </c>
      <c r="HS48">
        <f ca="1"/>
        <v>6242.88</v>
      </c>
      <c r="HT48">
        <f ca="1"/>
        <v>6214.5599999999995</v>
      </c>
      <c r="HU48">
        <f ca="1"/>
        <v>6252</v>
      </c>
      <c r="HV48">
        <f ca="1"/>
        <v>6254.88</v>
      </c>
      <c r="HW48">
        <f ca="1"/>
        <v>6155.52</v>
      </c>
      <c r="HX48">
        <f ca="1"/>
        <v>6146.4000000000005</v>
      </c>
      <c r="HY48">
        <f ca="1"/>
        <v>6253.92</v>
      </c>
      <c r="HZ48">
        <f ca="1"/>
        <v>6308.16</v>
      </c>
      <c r="IA48">
        <f ca="1"/>
        <v>6216.48</v>
      </c>
      <c r="IB48">
        <f ca="1"/>
        <v>6174.7199999999993</v>
      </c>
      <c r="IC48">
        <f ca="1"/>
        <v>6053.28</v>
      </c>
      <c r="ID48">
        <f ca="1"/>
        <v>6161.76</v>
      </c>
      <c r="IE48">
        <f ca="1"/>
        <v>6177.5999999999995</v>
      </c>
      <c r="IF48">
        <f ca="1"/>
        <v>6255.36</v>
      </c>
      <c r="IG48">
        <f ca="1"/>
        <v>6175.68</v>
      </c>
      <c r="IH48">
        <f ca="1"/>
        <v>6089.76</v>
      </c>
      <c r="II48">
        <f ca="1"/>
        <v>6120.96</v>
      </c>
      <c r="IJ48">
        <f ca="1"/>
        <v>6236.16</v>
      </c>
      <c r="IK48">
        <f ca="1"/>
        <v>6302.88</v>
      </c>
      <c r="IL48">
        <f ca="1"/>
        <v>6360.48</v>
      </c>
      <c r="IM48">
        <f ca="1"/>
        <v>6405.12</v>
      </c>
      <c r="IN48">
        <f ca="1"/>
        <v>6473.2800000000007</v>
      </c>
      <c r="IO48">
        <f ca="1"/>
        <v>6588</v>
      </c>
      <c r="IP48">
        <f ca="1"/>
        <v>6621.12</v>
      </c>
      <c r="IQ48">
        <f ca="1"/>
        <v>6685.4400000000005</v>
      </c>
      <c r="IR48">
        <f ca="1"/>
        <v>6752.16</v>
      </c>
      <c r="IS48">
        <f ca="1"/>
        <v>6813.5999999999995</v>
      </c>
      <c r="IT48">
        <f ca="1"/>
        <v>6852.9600000000009</v>
      </c>
      <c r="IU48">
        <f ca="1"/>
        <v>6839.0399999999991</v>
      </c>
      <c r="IV48">
        <f ca="1"/>
        <v>6920.16</v>
      </c>
      <c r="IW48">
        <f ca="1"/>
        <v>6979.68</v>
      </c>
    </row>
    <row r="49" spans="2:267" x14ac:dyDescent="0.25">
      <c r="B49" t="str">
        <f t="shared" si="408"/>
        <v>20K6HZ6</v>
      </c>
      <c r="C49" t="s">
        <v>160</v>
      </c>
      <c r="D49" t="e" vm="572">
        <v>#VALUE!</v>
      </c>
      <c r="E49" t="str" cm="1">
        <f t="array" aca="1" ref="E49" ca="1">_FV(D49,"Code mnémonique",TRUE)</f>
        <v>TRP</v>
      </c>
      <c r="F49" s="12">
        <f>_xlfn.XLOOKUP(D49,Titres[Action],Titres[Nb d''actions])</f>
        <v>45</v>
      </c>
      <c r="G49" cm="1">
        <f t="array" aca="1" ref="G49:IW49" ca="1">IFERROR(TRANSPOSE(_xlfn.STOCKHISTORY(D49,TODAY()-365,TODAY(),0,0,1))*F49,"")</f>
        <v>3018.1499999999996</v>
      </c>
      <c r="H49">
        <f ca="1"/>
        <v>3050.1</v>
      </c>
      <c r="I49">
        <f ca="1"/>
        <v>3055.95</v>
      </c>
      <c r="J49">
        <f ca="1"/>
        <v>3086.1</v>
      </c>
      <c r="K49">
        <f ca="1"/>
        <v>3098.7</v>
      </c>
      <c r="L49">
        <f ca="1"/>
        <v>3123.0000000000005</v>
      </c>
      <c r="M49">
        <f ca="1"/>
        <v>3127.5</v>
      </c>
      <c r="N49">
        <f ca="1"/>
        <v>3134.2500000000005</v>
      </c>
      <c r="O49">
        <f ca="1"/>
        <v>3118.05</v>
      </c>
      <c r="P49">
        <f ca="1"/>
        <v>3165.3</v>
      </c>
      <c r="Q49">
        <f ca="1"/>
        <v>3163.5</v>
      </c>
      <c r="R49">
        <f ca="1"/>
        <v>3132.45</v>
      </c>
      <c r="S49">
        <f ca="1"/>
        <v>3178.35</v>
      </c>
      <c r="T49">
        <f ca="1"/>
        <v>3073.5</v>
      </c>
      <c r="U49">
        <f ca="1"/>
        <v>3097.8</v>
      </c>
      <c r="V49">
        <f ca="1"/>
        <v>3029.85</v>
      </c>
      <c r="W49">
        <f ca="1"/>
        <v>3044.7</v>
      </c>
      <c r="X49">
        <f ca="1"/>
        <v>3078.0000000000005</v>
      </c>
      <c r="Y49">
        <f ca="1"/>
        <v>3135.6000000000004</v>
      </c>
      <c r="Z49">
        <f ca="1"/>
        <v>3135.6000000000004</v>
      </c>
      <c r="AA49">
        <f ca="1"/>
        <v>3134.2500000000005</v>
      </c>
      <c r="AB49">
        <f ca="1"/>
        <v>3108.6</v>
      </c>
      <c r="AC49">
        <f ca="1"/>
        <v>3091.95</v>
      </c>
      <c r="AD49">
        <f ca="1"/>
        <v>3115.3500000000004</v>
      </c>
      <c r="AE49">
        <f ca="1"/>
        <v>3119.85</v>
      </c>
      <c r="AF49">
        <f ca="1"/>
        <v>3114.45</v>
      </c>
      <c r="AG49">
        <f ca="1"/>
        <v>3107.25</v>
      </c>
      <c r="AH49">
        <f ca="1"/>
        <v>3096</v>
      </c>
      <c r="AI49">
        <f ca="1"/>
        <v>3129.3</v>
      </c>
      <c r="AJ49">
        <f ca="1"/>
        <v>3169.3500000000004</v>
      </c>
      <c r="AK49">
        <f ca="1"/>
        <v>3166.2</v>
      </c>
      <c r="AL49">
        <f ca="1"/>
        <v>3162.1499999999996</v>
      </c>
      <c r="AM49">
        <f ca="1"/>
        <v>3159</v>
      </c>
      <c r="AN49">
        <f ca="1"/>
        <v>3126.6000000000004</v>
      </c>
      <c r="AO49">
        <f ca="1"/>
        <v>3044.7</v>
      </c>
      <c r="AP49">
        <f ca="1"/>
        <v>3051.4500000000003</v>
      </c>
      <c r="AQ49">
        <f ca="1"/>
        <v>3047.4</v>
      </c>
      <c r="AR49">
        <f ca="1"/>
        <v>3063.1499999999996</v>
      </c>
      <c r="AS49">
        <f ca="1"/>
        <v>3030.7499999999995</v>
      </c>
      <c r="AT49">
        <f ca="1"/>
        <v>3005.55</v>
      </c>
      <c r="AU49">
        <f ca="1"/>
        <v>2966.4</v>
      </c>
      <c r="AV49">
        <f ca="1"/>
        <v>2943.9</v>
      </c>
      <c r="AW49">
        <f ca="1"/>
        <v>2925</v>
      </c>
      <c r="AX49">
        <f ca="1"/>
        <v>2932.2</v>
      </c>
      <c r="AY49">
        <f ca="1"/>
        <v>2917.35</v>
      </c>
      <c r="AZ49">
        <f ca="1"/>
        <v>2916</v>
      </c>
      <c r="BA49">
        <f ca="1"/>
        <v>2903.3999999999996</v>
      </c>
      <c r="BB49">
        <f ca="1"/>
        <v>2943.45</v>
      </c>
      <c r="BC49">
        <f ca="1"/>
        <v>3015</v>
      </c>
      <c r="BD49">
        <f ca="1"/>
        <v>2991.6000000000004</v>
      </c>
      <c r="BE49">
        <f ca="1"/>
        <v>2933.5499999999997</v>
      </c>
      <c r="BF49">
        <f ca="1"/>
        <v>2950.2000000000003</v>
      </c>
      <c r="BG49">
        <f ca="1"/>
        <v>2944.3500000000004</v>
      </c>
      <c r="BH49">
        <f ca="1"/>
        <v>2913.75</v>
      </c>
      <c r="BI49">
        <f ca="1"/>
        <v>2909.7</v>
      </c>
      <c r="BJ49">
        <f ca="1"/>
        <v>2869.65</v>
      </c>
      <c r="BK49">
        <f ca="1"/>
        <v>2907.45</v>
      </c>
      <c r="BL49">
        <f ca="1"/>
        <v>2915.1</v>
      </c>
      <c r="BM49">
        <f ca="1"/>
        <v>2983.9500000000003</v>
      </c>
      <c r="BN49">
        <f ca="1"/>
        <v>3001.0499999999997</v>
      </c>
      <c r="BO49">
        <f ca="1"/>
        <v>2980.7999999999997</v>
      </c>
      <c r="BP49">
        <f ca="1"/>
        <v>2951.55</v>
      </c>
      <c r="BQ49">
        <f ca="1"/>
        <v>2948.3999999999996</v>
      </c>
      <c r="BR49">
        <f ca="1"/>
        <v>2919.15</v>
      </c>
      <c r="BS49">
        <f ca="1"/>
        <v>2935.7999999999997</v>
      </c>
      <c r="BT49">
        <f ca="1"/>
        <v>2943.45</v>
      </c>
      <c r="BU49">
        <f ca="1"/>
        <v>2920.5000000000005</v>
      </c>
      <c r="BV49">
        <f ca="1"/>
        <v>2913.2999999999997</v>
      </c>
      <c r="BW49">
        <f ca="1"/>
        <v>2895.3</v>
      </c>
      <c r="BX49">
        <f ca="1"/>
        <v>2913.2999999999997</v>
      </c>
      <c r="BY49">
        <f ca="1"/>
        <v>2925.8999999999996</v>
      </c>
      <c r="BZ49">
        <f ca="1"/>
        <v>2977.2</v>
      </c>
      <c r="CA49">
        <f ca="1"/>
        <v>3004.2000000000003</v>
      </c>
      <c r="CB49">
        <f ca="1"/>
        <v>3033.9</v>
      </c>
      <c r="CC49">
        <f ca="1"/>
        <v>3078.9</v>
      </c>
      <c r="CD49">
        <f ca="1"/>
        <v>3075.3</v>
      </c>
      <c r="CE49">
        <f ca="1"/>
        <v>3058.65</v>
      </c>
      <c r="CF49">
        <f ca="1"/>
        <v>3100.05</v>
      </c>
      <c r="CG49">
        <f ca="1"/>
        <v>3107.25</v>
      </c>
      <c r="CH49">
        <f ca="1"/>
        <v>3160.7999999999997</v>
      </c>
      <c r="CI49">
        <f ca="1"/>
        <v>3184.6499999999996</v>
      </c>
      <c r="CJ49">
        <f ca="1"/>
        <v>3175.2000000000003</v>
      </c>
      <c r="CK49">
        <f ca="1"/>
        <v>3135.15</v>
      </c>
      <c r="CL49">
        <f ca="1"/>
        <v>3191.8500000000004</v>
      </c>
      <c r="CM49">
        <f ca="1"/>
        <v>3237.75</v>
      </c>
      <c r="CN49">
        <f ca="1"/>
        <v>3222.9</v>
      </c>
      <c r="CO49">
        <f ca="1"/>
        <v>3186</v>
      </c>
      <c r="CP49">
        <f ca="1"/>
        <v>3168.0000000000005</v>
      </c>
      <c r="CQ49">
        <f ca="1"/>
        <v>3172.5</v>
      </c>
      <c r="CR49">
        <f ca="1"/>
        <v>3181.5</v>
      </c>
      <c r="CS49">
        <f ca="1"/>
        <v>3196.35</v>
      </c>
      <c r="CT49">
        <f ca="1"/>
        <v>3218.3999999999996</v>
      </c>
      <c r="CU49">
        <f ca="1"/>
        <v>3207.6</v>
      </c>
      <c r="CV49">
        <f ca="1"/>
        <v>3234.6</v>
      </c>
      <c r="CW49">
        <f ca="1"/>
        <v>3198.1499999999996</v>
      </c>
      <c r="CX49">
        <f ca="1"/>
        <v>3232.35</v>
      </c>
      <c r="CY49">
        <f ca="1"/>
        <v>3224.2500000000005</v>
      </c>
      <c r="CZ49">
        <f ca="1"/>
        <v>3230.55</v>
      </c>
      <c r="DA49">
        <f ca="1"/>
        <v>3240.8999999999996</v>
      </c>
      <c r="DB49">
        <f ca="1"/>
        <v>3242.7000000000003</v>
      </c>
      <c r="DC49">
        <f ca="1"/>
        <v>3260.25</v>
      </c>
      <c r="DD49">
        <f ca="1"/>
        <v>3239.1000000000004</v>
      </c>
      <c r="DE49">
        <f ca="1"/>
        <v>3223.8</v>
      </c>
      <c r="DF49">
        <f ca="1"/>
        <v>3246.7500000000005</v>
      </c>
      <c r="DG49">
        <f ca="1"/>
        <v>3269.2500000000005</v>
      </c>
      <c r="DH49">
        <f ca="1"/>
        <v>3260.7</v>
      </c>
      <c r="DI49">
        <f ca="1"/>
        <v>3290.85</v>
      </c>
      <c r="DJ49">
        <f ca="1"/>
        <v>3320.1</v>
      </c>
      <c r="DK49">
        <f ca="1"/>
        <v>3349.3500000000004</v>
      </c>
      <c r="DL49">
        <f ca="1"/>
        <v>3369.15</v>
      </c>
      <c r="DM49">
        <f ca="1"/>
        <v>3349.3500000000004</v>
      </c>
      <c r="DN49">
        <f ca="1"/>
        <v>3347.1</v>
      </c>
      <c r="DO49">
        <f ca="1"/>
        <v>3405.15</v>
      </c>
      <c r="DP49">
        <f ca="1"/>
        <v>3380.4</v>
      </c>
      <c r="DQ49">
        <f ca="1"/>
        <v>3408.75</v>
      </c>
      <c r="DR49">
        <f ca="1"/>
        <v>3460.05</v>
      </c>
      <c r="DS49">
        <f ca="1"/>
        <v>3418.2</v>
      </c>
      <c r="DT49">
        <f ca="1"/>
        <v>3433.05</v>
      </c>
      <c r="DU49">
        <f ca="1"/>
        <v>3405.15</v>
      </c>
      <c r="DV49">
        <f ca="1"/>
        <v>3325.5000000000005</v>
      </c>
      <c r="DW49">
        <f ca="1"/>
        <v>3326.8500000000004</v>
      </c>
      <c r="DX49">
        <f ca="1"/>
        <v>3289.4999999999995</v>
      </c>
      <c r="DY49">
        <f ca="1"/>
        <v>3270.6000000000004</v>
      </c>
      <c r="DZ49">
        <f ca="1"/>
        <v>3254.85</v>
      </c>
      <c r="EA49">
        <f ca="1"/>
        <v>3244.4999999999995</v>
      </c>
      <c r="EB49">
        <f ca="1"/>
        <v>3254.85</v>
      </c>
      <c r="EC49">
        <f ca="1"/>
        <v>3240.4500000000003</v>
      </c>
      <c r="ED49">
        <f ca="1"/>
        <v>3262.5</v>
      </c>
      <c r="EE49">
        <f ca="1"/>
        <v>3209.3999999999996</v>
      </c>
      <c r="EF49">
        <f ca="1"/>
        <v>3174.75</v>
      </c>
      <c r="EG49">
        <f ca="1"/>
        <v>3180.6000000000004</v>
      </c>
      <c r="EH49">
        <f ca="1"/>
        <v>3188.7</v>
      </c>
      <c r="EI49">
        <f ca="1"/>
        <v>3161.7000000000003</v>
      </c>
      <c r="EJ49">
        <f ca="1"/>
        <v>3177.9</v>
      </c>
      <c r="EK49">
        <f ca="1"/>
        <v>3167.1</v>
      </c>
      <c r="EL49">
        <f ca="1"/>
        <v>3164.85</v>
      </c>
      <c r="EM49">
        <f ca="1"/>
        <v>3157.2</v>
      </c>
      <c r="EN49">
        <f ca="1"/>
        <v>3199.4999999999995</v>
      </c>
      <c r="EO49">
        <f ca="1"/>
        <v>3207.1499999999996</v>
      </c>
      <c r="EP49">
        <f ca="1"/>
        <v>3296.7000000000003</v>
      </c>
      <c r="EQ49">
        <f ca="1"/>
        <v>3364.6499999999996</v>
      </c>
      <c r="ER49">
        <f ca="1"/>
        <v>3373.65</v>
      </c>
      <c r="ES49">
        <f ca="1"/>
        <v>3452.4</v>
      </c>
      <c r="ET49">
        <f ca="1"/>
        <v>3436.65</v>
      </c>
      <c r="EU49">
        <f ca="1"/>
        <v>3485.25</v>
      </c>
      <c r="EV49">
        <f ca="1"/>
        <v>3447.45</v>
      </c>
      <c r="EW49">
        <f ca="1"/>
        <v>3406.95</v>
      </c>
      <c r="EX49">
        <f ca="1"/>
        <v>3457.35</v>
      </c>
      <c r="EY49">
        <f ca="1"/>
        <v>3442.5</v>
      </c>
      <c r="EZ49">
        <f ca="1"/>
        <v>3419.1000000000004</v>
      </c>
      <c r="FA49">
        <f ca="1"/>
        <v>3415.05</v>
      </c>
      <c r="FB49">
        <f ca="1"/>
        <v>3406.5</v>
      </c>
      <c r="FC49">
        <f ca="1"/>
        <v>3411</v>
      </c>
      <c r="FD49">
        <f ca="1"/>
        <v>3411.8999999999996</v>
      </c>
      <c r="FE49">
        <f ca="1"/>
        <v>3397.5</v>
      </c>
      <c r="FF49">
        <f ca="1"/>
        <v>3416.4</v>
      </c>
      <c r="FG49">
        <f ca="1"/>
        <v>3385.7999999999997</v>
      </c>
      <c r="FH49">
        <f ca="1"/>
        <v>3369.6</v>
      </c>
      <c r="FI49">
        <f ca="1"/>
        <v>3441.6000000000004</v>
      </c>
      <c r="FJ49">
        <f ca="1"/>
        <v>3398.3999999999996</v>
      </c>
      <c r="FK49">
        <f ca="1"/>
        <v>3408.2999999999997</v>
      </c>
      <c r="FL49">
        <f ca="1"/>
        <v>3373.2</v>
      </c>
      <c r="FM49">
        <f ca="1"/>
        <v>3337.65</v>
      </c>
      <c r="FN49">
        <f ca="1"/>
        <v>3366.4500000000003</v>
      </c>
      <c r="FO49">
        <f ca="1"/>
        <v>3387.1499999999996</v>
      </c>
      <c r="FP49">
        <f ca="1"/>
        <v>3391.2</v>
      </c>
      <c r="FQ49">
        <f ca="1"/>
        <v>3322.35</v>
      </c>
      <c r="FR49">
        <f ca="1"/>
        <v>3350.7</v>
      </c>
      <c r="FS49">
        <f ca="1"/>
        <v>3353.3999999999996</v>
      </c>
      <c r="FT49">
        <f ca="1"/>
        <v>3373.65</v>
      </c>
      <c r="FU49">
        <f ca="1"/>
        <v>3396.6000000000004</v>
      </c>
      <c r="FV49">
        <f ca="1"/>
        <v>3440.7</v>
      </c>
      <c r="FW49">
        <f ca="1"/>
        <v>3433.9500000000003</v>
      </c>
      <c r="FX49">
        <f ca="1"/>
        <v>3441.6000000000004</v>
      </c>
      <c r="FY49">
        <f ca="1"/>
        <v>3462.2999999999997</v>
      </c>
      <c r="FZ49">
        <f ca="1"/>
        <v>3401.1</v>
      </c>
      <c r="GA49">
        <f ca="1"/>
        <v>3458.2499999999995</v>
      </c>
      <c r="GB49">
        <f ca="1"/>
        <v>3429.45</v>
      </c>
      <c r="GC49">
        <f ca="1"/>
        <v>3361.5</v>
      </c>
      <c r="GD49">
        <f ca="1"/>
        <v>3313.8</v>
      </c>
      <c r="GE49">
        <f ca="1"/>
        <v>3337.65</v>
      </c>
      <c r="GF49">
        <f ca="1"/>
        <v>3370.5000000000005</v>
      </c>
      <c r="GG49">
        <f ca="1"/>
        <v>3361.95</v>
      </c>
      <c r="GH49">
        <f ca="1"/>
        <v>3399.3</v>
      </c>
      <c r="GI49">
        <f ca="1"/>
        <v>3415.05</v>
      </c>
      <c r="GJ49">
        <f ca="1"/>
        <v>3396.6000000000004</v>
      </c>
      <c r="GK49">
        <f ca="1"/>
        <v>3438.45</v>
      </c>
      <c r="GL49">
        <f ca="1"/>
        <v>3416.4</v>
      </c>
      <c r="GM49">
        <f ca="1"/>
        <v>3378.6</v>
      </c>
      <c r="GN49">
        <f ca="1"/>
        <v>3358.35</v>
      </c>
      <c r="GO49">
        <f ca="1"/>
        <v>3412.35</v>
      </c>
      <c r="GP49">
        <f ca="1"/>
        <v>3469.95</v>
      </c>
      <c r="GQ49">
        <f ca="1"/>
        <v>3475.7999999999997</v>
      </c>
      <c r="GR49">
        <f ca="1"/>
        <v>3525.7499999999995</v>
      </c>
      <c r="GS49">
        <f ca="1"/>
        <v>3545.1</v>
      </c>
      <c r="GT49">
        <f ca="1"/>
        <v>3594.6</v>
      </c>
      <c r="GU49">
        <f ca="1"/>
        <v>3592.8</v>
      </c>
      <c r="GV49">
        <f ca="1"/>
        <v>3590.1</v>
      </c>
      <c r="GW49">
        <f ca="1"/>
        <v>3643.65</v>
      </c>
      <c r="GX49">
        <f ca="1"/>
        <v>3645.8999999999996</v>
      </c>
      <c r="GY49">
        <f ca="1"/>
        <v>3689.1000000000004</v>
      </c>
      <c r="GZ49">
        <f ca="1"/>
        <v>3676.5</v>
      </c>
      <c r="HA49">
        <f ca="1"/>
        <v>3675.6000000000004</v>
      </c>
      <c r="HB49">
        <f ca="1"/>
        <v>3649.05</v>
      </c>
      <c r="HC49">
        <f ca="1"/>
        <v>3720.15</v>
      </c>
      <c r="HD49">
        <f ca="1"/>
        <v>3761.55</v>
      </c>
      <c r="HE49">
        <f ca="1"/>
        <v>3893.3999999999996</v>
      </c>
      <c r="HF49">
        <f ca="1"/>
        <v>3820.95</v>
      </c>
      <c r="HG49">
        <f ca="1"/>
        <v>3801.6000000000004</v>
      </c>
      <c r="HH49">
        <f ca="1"/>
        <v>3853.35</v>
      </c>
      <c r="HI49">
        <f ca="1"/>
        <v>3840.3</v>
      </c>
      <c r="HJ49">
        <f ca="1"/>
        <v>3892.5</v>
      </c>
      <c r="HK49">
        <f ca="1"/>
        <v>3910.5000000000005</v>
      </c>
      <c r="HL49">
        <f ca="1"/>
        <v>3892.9500000000003</v>
      </c>
      <c r="HM49">
        <f ca="1"/>
        <v>3880.3500000000004</v>
      </c>
      <c r="HN49">
        <f ca="1"/>
        <v>3944.2500000000005</v>
      </c>
      <c r="HO49">
        <f ca="1"/>
        <v>4005</v>
      </c>
      <c r="HP49">
        <f ca="1"/>
        <v>3989.2500000000005</v>
      </c>
      <c r="HQ49">
        <f ca="1"/>
        <v>3941.9999999999995</v>
      </c>
      <c r="HR49">
        <f ca="1"/>
        <v>3925.7999999999997</v>
      </c>
      <c r="HS49">
        <f ca="1"/>
        <v>3896.55</v>
      </c>
      <c r="HT49">
        <f ca="1"/>
        <v>3872.7000000000003</v>
      </c>
      <c r="HU49">
        <f ca="1"/>
        <v>3894.75</v>
      </c>
      <c r="HV49">
        <f ca="1"/>
        <v>3858.2999999999997</v>
      </c>
      <c r="HW49">
        <f ca="1"/>
        <v>3874.05</v>
      </c>
      <c r="HX49">
        <f ca="1"/>
        <v>3937.5</v>
      </c>
      <c r="HY49">
        <f ca="1"/>
        <v>3956.4</v>
      </c>
      <c r="HZ49">
        <f ca="1"/>
        <v>3941.9999999999995</v>
      </c>
      <c r="IA49">
        <f ca="1"/>
        <v>3941.9999999999995</v>
      </c>
      <c r="IB49">
        <f ca="1"/>
        <v>3968.1000000000004</v>
      </c>
      <c r="IC49">
        <f ca="1"/>
        <v>3910.5000000000005</v>
      </c>
      <c r="ID49">
        <f ca="1"/>
        <v>3942.45</v>
      </c>
      <c r="IE49">
        <f ca="1"/>
        <v>3970.7999999999997</v>
      </c>
      <c r="IF49">
        <f ca="1"/>
        <v>3994.2000000000003</v>
      </c>
      <c r="IG49">
        <f ca="1"/>
        <v>3970.3500000000004</v>
      </c>
      <c r="IH49">
        <f ca="1"/>
        <v>3966.7500000000005</v>
      </c>
      <c r="II49">
        <f ca="1"/>
        <v>3949.2000000000003</v>
      </c>
      <c r="IJ49">
        <f ca="1"/>
        <v>3919.95</v>
      </c>
      <c r="IK49">
        <f ca="1"/>
        <v>3889.3500000000004</v>
      </c>
      <c r="IL49">
        <f ca="1"/>
        <v>3967.2</v>
      </c>
      <c r="IM49">
        <f ca="1"/>
        <v>3922.65</v>
      </c>
      <c r="IN49">
        <f ca="1"/>
        <v>3966.7500000000005</v>
      </c>
      <c r="IO49">
        <f ca="1"/>
        <v>3984.75</v>
      </c>
      <c r="IP49">
        <f ca="1"/>
        <v>3988.8</v>
      </c>
      <c r="IQ49">
        <f ca="1"/>
        <v>3977.55</v>
      </c>
      <c r="IR49">
        <f ca="1"/>
        <v>3874.95</v>
      </c>
      <c r="IS49">
        <f ca="1"/>
        <v>3811.0499999999997</v>
      </c>
      <c r="IT49">
        <f ca="1"/>
        <v>3765.6000000000004</v>
      </c>
      <c r="IU49">
        <f ca="1"/>
        <v>3724.6499999999996</v>
      </c>
      <c r="IV49">
        <f ca="1"/>
        <v>3731.4</v>
      </c>
      <c r="IW49">
        <f ca="1"/>
        <v>3736.35</v>
      </c>
    </row>
    <row r="50" spans="2:267" ht="15.75" thickBot="1" x14ac:dyDescent="0.3">
      <c r="B50"/>
      <c r="C50"/>
      <c r="E50"/>
      <c r="F50" s="85" t="s">
        <v>12</v>
      </c>
      <c r="G50" s="84">
        <f ca="1">SUM(G19:G49)</f>
        <v>162870.06</v>
      </c>
      <c r="H50" s="84">
        <f t="shared" ref="H50:O50" ca="1" si="409">SUM(H19:H49)</f>
        <v>165070.97999999995</v>
      </c>
      <c r="I50" s="84">
        <f t="shared" ca="1" si="409"/>
        <v>165808.85</v>
      </c>
      <c r="J50" s="84">
        <f t="shared" ca="1" si="409"/>
        <v>166907.33000000005</v>
      </c>
      <c r="K50" s="84">
        <f t="shared" ca="1" si="409"/>
        <v>167101.71000000002</v>
      </c>
      <c r="L50" s="84">
        <f t="shared" ca="1" si="409"/>
        <v>167803.66999999998</v>
      </c>
      <c r="M50" s="84">
        <f t="shared" ca="1" si="409"/>
        <v>168776.12000000002</v>
      </c>
      <c r="N50" s="84">
        <f t="shared" ca="1" si="409"/>
        <v>169737.7</v>
      </c>
      <c r="O50" s="84">
        <f t="shared" ca="1" si="409"/>
        <v>169395.08</v>
      </c>
      <c r="P50" s="84">
        <f t="shared" ref="P50" ca="1" si="410">SUM(P19:P49)</f>
        <v>170229.05999999997</v>
      </c>
      <c r="Q50" s="84">
        <f t="shared" ref="Q50" ca="1" si="411">SUM(Q19:Q49)</f>
        <v>169611.66</v>
      </c>
      <c r="R50" s="84">
        <f t="shared" ref="R50" ca="1" si="412">SUM(R19:R49)</f>
        <v>169496.60000000003</v>
      </c>
      <c r="S50" s="84">
        <f t="shared" ref="S50" ca="1" si="413">SUM(S19:S49)</f>
        <v>169830.84000000005</v>
      </c>
      <c r="T50" s="84">
        <f t="shared" ref="T50" ca="1" si="414">SUM(T19:T49)</f>
        <v>169727.71000000002</v>
      </c>
      <c r="U50" s="84">
        <f t="shared" ref="U50" ca="1" si="415">SUM(U19:U49)</f>
        <v>170160.02999999997</v>
      </c>
      <c r="V50" s="84">
        <f t="shared" ref="V50:W50" ca="1" si="416">SUM(V19:V49)</f>
        <v>170242.82999999996</v>
      </c>
      <c r="W50" s="84">
        <f t="shared" ca="1" si="416"/>
        <v>170639.78</v>
      </c>
      <c r="X50" s="84">
        <f t="shared" ref="X50" ca="1" si="417">SUM(X19:X49)</f>
        <v>170515.95</v>
      </c>
      <c r="Y50" s="84">
        <f t="shared" ref="Y50" ca="1" si="418">SUM(Y19:Y49)</f>
        <v>172268.72000000003</v>
      </c>
      <c r="Z50" s="84">
        <f t="shared" ref="Z50" ca="1" si="419">SUM(Z19:Z49)</f>
        <v>172904.19000000003</v>
      </c>
      <c r="AA50" s="84">
        <f t="shared" ref="AA50" ca="1" si="420">SUM(AA19:AA49)</f>
        <v>173595.05000000002</v>
      </c>
      <c r="AB50" s="84">
        <f t="shared" ref="AB50" ca="1" si="421">SUM(AB19:AB49)</f>
        <v>173152.61000000002</v>
      </c>
      <c r="AC50" s="84">
        <f t="shared" ref="AC50" ca="1" si="422">SUM(AC19:AC49)</f>
        <v>172731.19</v>
      </c>
      <c r="AD50" s="84">
        <f t="shared" ref="AD50:AE50" ca="1" si="423">SUM(AD19:AD49)</f>
        <v>172933.94999999998</v>
      </c>
      <c r="AE50" s="84">
        <f t="shared" ca="1" si="423"/>
        <v>173641.43000000005</v>
      </c>
      <c r="AF50" s="84">
        <f t="shared" ref="AF50" ca="1" si="424">SUM(AF19:AF49)</f>
        <v>174852.09000000003</v>
      </c>
      <c r="AG50" s="84">
        <f t="shared" ref="AG50" ca="1" si="425">SUM(AG19:AG49)</f>
        <v>175665.44</v>
      </c>
      <c r="AH50" s="84">
        <f t="shared" ref="AH50" ca="1" si="426">SUM(AH19:AH49)</f>
        <v>175549.79</v>
      </c>
      <c r="AI50" s="84">
        <f t="shared" ref="AI50" ca="1" si="427">SUM(AI19:AI49)</f>
        <v>175693.24000000002</v>
      </c>
      <c r="AJ50" s="84">
        <f t="shared" ref="AJ50" ca="1" si="428">SUM(AJ19:AJ49)</f>
        <v>176078.02</v>
      </c>
      <c r="AK50" s="84">
        <f t="shared" ref="AK50" ca="1" si="429">SUM(AK19:AK49)</f>
        <v>176434.78</v>
      </c>
      <c r="AL50" s="84">
        <f t="shared" ref="AL50:AM50" ca="1" si="430">SUM(AL19:AL49)</f>
        <v>175503.96</v>
      </c>
      <c r="AM50" s="84">
        <f t="shared" ca="1" si="430"/>
        <v>175362.90999999997</v>
      </c>
      <c r="AN50" s="84">
        <f t="shared" ref="AN50" ca="1" si="431">SUM(AN19:AN49)</f>
        <v>175722.22</v>
      </c>
      <c r="AO50" s="84">
        <f t="shared" ref="AO50" ca="1" si="432">SUM(AO19:AO49)</f>
        <v>175798.9</v>
      </c>
      <c r="AP50" s="84">
        <f t="shared" ref="AP50" ca="1" si="433">SUM(AP19:AP49)</f>
        <v>175674.74000000002</v>
      </c>
      <c r="AQ50" s="84">
        <f t="shared" ref="AQ50" ca="1" si="434">SUM(AQ19:AQ49)</f>
        <v>175396.59</v>
      </c>
      <c r="AR50" s="84">
        <f t="shared" ref="AR50" ca="1" si="435">SUM(AR19:AR49)</f>
        <v>176351.34999999998</v>
      </c>
      <c r="AS50" s="84">
        <f t="shared" ref="AS50" ca="1" si="436">SUM(AS19:AS49)</f>
        <v>176610.32000000004</v>
      </c>
      <c r="AT50" s="84">
        <f t="shared" ref="AT50:AU50" ca="1" si="437">SUM(AT19:AT49)</f>
        <v>177004.47999999998</v>
      </c>
      <c r="AU50" s="84">
        <f t="shared" ca="1" si="437"/>
        <v>176236.50999999998</v>
      </c>
      <c r="AV50" s="84">
        <f t="shared" ref="AV50" ca="1" si="438">SUM(AV19:AV49)</f>
        <v>175776.07</v>
      </c>
      <c r="AW50" s="84">
        <f t="shared" ref="AW50" ca="1" si="439">SUM(AW19:AW49)</f>
        <v>175849.22999999998</v>
      </c>
      <c r="AX50" s="84">
        <f t="shared" ref="AX50" ca="1" si="440">SUM(AX19:AX49)</f>
        <v>175939.61000000002</v>
      </c>
      <c r="AY50" s="84">
        <f t="shared" ref="AY50" ca="1" si="441">SUM(AY19:AY49)</f>
        <v>176690.38000000003</v>
      </c>
      <c r="AZ50" s="84">
        <f t="shared" ref="AZ50" ca="1" si="442">SUM(AZ19:AZ49)</f>
        <v>177270.99</v>
      </c>
      <c r="BA50" s="84">
        <f t="shared" ref="BA50" ca="1" si="443">SUM(BA19:BA49)</f>
        <v>176697.32</v>
      </c>
      <c r="BB50" s="84">
        <f t="shared" ref="BB50:BC50" ca="1" si="444">SUM(BB19:BB49)</f>
        <v>177099.8</v>
      </c>
      <c r="BC50" s="84">
        <f t="shared" ca="1" si="444"/>
        <v>177629.41999999998</v>
      </c>
      <c r="BD50" s="84">
        <f t="shared" ref="BD50" ca="1" si="445">SUM(BD19:BD49)</f>
        <v>178090.94</v>
      </c>
      <c r="BE50" s="84">
        <f t="shared" ref="BE50" ca="1" si="446">SUM(BE19:BE49)</f>
        <v>177049.78</v>
      </c>
      <c r="BF50" s="84">
        <f t="shared" ref="BF50" ca="1" si="447">SUM(BF19:BF49)</f>
        <v>178006.7</v>
      </c>
      <c r="BG50" s="84">
        <f t="shared" ref="BG50" ca="1" si="448">SUM(BG19:BG49)</f>
        <v>178528.99</v>
      </c>
      <c r="BH50" s="84">
        <f t="shared" ref="BH50" ca="1" si="449">SUM(BH19:BH49)</f>
        <v>178239.61</v>
      </c>
      <c r="BI50" s="84">
        <f t="shared" ref="BI50" ca="1" si="450">SUM(BI19:BI49)</f>
        <v>178259.72000000003</v>
      </c>
      <c r="BJ50" s="84">
        <f t="shared" ref="BJ50:BK50" ca="1" si="451">SUM(BJ19:BJ49)</f>
        <v>178612.87</v>
      </c>
      <c r="BK50" s="84">
        <f t="shared" ca="1" si="451"/>
        <v>179210.58000000002</v>
      </c>
      <c r="BL50" s="84">
        <f t="shared" ref="BL50" ca="1" si="452">SUM(BL19:BL49)</f>
        <v>179312.85000000003</v>
      </c>
      <c r="BM50" s="84">
        <f t="shared" ref="BM50" ca="1" si="453">SUM(BM19:BM49)</f>
        <v>179684.71000000002</v>
      </c>
      <c r="BN50" s="84">
        <f t="shared" ref="BN50" ca="1" si="454">SUM(BN19:BN49)</f>
        <v>179313.18</v>
      </c>
      <c r="BO50" s="84">
        <f t="shared" ref="BO50" ca="1" si="455">SUM(BO19:BO49)</f>
        <v>179327.93999999997</v>
      </c>
      <c r="BP50" s="84">
        <f t="shared" ref="BP50" ca="1" si="456">SUM(BP19:BP49)</f>
        <v>179748.65999999997</v>
      </c>
      <c r="BQ50" s="84">
        <f t="shared" ref="BQ50" ca="1" si="457">SUM(BQ19:BQ49)</f>
        <v>180440.05000000002</v>
      </c>
      <c r="BR50" s="84">
        <f t="shared" ref="BR50:BS50" ca="1" si="458">SUM(BR19:BR49)</f>
        <v>179909.11</v>
      </c>
      <c r="BS50" s="84">
        <f t="shared" ca="1" si="458"/>
        <v>180531.77999999997</v>
      </c>
      <c r="BT50" s="84">
        <f t="shared" ref="BT50" ca="1" si="459">SUM(BT19:BT49)</f>
        <v>181113.59</v>
      </c>
      <c r="BU50" s="84">
        <f t="shared" ref="BU50" ca="1" si="460">SUM(BU19:BU49)</f>
        <v>181367.45</v>
      </c>
      <c r="BV50" s="84">
        <f t="shared" ref="BV50" ca="1" si="461">SUM(BV19:BV49)</f>
        <v>181897.91</v>
      </c>
      <c r="BW50" s="84">
        <f t="shared" ref="BW50" ca="1" si="462">SUM(BW19:BW49)</f>
        <v>181602.43000000005</v>
      </c>
      <c r="BX50" s="84">
        <f t="shared" ref="BX50" ca="1" si="463">SUM(BX19:BX49)</f>
        <v>182025.74999999997</v>
      </c>
      <c r="BY50" s="84">
        <f t="shared" ref="BY50" ca="1" si="464">SUM(BY19:BY49)</f>
        <v>180501.57999999996</v>
      </c>
      <c r="BZ50" s="84">
        <f t="shared" ref="BZ50:CA50" ca="1" si="465">SUM(BZ19:BZ49)</f>
        <v>180370.37000000002</v>
      </c>
      <c r="CA50" s="84">
        <f t="shared" ca="1" si="465"/>
        <v>179250.76000000004</v>
      </c>
      <c r="CB50" s="84">
        <f t="shared" ref="CB50" ca="1" si="466">SUM(CB19:CB49)</f>
        <v>180857.83999999997</v>
      </c>
      <c r="CC50" s="84">
        <f t="shared" ref="CC50" ca="1" si="467">SUM(CC19:CC49)</f>
        <v>181483.07000000004</v>
      </c>
      <c r="CD50" s="84">
        <f t="shared" ref="CD50" ca="1" si="468">SUM(CD19:CD49)</f>
        <v>181225.74</v>
      </c>
      <c r="CE50" s="84">
        <f t="shared" ref="CE50" ca="1" si="469">SUM(CE19:CE49)</f>
        <v>180859.9</v>
      </c>
      <c r="CF50" s="84">
        <f t="shared" ref="CF50" ca="1" si="470">SUM(CF19:CF49)</f>
        <v>180974.24999999997</v>
      </c>
      <c r="CG50" s="84">
        <f t="shared" ref="CG50" ca="1" si="471">SUM(CG19:CG49)</f>
        <v>181877.1</v>
      </c>
      <c r="CH50" s="84">
        <f t="shared" ref="CH50:CI50" ca="1" si="472">SUM(CH19:CH49)</f>
        <v>182330.68999999994</v>
      </c>
      <c r="CI50" s="84">
        <f t="shared" ca="1" si="472"/>
        <v>183467.19999999998</v>
      </c>
      <c r="CJ50" s="84">
        <f t="shared" ref="CJ50" ca="1" si="473">SUM(CJ19:CJ49)</f>
        <v>183680.22999999995</v>
      </c>
      <c r="CK50" s="84">
        <f t="shared" ref="CK50" ca="1" si="474">SUM(CK19:CK49)</f>
        <v>183865.10999999996</v>
      </c>
      <c r="CL50" s="84">
        <f t="shared" ref="CL50" ca="1" si="475">SUM(CL19:CL49)</f>
        <v>184173.42999999996</v>
      </c>
      <c r="CM50" s="84">
        <f t="shared" ref="CM50" ca="1" si="476">SUM(CM19:CM49)</f>
        <v>184586.11000000002</v>
      </c>
      <c r="CN50" s="84">
        <f t="shared" ref="CN50" ca="1" si="477">SUM(CN19:CN49)</f>
        <v>185361.22</v>
      </c>
      <c r="CO50" s="84">
        <f t="shared" ref="CO50" ca="1" si="478">SUM(CO19:CO49)</f>
        <v>185684.33999999997</v>
      </c>
      <c r="CP50" s="84">
        <f t="shared" ref="CP50:CQ50" ca="1" si="479">SUM(CP19:CP49)</f>
        <v>184805.87</v>
      </c>
      <c r="CQ50" s="84">
        <f t="shared" ca="1" si="479"/>
        <v>185274.67</v>
      </c>
      <c r="CR50" s="84">
        <f t="shared" ref="CR50" ca="1" si="480">SUM(CR19:CR49)</f>
        <v>185894.32000000004</v>
      </c>
      <c r="CS50" s="84">
        <f t="shared" ref="CS50" ca="1" si="481">SUM(CS19:CS49)</f>
        <v>186315.48000000004</v>
      </c>
      <c r="CT50" s="84">
        <f t="shared" ref="CT50" ca="1" si="482">SUM(CT19:CT49)</f>
        <v>186240.41</v>
      </c>
      <c r="CU50" s="84">
        <f t="shared" ref="CU50" ca="1" si="483">SUM(CU19:CU49)</f>
        <v>186239.04</v>
      </c>
      <c r="CV50" s="84">
        <f t="shared" ref="CV50" ca="1" si="484">SUM(CV19:CV49)</f>
        <v>186937.61000000004</v>
      </c>
      <c r="CW50" s="84">
        <f t="shared" ref="CW50" ca="1" si="485">SUM(CW19:CW49)</f>
        <v>187620.22999999998</v>
      </c>
      <c r="CX50" s="84">
        <f t="shared" ref="CX50:CY50" ca="1" si="486">SUM(CX19:CX49)</f>
        <v>187372.22</v>
      </c>
      <c r="CY50" s="84">
        <f t="shared" ca="1" si="486"/>
        <v>187264.3</v>
      </c>
      <c r="CZ50" s="84">
        <f t="shared" ref="CZ50" ca="1" si="487">SUM(CZ19:CZ49)</f>
        <v>187953.49</v>
      </c>
      <c r="DA50" s="84">
        <f t="shared" ref="DA50" ca="1" si="488">SUM(DA19:DA49)</f>
        <v>188555.25999999998</v>
      </c>
      <c r="DB50" s="84">
        <f t="shared" ref="DB50" ca="1" si="489">SUM(DB19:DB49)</f>
        <v>189719.41</v>
      </c>
      <c r="DC50" s="84">
        <f t="shared" ref="DC50" ca="1" si="490">SUM(DC19:DC49)</f>
        <v>189292.23999999996</v>
      </c>
      <c r="DD50" s="84">
        <f t="shared" ref="DD50" ca="1" si="491">SUM(DD19:DD49)</f>
        <v>189122.81</v>
      </c>
      <c r="DE50" s="84">
        <f t="shared" ref="DE50" ca="1" si="492">SUM(DE19:DE49)</f>
        <v>188166</v>
      </c>
      <c r="DF50" s="84">
        <f t="shared" ref="DF50:DG50" ca="1" si="493">SUM(DF19:DF49)</f>
        <v>188372.90000000002</v>
      </c>
      <c r="DG50" s="84">
        <f t="shared" ca="1" si="493"/>
        <v>188833.96000000005</v>
      </c>
      <c r="DH50" s="84">
        <f t="shared" ref="DH50" ca="1" si="494">SUM(DH19:DH49)</f>
        <v>189814.69000000003</v>
      </c>
      <c r="DI50" s="84">
        <f t="shared" ref="DI50" ca="1" si="495">SUM(DI19:DI49)</f>
        <v>189482.06</v>
      </c>
      <c r="DJ50" s="84">
        <f t="shared" ref="DJ50" ca="1" si="496">SUM(DJ19:DJ49)</f>
        <v>190009.52</v>
      </c>
      <c r="DK50" s="84">
        <f t="shared" ref="DK50" ca="1" si="497">SUM(DK19:DK49)</f>
        <v>189999.41000000003</v>
      </c>
      <c r="DL50" s="84">
        <f t="shared" ref="DL50" ca="1" si="498">SUM(DL19:DL49)</f>
        <v>190030.06999999998</v>
      </c>
      <c r="DM50" s="84">
        <f t="shared" ref="DM50" ca="1" si="499">SUM(DM19:DM49)</f>
        <v>190476.15</v>
      </c>
      <c r="DN50" s="84">
        <f t="shared" ref="DN50:DO50" ca="1" si="500">SUM(DN19:DN49)</f>
        <v>190767.78000000003</v>
      </c>
      <c r="DO50" s="84">
        <f t="shared" ca="1" si="500"/>
        <v>191192.10000000003</v>
      </c>
      <c r="DP50" s="84">
        <f t="shared" ref="DP50" ca="1" si="501">SUM(DP19:DP49)</f>
        <v>191403.50999999995</v>
      </c>
      <c r="DQ50" s="84">
        <f t="shared" ref="DQ50" ca="1" si="502">SUM(DQ19:DQ49)</f>
        <v>192002.58000000007</v>
      </c>
      <c r="DR50" s="84">
        <f t="shared" ref="DR50" ca="1" si="503">SUM(DR19:DR49)</f>
        <v>192771.73</v>
      </c>
      <c r="DS50" s="84">
        <f t="shared" ref="DS50" ca="1" si="504">SUM(DS19:DS49)</f>
        <v>193165.2</v>
      </c>
      <c r="DT50" s="84">
        <f t="shared" ref="DT50" ca="1" si="505">SUM(DT19:DT49)</f>
        <v>192916.78999999998</v>
      </c>
      <c r="DU50" s="84">
        <f t="shared" ref="DU50" ca="1" si="506">SUM(DU19:DU49)</f>
        <v>192647.32</v>
      </c>
      <c r="DV50" s="84">
        <f t="shared" ref="DV50:DW50" ca="1" si="507">SUM(DV19:DV49)</f>
        <v>192239.02999999997</v>
      </c>
      <c r="DW50" s="84">
        <f t="shared" ca="1" si="507"/>
        <v>191633.23</v>
      </c>
      <c r="DX50" s="84">
        <f t="shared" ref="DX50" ca="1" si="508">SUM(DX19:DX49)</f>
        <v>193009.99000000002</v>
      </c>
      <c r="DY50" s="84">
        <f t="shared" ref="DY50" ca="1" si="509">SUM(DY19:DY49)</f>
        <v>193581.68</v>
      </c>
      <c r="DZ50" s="84">
        <f t="shared" ref="DZ50" ca="1" si="510">SUM(DZ19:DZ49)</f>
        <v>192224.01</v>
      </c>
      <c r="EA50" s="84">
        <f t="shared" ref="EA50" ca="1" si="511">SUM(EA19:EA49)</f>
        <v>191638.39000000004</v>
      </c>
      <c r="EB50" s="84">
        <f t="shared" ref="EB50" ca="1" si="512">SUM(EB19:EB49)</f>
        <v>192354.80999999997</v>
      </c>
      <c r="EC50" s="84">
        <f t="shared" ref="EC50" ca="1" si="513">SUM(EC19:EC49)</f>
        <v>192505.65000000002</v>
      </c>
      <c r="ED50" s="84">
        <f t="shared" ref="ED50:EE50" ca="1" si="514">SUM(ED19:ED49)</f>
        <v>193299.48</v>
      </c>
      <c r="EE50" s="84">
        <f t="shared" ca="1" si="514"/>
        <v>194247.52000000002</v>
      </c>
      <c r="EF50" s="84">
        <f t="shared" ref="EF50" ca="1" si="515">SUM(EF19:EF49)</f>
        <v>195266.98</v>
      </c>
      <c r="EG50" s="84">
        <f t="shared" ref="EG50" ca="1" si="516">SUM(EG19:EG49)</f>
        <v>195903.56000000003</v>
      </c>
      <c r="EH50" s="84">
        <f t="shared" ref="EH50" ca="1" si="517">SUM(EH19:EH49)</f>
        <v>196123.37</v>
      </c>
      <c r="EI50" s="84">
        <f t="shared" ref="EI50" ca="1" si="518">SUM(EI19:EI49)</f>
        <v>193972.85000000003</v>
      </c>
      <c r="EJ50" s="84">
        <f t="shared" ref="EJ50" ca="1" si="519">SUM(EJ19:EJ49)</f>
        <v>193950.25000000003</v>
      </c>
      <c r="EK50" s="84">
        <f t="shared" ref="EK50" ca="1" si="520">SUM(EK19:EK49)</f>
        <v>194986.84000000003</v>
      </c>
      <c r="EL50" s="84">
        <f t="shared" ref="EL50:EM50" ca="1" si="521">SUM(EL19:EL49)</f>
        <v>196117.47000000003</v>
      </c>
      <c r="EM50" s="84">
        <f t="shared" ca="1" si="521"/>
        <v>195507.86000000002</v>
      </c>
      <c r="EN50" s="84">
        <f t="shared" ref="EN50" ca="1" si="522">SUM(EN19:EN49)</f>
        <v>196369.36999999997</v>
      </c>
      <c r="EO50" s="84">
        <f t="shared" ref="EO50" ca="1" si="523">SUM(EO19:EO49)</f>
        <v>196969.89</v>
      </c>
      <c r="EP50" s="84">
        <f t="shared" ref="EP50" ca="1" si="524">SUM(EP19:EP49)</f>
        <v>198045.72000000006</v>
      </c>
      <c r="EQ50" s="84">
        <f t="shared" ref="EQ50" ca="1" si="525">SUM(EQ19:EQ49)</f>
        <v>199533.60000000003</v>
      </c>
      <c r="ER50" s="84">
        <f t="shared" ref="ER50" ca="1" si="526">SUM(ER19:ER49)</f>
        <v>200007.98999999996</v>
      </c>
      <c r="ES50" s="84">
        <f t="shared" ref="ES50" ca="1" si="527">SUM(ES19:ES49)</f>
        <v>202892.46999999997</v>
      </c>
      <c r="ET50" s="84">
        <f t="shared" ref="ET50:EU50" ca="1" si="528">SUM(ET19:ET49)</f>
        <v>201843.94</v>
      </c>
      <c r="EU50" s="84">
        <f t="shared" ca="1" si="528"/>
        <v>201935.34999999998</v>
      </c>
      <c r="EV50" s="84">
        <f t="shared" ref="EV50" ca="1" si="529">SUM(EV19:EV49)</f>
        <v>201877.56</v>
      </c>
      <c r="EW50" s="84">
        <f t="shared" ref="EW50" ca="1" si="530">SUM(EW19:EW49)</f>
        <v>201348.5</v>
      </c>
      <c r="EX50" s="84">
        <f t="shared" ref="EX50" ca="1" si="531">SUM(EX19:EX49)</f>
        <v>201474.29</v>
      </c>
      <c r="EY50" s="84">
        <f t="shared" ref="EY50" ca="1" si="532">SUM(EY19:EY49)</f>
        <v>201079.12</v>
      </c>
      <c r="EZ50" s="84">
        <f t="shared" ref="EZ50" ca="1" si="533">SUM(EZ19:EZ49)</f>
        <v>202761.55000000002</v>
      </c>
      <c r="FA50" s="84">
        <f t="shared" ref="FA50" ca="1" si="534">SUM(FA19:FA49)</f>
        <v>203321.07</v>
      </c>
      <c r="FB50" s="84">
        <f t="shared" ref="FB50:FC50" ca="1" si="535">SUM(FB19:FB49)</f>
        <v>205152.71000000002</v>
      </c>
      <c r="FC50" s="84">
        <f t="shared" ca="1" si="535"/>
        <v>205210.19000000003</v>
      </c>
      <c r="FD50" s="84">
        <f t="shared" ref="FD50" ca="1" si="536">SUM(FD19:FD49)</f>
        <v>205215.31999999998</v>
      </c>
      <c r="FE50" s="84">
        <f t="shared" ref="FE50" ca="1" si="537">SUM(FE19:FE49)</f>
        <v>205363.62000000002</v>
      </c>
      <c r="FF50" s="84">
        <f t="shared" ref="FF50" ca="1" si="538">SUM(FF19:FF49)</f>
        <v>204578.04</v>
      </c>
      <c r="FG50" s="84">
        <f t="shared" ref="FG50" ca="1" si="539">SUM(FG19:FG49)</f>
        <v>204224.59999999998</v>
      </c>
      <c r="FH50" s="84">
        <f t="shared" ref="FH50" ca="1" si="540">SUM(FH19:FH49)</f>
        <v>203745.75000000003</v>
      </c>
      <c r="FI50" s="84">
        <f t="shared" ref="FI50" ca="1" si="541">SUM(FI19:FI49)</f>
        <v>205158.04000000007</v>
      </c>
      <c r="FJ50" s="84">
        <f t="shared" ref="FJ50:FK50" ca="1" si="542">SUM(FJ19:FJ49)</f>
        <v>204664.49000000002</v>
      </c>
      <c r="FK50" s="84">
        <f t="shared" ca="1" si="542"/>
        <v>204448.03000000003</v>
      </c>
      <c r="FL50" s="84">
        <f t="shared" ref="FL50" ca="1" si="543">SUM(FL19:FL49)</f>
        <v>204870.42</v>
      </c>
      <c r="FM50" s="84">
        <f t="shared" ref="FM50" ca="1" si="544">SUM(FM19:FM49)</f>
        <v>205697.36</v>
      </c>
      <c r="FN50" s="84">
        <f t="shared" ref="FN50" ca="1" si="545">SUM(FN19:FN49)</f>
        <v>207093.03000000006</v>
      </c>
      <c r="FO50" s="84">
        <f t="shared" ref="FO50" ca="1" si="546">SUM(FO19:FO49)</f>
        <v>207588.26</v>
      </c>
      <c r="FP50" s="84">
        <f t="shared" ref="FP50" ca="1" si="547">SUM(FP19:FP49)</f>
        <v>208458.92</v>
      </c>
      <c r="FQ50" s="84">
        <f t="shared" ref="FQ50" ca="1" si="548">SUM(FQ19:FQ49)</f>
        <v>207335.54</v>
      </c>
      <c r="FR50" s="84">
        <f t="shared" ref="FR50:FS50" ca="1" si="549">SUM(FR19:FR49)</f>
        <v>206665.78999999998</v>
      </c>
      <c r="FS50" s="84">
        <f t="shared" ca="1" si="549"/>
        <v>207620.91999999995</v>
      </c>
      <c r="FT50" s="84">
        <f t="shared" ref="FT50" ca="1" si="550">SUM(FT19:FT49)</f>
        <v>207843.22999999998</v>
      </c>
      <c r="FU50" s="84">
        <f t="shared" ref="FU50" ca="1" si="551">SUM(FU19:FU49)</f>
        <v>208756.9</v>
      </c>
      <c r="FV50" s="84">
        <f t="shared" ref="FV50" ca="1" si="552">SUM(FV19:FV49)</f>
        <v>209037.24000000002</v>
      </c>
      <c r="FW50" s="84">
        <f t="shared" ref="FW50" ca="1" si="553">SUM(FW19:FW49)</f>
        <v>208955.68</v>
      </c>
      <c r="FX50" s="84">
        <f t="shared" ref="FX50" ca="1" si="554">SUM(FX19:FX49)</f>
        <v>209422.5</v>
      </c>
      <c r="FY50" s="84">
        <f t="shared" ref="FY50" ca="1" si="555">SUM(FY19:FY49)</f>
        <v>209281.32999999996</v>
      </c>
      <c r="FZ50" s="84">
        <f t="shared" ref="FZ50:GA50" ca="1" si="556">SUM(FZ19:FZ49)</f>
        <v>208720.56000000006</v>
      </c>
      <c r="GA50" s="84">
        <f t="shared" ca="1" si="556"/>
        <v>209925.16</v>
      </c>
      <c r="GB50" s="84">
        <f t="shared" ref="GB50" ca="1" si="557">SUM(GB19:GB49)</f>
        <v>210841.24</v>
      </c>
      <c r="GC50" s="84">
        <f t="shared" ref="GC50" ca="1" si="558">SUM(GC19:GC49)</f>
        <v>210461.46000000002</v>
      </c>
      <c r="GD50" s="84">
        <f t="shared" ref="GD50" ca="1" si="559">SUM(GD19:GD49)</f>
        <v>209667.00999999998</v>
      </c>
      <c r="GE50" s="84">
        <f t="shared" ref="GE50" ca="1" si="560">SUM(GE19:GE49)</f>
        <v>209639.97999999998</v>
      </c>
      <c r="GF50" s="84">
        <f t="shared" ref="GF50" ca="1" si="561">SUM(GF19:GF49)</f>
        <v>210651.75</v>
      </c>
      <c r="GG50" s="84">
        <f t="shared" ref="GG50" ca="1" si="562">SUM(GG19:GG49)</f>
        <v>210828.81999999998</v>
      </c>
      <c r="GH50" s="84">
        <f t="shared" ref="GH50:GI50" ca="1" si="563">SUM(GH19:GH49)</f>
        <v>210174.47999999995</v>
      </c>
      <c r="GI50" s="84">
        <f t="shared" ca="1" si="563"/>
        <v>211943.66999999998</v>
      </c>
      <c r="GJ50" s="84">
        <f t="shared" ref="GJ50" ca="1" si="564">SUM(GJ19:GJ49)</f>
        <v>212657.45</v>
      </c>
      <c r="GK50" s="84">
        <f t="shared" ref="GK50" ca="1" si="565">SUM(GK19:GK49)</f>
        <v>212559.56000000008</v>
      </c>
      <c r="GL50" s="84">
        <f t="shared" ref="GL50" ca="1" si="566">SUM(GL19:GL49)</f>
        <v>211977.83999999994</v>
      </c>
      <c r="GM50" s="84">
        <f t="shared" ref="GM50" ca="1" si="567">SUM(GM19:GM49)</f>
        <v>209992.64000000004</v>
      </c>
      <c r="GN50" s="84">
        <f t="shared" ref="GN50" ca="1" si="568">SUM(GN19:GN49)</f>
        <v>211026.01999999996</v>
      </c>
      <c r="GO50" s="84">
        <f t="shared" ref="GO50" ca="1" si="569">SUM(GO19:GO49)</f>
        <v>210705.53000000006</v>
      </c>
      <c r="GP50" s="84">
        <f t="shared" ref="GP50:GQ50" ca="1" si="570">SUM(GP19:GP49)</f>
        <v>210632.28</v>
      </c>
      <c r="GQ50" s="84">
        <f t="shared" ca="1" si="570"/>
        <v>210076.52</v>
      </c>
      <c r="GR50" s="84">
        <f t="shared" ref="GR50" ca="1" si="571">SUM(GR19:GR49)</f>
        <v>209599.79</v>
      </c>
      <c r="GS50" s="84">
        <f t="shared" ref="GS50" ca="1" si="572">SUM(GS19:GS49)</f>
        <v>209160.78000000003</v>
      </c>
      <c r="GT50" s="84">
        <f t="shared" ref="GT50" ca="1" si="573">SUM(GT19:GT49)</f>
        <v>209917.78000000003</v>
      </c>
      <c r="GU50" s="84">
        <f t="shared" ref="GU50" ca="1" si="574">SUM(GU19:GU49)</f>
        <v>209169.71000000005</v>
      </c>
      <c r="GV50" s="84">
        <f t="shared" ref="GV50" ca="1" si="575">SUM(GV19:GV49)</f>
        <v>211415.05000000002</v>
      </c>
      <c r="GW50" s="84">
        <f t="shared" ref="GW50" ca="1" si="576">SUM(GW19:GW49)</f>
        <v>212842.37000000005</v>
      </c>
      <c r="GX50" s="84">
        <f t="shared" ref="GX50:GY50" ca="1" si="577">SUM(GX19:GX49)</f>
        <v>213042.06000000006</v>
      </c>
      <c r="GY50" s="84">
        <f t="shared" ca="1" si="577"/>
        <v>213314.16999999998</v>
      </c>
      <c r="GZ50" s="84">
        <f t="shared" ref="GZ50" ca="1" si="578">SUM(GZ19:GZ49)</f>
        <v>213549.6</v>
      </c>
      <c r="HA50" s="84">
        <f t="shared" ref="HA50" ca="1" si="579">SUM(HA19:HA49)</f>
        <v>214497.21000000002</v>
      </c>
      <c r="HB50" s="84">
        <f t="shared" ref="HB50" ca="1" si="580">SUM(HB19:HB49)</f>
        <v>214821.11</v>
      </c>
      <c r="HC50" s="84">
        <f t="shared" ref="HC50" ca="1" si="581">SUM(HC19:HC49)</f>
        <v>213833.22999999998</v>
      </c>
      <c r="HD50" s="84">
        <f t="shared" ref="HD50" ca="1" si="582">SUM(HD19:HD49)</f>
        <v>213798.75999999995</v>
      </c>
      <c r="HE50" s="84">
        <f t="shared" ref="HE50" ca="1" si="583">SUM(HE19:HE49)</f>
        <v>216517.03</v>
      </c>
      <c r="HF50" s="84">
        <f t="shared" ref="HF50:HG50" ca="1" si="584">SUM(HF19:HF49)</f>
        <v>216910.86000000002</v>
      </c>
      <c r="HG50" s="84">
        <f t="shared" ca="1" si="584"/>
        <v>216531.49000000002</v>
      </c>
      <c r="HH50" s="84">
        <f t="shared" ref="HH50" ca="1" si="585">SUM(HH19:HH49)</f>
        <v>217203.69999999995</v>
      </c>
      <c r="HI50" s="84">
        <f t="shared" ref="HI50" ca="1" si="586">SUM(HI19:HI49)</f>
        <v>218098.04</v>
      </c>
      <c r="HJ50" s="84">
        <f t="shared" ref="HJ50" ca="1" si="587">SUM(HJ19:HJ49)</f>
        <v>218452.23</v>
      </c>
      <c r="HK50" s="84">
        <f t="shared" ref="HK50" ca="1" si="588">SUM(HK19:HK49)</f>
        <v>218195.84999999998</v>
      </c>
      <c r="HL50" s="84">
        <f t="shared" ref="HL50" ca="1" si="589">SUM(HL19:HL49)</f>
        <v>219962.29</v>
      </c>
      <c r="HM50" s="84">
        <f t="shared" ref="HM50" ca="1" si="590">SUM(HM19:HM49)</f>
        <v>221283.96000000002</v>
      </c>
      <c r="HN50" s="84">
        <f t="shared" ref="HN50:HO50" ca="1" si="591">SUM(HN19:HN49)</f>
        <v>219960.57</v>
      </c>
      <c r="HO50" s="84">
        <f t="shared" ca="1" si="591"/>
        <v>220942.72999999998</v>
      </c>
      <c r="HP50" s="84">
        <f t="shared" ref="HP50" ca="1" si="592">SUM(HP19:HP49)</f>
        <v>218620.98</v>
      </c>
      <c r="HQ50" s="84">
        <f t="shared" ref="HQ50" ca="1" si="593">SUM(HQ19:HQ49)</f>
        <v>218887.52</v>
      </c>
      <c r="HR50" s="84">
        <f t="shared" ref="HR50" ca="1" si="594">SUM(HR19:HR49)</f>
        <v>218186.53000000003</v>
      </c>
      <c r="HS50" s="84">
        <f t="shared" ref="HS50" ca="1" si="595">SUM(HS19:HS49)</f>
        <v>214633.65</v>
      </c>
      <c r="HT50" s="84">
        <f t="shared" ref="HT50" ca="1" si="596">SUM(HT19:HT49)</f>
        <v>214074.31000000006</v>
      </c>
      <c r="HU50" s="84">
        <f t="shared" ref="HU50" ca="1" si="597">SUM(HU19:HU49)</f>
        <v>214845.83</v>
      </c>
      <c r="HV50" s="84">
        <f t="shared" ref="HV50:HW50" ca="1" si="598">SUM(HV19:HV49)</f>
        <v>214747.08999999997</v>
      </c>
      <c r="HW50" s="84">
        <f t="shared" ca="1" si="598"/>
        <v>214650.47</v>
      </c>
      <c r="HX50" s="84">
        <f t="shared" ref="HX50" ca="1" si="599">SUM(HX19:HX49)</f>
        <v>215347.16</v>
      </c>
      <c r="HY50" s="84">
        <f t="shared" ref="HY50" ca="1" si="600">SUM(HY19:HY49)</f>
        <v>217438.40000000005</v>
      </c>
      <c r="HZ50" s="84">
        <f t="shared" ref="HZ50" ca="1" si="601">SUM(HZ19:HZ49)</f>
        <v>218313.99</v>
      </c>
      <c r="IA50" s="84">
        <f t="shared" ref="IA50" ca="1" si="602">SUM(IA19:IA49)</f>
        <v>217318</v>
      </c>
      <c r="IB50" s="84">
        <f t="shared" ref="IB50" ca="1" si="603">SUM(IB19:IB49)</f>
        <v>214641</v>
      </c>
      <c r="IC50" s="84">
        <f t="shared" ref="IC50" ca="1" si="604">SUM(IC19:IC49)</f>
        <v>213115.54</v>
      </c>
      <c r="ID50" s="84">
        <f t="shared" ref="ID50:IE50" ca="1" si="605">SUM(ID19:ID49)</f>
        <v>215511.45</v>
      </c>
      <c r="IE50" s="84">
        <f t="shared" ca="1" si="605"/>
        <v>216743.94999999998</v>
      </c>
      <c r="IF50" s="84">
        <f t="shared" ref="IF50" ca="1" si="606">SUM(IF19:IF49)</f>
        <v>218789.41999999998</v>
      </c>
      <c r="IG50" s="84">
        <f t="shared" ref="IG50" ca="1" si="607">SUM(IG19:IG49)</f>
        <v>217095.27</v>
      </c>
      <c r="IH50" s="84">
        <f t="shared" ref="IH50" ca="1" si="608">SUM(IH19:IH49)</f>
        <v>216692.66000000003</v>
      </c>
      <c r="II50" s="84">
        <f t="shared" ref="II50" ca="1" si="609">SUM(II19:II49)</f>
        <v>216692.7</v>
      </c>
      <c r="IJ50" s="84">
        <f t="shared" ref="IJ50" ca="1" si="610">SUM(IJ19:IJ49)</f>
        <v>219509.74000000002</v>
      </c>
      <c r="IK50" s="84">
        <f t="shared" ref="IK50" ca="1" si="611">SUM(IK19:IK49)</f>
        <v>220330.43</v>
      </c>
      <c r="IL50" s="84">
        <f t="shared" ref="IL50:IM50" ca="1" si="612">SUM(IL19:IL49)</f>
        <v>221477.88000000009</v>
      </c>
      <c r="IM50" s="84">
        <f t="shared" ca="1" si="612"/>
        <v>221868.17</v>
      </c>
      <c r="IN50" s="84">
        <f t="shared" ref="IN50" ca="1" si="613">SUM(IN19:IN49)</f>
        <v>222295.64000000004</v>
      </c>
      <c r="IO50" s="84">
        <f t="shared" ref="IO50" ca="1" si="614">SUM(IO19:IO49)</f>
        <v>223988.87000000005</v>
      </c>
      <c r="IP50" s="84">
        <f t="shared" ref="IP50" ca="1" si="615">SUM(IP19:IP49)</f>
        <v>224662.55</v>
      </c>
      <c r="IQ50" s="84">
        <f t="shared" ref="IQ50" ca="1" si="616">SUM(IQ19:IQ49)</f>
        <v>225963.92999999996</v>
      </c>
      <c r="IR50" s="84">
        <f t="shared" ref="IR50" ca="1" si="617">SUM(IR19:IR49)</f>
        <v>226976.29</v>
      </c>
      <c r="IS50" s="84">
        <f t="shared" ref="IS50" ca="1" si="618">SUM(IS19:IS49)</f>
        <v>227846.51999999996</v>
      </c>
      <c r="IT50" s="84">
        <f t="shared" ref="IT50:IU50" ca="1" si="619">SUM(IT19:IT49)</f>
        <v>228895.81</v>
      </c>
      <c r="IU50" s="84">
        <f t="shared" ca="1" si="619"/>
        <v>227764.2</v>
      </c>
      <c r="IV50" s="84">
        <f t="shared" ref="IV50" ca="1" si="620">SUM(IV19:IV49)</f>
        <v>228461.85999999996</v>
      </c>
      <c r="IW50" s="84">
        <f t="shared" ref="IW50" ca="1" si="621">SUM(IW19:IW49)</f>
        <v>228477.48</v>
      </c>
      <c r="IX50" s="84">
        <f t="shared" ref="IX50" si="622">SUM(IX19:IX49)</f>
        <v>0</v>
      </c>
      <c r="IY50" s="84">
        <f t="shared" ref="IY50" si="623">SUM(IY19:IY49)</f>
        <v>0</v>
      </c>
      <c r="IZ50" s="84">
        <f t="shared" ref="IZ50" si="624">SUM(IZ19:IZ49)</f>
        <v>0</v>
      </c>
      <c r="JA50" s="84">
        <f t="shared" ref="JA50" si="625">SUM(JA19:JA49)</f>
        <v>0</v>
      </c>
      <c r="JB50" s="84">
        <f t="shared" ref="JB50:JC50" si="626">SUM(JB19:JB49)</f>
        <v>0</v>
      </c>
      <c r="JC50" s="84">
        <f t="shared" si="626"/>
        <v>0</v>
      </c>
      <c r="JD50" s="84">
        <f t="shared" ref="JD50" si="627">SUM(JD19:JD49)</f>
        <v>0</v>
      </c>
      <c r="JE50" s="84">
        <f t="shared" ref="JE50" si="628">SUM(JE19:JE49)</f>
        <v>0</v>
      </c>
      <c r="JF50" s="84">
        <f t="shared" ref="JF50" si="629">SUM(JF19:JF49)</f>
        <v>0</v>
      </c>
      <c r="JG50" s="84">
        <f t="shared" ref="JG50" si="630">SUM(JG19:JG49)</f>
        <v>0</v>
      </c>
    </row>
    <row r="51" spans="2:267" ht="15.75" thickTop="1" x14ac:dyDescent="0.25">
      <c r="B51"/>
      <c r="C51"/>
      <c r="E51"/>
      <c r="G51"/>
      <c r="H51"/>
    </row>
    <row r="52" spans="2:267" x14ac:dyDescent="0.25">
      <c r="B52"/>
      <c r="C52"/>
      <c r="E52"/>
      <c r="G52" cm="1" vm="649">
        <f t="array" aca="1" ref="G52:IW53" ca="1">TRANSPOSE(_xlfn.STOCKHISTORY(D54,TODAY()-365,TODAY(),0,0,0,5))</f>
        <v>45768</v>
      </c>
      <c r="H52" vm="650">
        <f ca="1"/>
        <v>45769</v>
      </c>
      <c r="I52" vm="651">
        <f ca="1"/>
        <v>45770</v>
      </c>
      <c r="J52" vm="652">
        <f ca="1"/>
        <v>45771</v>
      </c>
      <c r="K52" vm="653">
        <f ca="1"/>
        <v>45772</v>
      </c>
      <c r="L52" vm="654">
        <f ca="1"/>
        <v>45775</v>
      </c>
      <c r="M52" vm="655">
        <f ca="1"/>
        <v>45776</v>
      </c>
      <c r="N52" vm="656">
        <f ca="1"/>
        <v>45777</v>
      </c>
      <c r="O52" vm="657">
        <f ca="1"/>
        <v>45778</v>
      </c>
      <c r="P52" vm="658">
        <f ca="1"/>
        <v>45779</v>
      </c>
      <c r="Q52" vm="659">
        <f ca="1"/>
        <v>45782</v>
      </c>
      <c r="R52" vm="660">
        <f ca="1"/>
        <v>45783</v>
      </c>
      <c r="S52" vm="661">
        <f ca="1"/>
        <v>45784</v>
      </c>
      <c r="T52" vm="662">
        <f ca="1"/>
        <v>45785</v>
      </c>
      <c r="U52" vm="663">
        <f ca="1"/>
        <v>45786</v>
      </c>
      <c r="V52" vm="664">
        <f ca="1"/>
        <v>45789</v>
      </c>
      <c r="W52" vm="665">
        <f ca="1"/>
        <v>45790</v>
      </c>
      <c r="X52" vm="666">
        <f ca="1"/>
        <v>45791</v>
      </c>
      <c r="Y52" vm="667">
        <f ca="1"/>
        <v>45792</v>
      </c>
      <c r="Z52" vm="668">
        <f ca="1"/>
        <v>45793</v>
      </c>
      <c r="AA52" vm="669">
        <f ca="1"/>
        <v>45797</v>
      </c>
      <c r="AB52" vm="670">
        <f ca="1"/>
        <v>45798</v>
      </c>
      <c r="AC52" vm="671">
        <f ca="1"/>
        <v>45799</v>
      </c>
      <c r="AD52" vm="672">
        <f ca="1"/>
        <v>45800</v>
      </c>
      <c r="AE52" vm="673">
        <f ca="1"/>
        <v>45803</v>
      </c>
      <c r="AF52" vm="674">
        <f ca="1"/>
        <v>45804</v>
      </c>
      <c r="AG52" vm="675">
        <f ca="1"/>
        <v>45805</v>
      </c>
      <c r="AH52" vm="676">
        <f ca="1"/>
        <v>45806</v>
      </c>
      <c r="AI52" vm="677">
        <f ca="1"/>
        <v>45807</v>
      </c>
      <c r="AJ52" vm="678">
        <f ca="1"/>
        <v>45810</v>
      </c>
      <c r="AK52" vm="679">
        <f ca="1"/>
        <v>45811</v>
      </c>
      <c r="AL52" vm="680">
        <f ca="1"/>
        <v>45812</v>
      </c>
      <c r="AM52" vm="681">
        <f ca="1"/>
        <v>45813</v>
      </c>
      <c r="AN52" vm="682">
        <f ca="1"/>
        <v>45814</v>
      </c>
      <c r="AO52" vm="683">
        <f ca="1"/>
        <v>45817</v>
      </c>
      <c r="AP52" vm="684">
        <f ca="1"/>
        <v>45818</v>
      </c>
      <c r="AQ52" vm="685">
        <f ca="1"/>
        <v>45819</v>
      </c>
      <c r="AR52" vm="686">
        <f ca="1"/>
        <v>45820</v>
      </c>
      <c r="AS52" vm="687">
        <f ca="1"/>
        <v>45821</v>
      </c>
      <c r="AT52" vm="688">
        <f ca="1"/>
        <v>45824</v>
      </c>
      <c r="AU52" vm="689">
        <f ca="1"/>
        <v>45825</v>
      </c>
      <c r="AV52" vm="690">
        <f ca="1"/>
        <v>45826</v>
      </c>
      <c r="AW52" vm="691">
        <f ca="1"/>
        <v>45827</v>
      </c>
      <c r="AX52" vm="692">
        <f ca="1"/>
        <v>45828</v>
      </c>
      <c r="AY52" vm="693">
        <f ca="1"/>
        <v>45831</v>
      </c>
      <c r="AZ52" vm="694">
        <f ca="1"/>
        <v>45832</v>
      </c>
      <c r="BA52" vm="695">
        <f ca="1"/>
        <v>45833</v>
      </c>
      <c r="BB52" vm="696">
        <f ca="1"/>
        <v>45834</v>
      </c>
      <c r="BC52" vm="697">
        <f ca="1"/>
        <v>45835</v>
      </c>
      <c r="BD52" vm="698">
        <f ca="1"/>
        <v>45838</v>
      </c>
      <c r="BE52" vm="699">
        <f ca="1"/>
        <v>45840</v>
      </c>
      <c r="BF52" vm="700">
        <f ca="1"/>
        <v>45841</v>
      </c>
      <c r="BG52" vm="701">
        <f ca="1"/>
        <v>45842</v>
      </c>
      <c r="BH52" vm="702">
        <f ca="1"/>
        <v>45845</v>
      </c>
      <c r="BI52" vm="703">
        <f ca="1"/>
        <v>45846</v>
      </c>
      <c r="BJ52" vm="704">
        <f ca="1"/>
        <v>45847</v>
      </c>
      <c r="BK52" vm="705">
        <f ca="1"/>
        <v>45848</v>
      </c>
      <c r="BL52" vm="706">
        <f ca="1"/>
        <v>45849</v>
      </c>
      <c r="BM52" vm="707">
        <f ca="1"/>
        <v>45852</v>
      </c>
      <c r="BN52" vm="708">
        <f ca="1"/>
        <v>45853</v>
      </c>
      <c r="BO52" vm="709">
        <f ca="1"/>
        <v>45854</v>
      </c>
      <c r="BP52" vm="710">
        <f ca="1"/>
        <v>45855</v>
      </c>
      <c r="BQ52" vm="711">
        <f ca="1"/>
        <v>45856</v>
      </c>
      <c r="BR52" vm="712">
        <f ca="1"/>
        <v>45859</v>
      </c>
      <c r="BS52" vm="713">
        <f ca="1"/>
        <v>45860</v>
      </c>
      <c r="BT52" vm="714">
        <f ca="1"/>
        <v>45861</v>
      </c>
      <c r="BU52" vm="715">
        <f ca="1"/>
        <v>45862</v>
      </c>
      <c r="BV52" vm="716">
        <f ca="1"/>
        <v>45863</v>
      </c>
      <c r="BW52" vm="717">
        <f ca="1"/>
        <v>45866</v>
      </c>
      <c r="BX52" vm="718">
        <f ca="1"/>
        <v>45867</v>
      </c>
      <c r="BY52" vm="719">
        <f ca="1"/>
        <v>45868</v>
      </c>
      <c r="BZ52" vm="720">
        <f ca="1"/>
        <v>45869</v>
      </c>
      <c r="CA52" vm="721">
        <f ca="1"/>
        <v>45870</v>
      </c>
      <c r="CB52" vm="722">
        <f ca="1"/>
        <v>45874</v>
      </c>
      <c r="CC52" vm="723">
        <f ca="1"/>
        <v>45875</v>
      </c>
      <c r="CD52" vm="724">
        <f ca="1"/>
        <v>45876</v>
      </c>
      <c r="CE52" vm="725">
        <f ca="1"/>
        <v>45877</v>
      </c>
      <c r="CF52" vm="726">
        <f ca="1"/>
        <v>45880</v>
      </c>
      <c r="CG52" vm="727">
        <f ca="1"/>
        <v>45881</v>
      </c>
      <c r="CH52" vm="728">
        <f ca="1"/>
        <v>45882</v>
      </c>
      <c r="CI52" vm="729">
        <f ca="1"/>
        <v>45883</v>
      </c>
      <c r="CJ52" vm="730">
        <f ca="1"/>
        <v>45884</v>
      </c>
      <c r="CK52" vm="731">
        <f ca="1"/>
        <v>45887</v>
      </c>
      <c r="CL52" vm="732">
        <f ca="1"/>
        <v>45888</v>
      </c>
      <c r="CM52" vm="733">
        <f ca="1"/>
        <v>45889</v>
      </c>
      <c r="CN52" vm="734">
        <f ca="1"/>
        <v>45890</v>
      </c>
      <c r="CO52" vm="735">
        <f ca="1"/>
        <v>45891</v>
      </c>
      <c r="CP52" vm="736">
        <f ca="1"/>
        <v>45894</v>
      </c>
      <c r="CQ52" vm="737">
        <f ca="1"/>
        <v>45895</v>
      </c>
      <c r="CR52" vm="738">
        <f ca="1"/>
        <v>45896</v>
      </c>
      <c r="CS52" vm="739">
        <f ca="1"/>
        <v>45897</v>
      </c>
      <c r="CT52" vm="740">
        <f ca="1"/>
        <v>45898</v>
      </c>
      <c r="CU52" vm="741">
        <f ca="1"/>
        <v>45902</v>
      </c>
      <c r="CV52" vm="742">
        <f ca="1"/>
        <v>45903</v>
      </c>
      <c r="CW52" vm="743">
        <f ca="1"/>
        <v>45904</v>
      </c>
      <c r="CX52" vm="744">
        <f ca="1"/>
        <v>45905</v>
      </c>
      <c r="CY52" vm="745">
        <f ca="1"/>
        <v>45908</v>
      </c>
      <c r="CZ52" vm="746">
        <f ca="1"/>
        <v>45909</v>
      </c>
      <c r="DA52" vm="747">
        <f ca="1"/>
        <v>45910</v>
      </c>
      <c r="DB52" vm="748">
        <f ca="1"/>
        <v>45911</v>
      </c>
      <c r="DC52" vm="749">
        <f ca="1"/>
        <v>45912</v>
      </c>
      <c r="DD52" vm="750">
        <f ca="1"/>
        <v>45915</v>
      </c>
      <c r="DE52" vm="751">
        <f ca="1"/>
        <v>45916</v>
      </c>
      <c r="DF52" vm="752">
        <f ca="1"/>
        <v>45917</v>
      </c>
      <c r="DG52" vm="753">
        <f ca="1"/>
        <v>45918</v>
      </c>
      <c r="DH52" vm="754">
        <f ca="1"/>
        <v>45919</v>
      </c>
      <c r="DI52" vm="755">
        <f ca="1"/>
        <v>45922</v>
      </c>
      <c r="DJ52" vm="756">
        <f ca="1"/>
        <v>45923</v>
      </c>
      <c r="DK52" vm="757">
        <f ca="1"/>
        <v>45924</v>
      </c>
      <c r="DL52" vm="758">
        <f ca="1"/>
        <v>45925</v>
      </c>
      <c r="DM52" vm="759">
        <f ca="1"/>
        <v>45926</v>
      </c>
      <c r="DN52" vm="760">
        <f ca="1"/>
        <v>45929</v>
      </c>
      <c r="DO52" vm="761">
        <f ca="1"/>
        <v>45930</v>
      </c>
      <c r="DP52" vm="762">
        <f ca="1"/>
        <v>45931</v>
      </c>
      <c r="DQ52" vm="763">
        <f ca="1"/>
        <v>45932</v>
      </c>
      <c r="DR52" vm="764">
        <f ca="1"/>
        <v>45933</v>
      </c>
      <c r="DS52" vm="765">
        <f ca="1"/>
        <v>45936</v>
      </c>
      <c r="DT52" vm="766">
        <f ca="1"/>
        <v>45937</v>
      </c>
      <c r="DU52" vm="767">
        <f ca="1"/>
        <v>45938</v>
      </c>
      <c r="DV52" vm="768">
        <f ca="1"/>
        <v>45939</v>
      </c>
      <c r="DW52" vm="769">
        <f ca="1"/>
        <v>45940</v>
      </c>
      <c r="DX52" vm="770">
        <f ca="1"/>
        <v>45944</v>
      </c>
      <c r="DY52" vm="771">
        <f ca="1"/>
        <v>45945</v>
      </c>
      <c r="DZ52" vm="772">
        <f ca="1"/>
        <v>45946</v>
      </c>
      <c r="EA52" vm="773">
        <f ca="1"/>
        <v>45947</v>
      </c>
      <c r="EB52" vm="774">
        <f ca="1"/>
        <v>45950</v>
      </c>
      <c r="EC52" vm="775">
        <f ca="1"/>
        <v>45951</v>
      </c>
      <c r="ED52" vm="776">
        <f ca="1"/>
        <v>45952</v>
      </c>
      <c r="EE52" vm="777">
        <f ca="1"/>
        <v>45953</v>
      </c>
      <c r="EF52" vm="778">
        <f ca="1"/>
        <v>45954</v>
      </c>
      <c r="EG52" vm="779">
        <f ca="1"/>
        <v>45957</v>
      </c>
      <c r="EH52" vm="780">
        <f ca="1"/>
        <v>45958</v>
      </c>
      <c r="EI52" vm="781">
        <f ca="1"/>
        <v>45959</v>
      </c>
      <c r="EJ52" vm="782">
        <f ca="1"/>
        <v>45960</v>
      </c>
      <c r="EK52" vm="783">
        <f ca="1"/>
        <v>45961</v>
      </c>
      <c r="EL52" vm="784">
        <f ca="1"/>
        <v>45964</v>
      </c>
      <c r="EM52" vm="785">
        <f ca="1"/>
        <v>45965</v>
      </c>
      <c r="EN52" vm="786">
        <f ca="1"/>
        <v>45966</v>
      </c>
      <c r="EO52" vm="787">
        <f ca="1"/>
        <v>45967</v>
      </c>
      <c r="EP52" vm="788">
        <f ca="1"/>
        <v>45968</v>
      </c>
      <c r="EQ52" vm="789">
        <f ca="1"/>
        <v>45971</v>
      </c>
      <c r="ER52" vm="790">
        <f ca="1"/>
        <v>45972</v>
      </c>
      <c r="ES52" vm="791">
        <f ca="1"/>
        <v>45973</v>
      </c>
      <c r="ET52" vm="792">
        <f ca="1"/>
        <v>45974</v>
      </c>
      <c r="EU52" vm="793">
        <f ca="1"/>
        <v>45975</v>
      </c>
      <c r="EV52" vm="794">
        <f ca="1"/>
        <v>45978</v>
      </c>
      <c r="EW52" vm="795">
        <f ca="1"/>
        <v>45979</v>
      </c>
      <c r="EX52" vm="796">
        <f ca="1"/>
        <v>45980</v>
      </c>
      <c r="EY52" vm="797">
        <f ca="1"/>
        <v>45981</v>
      </c>
      <c r="EZ52" vm="798">
        <f ca="1"/>
        <v>45982</v>
      </c>
      <c r="FA52" vm="799">
        <f ca="1"/>
        <v>45985</v>
      </c>
      <c r="FB52" vm="800">
        <f ca="1"/>
        <v>45986</v>
      </c>
      <c r="FC52" vm="801">
        <f ca="1"/>
        <v>45987</v>
      </c>
      <c r="FD52" vm="802">
        <f ca="1"/>
        <v>45988</v>
      </c>
      <c r="FE52" vm="803">
        <f ca="1"/>
        <v>45989</v>
      </c>
      <c r="FF52" vm="804">
        <f ca="1"/>
        <v>45992</v>
      </c>
      <c r="FG52" vm="805">
        <f ca="1"/>
        <v>45993</v>
      </c>
      <c r="FH52" vm="806">
        <f ca="1"/>
        <v>45994</v>
      </c>
      <c r="FI52" vm="807">
        <f ca="1"/>
        <v>45995</v>
      </c>
      <c r="FJ52" vm="808">
        <f ca="1"/>
        <v>45996</v>
      </c>
      <c r="FK52" vm="809">
        <f ca="1"/>
        <v>45999</v>
      </c>
      <c r="FL52" vm="810">
        <f ca="1"/>
        <v>46000</v>
      </c>
      <c r="FM52" vm="811">
        <f ca="1"/>
        <v>46001</v>
      </c>
      <c r="FN52" vm="812">
        <f ca="1"/>
        <v>46002</v>
      </c>
      <c r="FO52" vm="813">
        <f ca="1"/>
        <v>46003</v>
      </c>
      <c r="FP52" vm="814">
        <f ca="1"/>
        <v>46006</v>
      </c>
      <c r="FQ52" vm="815">
        <f ca="1"/>
        <v>46007</v>
      </c>
      <c r="FR52" vm="816">
        <f ca="1"/>
        <v>46008</v>
      </c>
      <c r="FS52" vm="817">
        <f ca="1"/>
        <v>46009</v>
      </c>
      <c r="FT52" vm="818">
        <f ca="1"/>
        <v>46010</v>
      </c>
      <c r="FU52" vm="819">
        <f ca="1"/>
        <v>46013</v>
      </c>
      <c r="FV52" vm="820">
        <f ca="1"/>
        <v>46014</v>
      </c>
      <c r="FW52" vm="821">
        <f ca="1"/>
        <v>46015</v>
      </c>
      <c r="FX52" vm="822">
        <f ca="1"/>
        <v>46020</v>
      </c>
      <c r="FY52" vm="823">
        <f ca="1"/>
        <v>46021</v>
      </c>
      <c r="FZ52" vm="824">
        <f ca="1"/>
        <v>46022</v>
      </c>
      <c r="GA52" vm="825">
        <f ca="1"/>
        <v>46024</v>
      </c>
      <c r="GB52" vm="826">
        <f ca="1"/>
        <v>46027</v>
      </c>
      <c r="GC52" vm="827">
        <f ca="1"/>
        <v>46028</v>
      </c>
      <c r="GD52" vm="828">
        <f ca="1"/>
        <v>46029</v>
      </c>
      <c r="GE52" vm="829">
        <f ca="1"/>
        <v>46030</v>
      </c>
      <c r="GF52" vm="830">
        <f ca="1"/>
        <v>46031</v>
      </c>
      <c r="GG52" vm="831">
        <f ca="1"/>
        <v>46034</v>
      </c>
      <c r="GH52" vm="832">
        <f ca="1"/>
        <v>46035</v>
      </c>
      <c r="GI52" vm="833">
        <f ca="1"/>
        <v>46036</v>
      </c>
      <c r="GJ52" vm="834">
        <f ca="1"/>
        <v>46037</v>
      </c>
      <c r="GK52" vm="835">
        <f ca="1"/>
        <v>46038</v>
      </c>
      <c r="GL52" vm="836">
        <f ca="1"/>
        <v>46041</v>
      </c>
      <c r="GM52" vm="837">
        <f ca="1"/>
        <v>46042</v>
      </c>
      <c r="GN52" vm="838">
        <f ca="1"/>
        <v>46043</v>
      </c>
      <c r="GO52" vm="839">
        <f ca="1"/>
        <v>46044</v>
      </c>
      <c r="GP52" vm="840">
        <f ca="1"/>
        <v>46045</v>
      </c>
      <c r="GQ52" vm="841">
        <f ca="1"/>
        <v>46048</v>
      </c>
      <c r="GR52" vm="842">
        <f ca="1"/>
        <v>46049</v>
      </c>
      <c r="GS52" vm="843">
        <f ca="1"/>
        <v>46050</v>
      </c>
      <c r="GT52" vm="844">
        <f ca="1"/>
        <v>46051</v>
      </c>
      <c r="GU52" vm="845">
        <f ca="1"/>
        <v>46052</v>
      </c>
      <c r="GV52" vm="846">
        <f ca="1"/>
        <v>46055</v>
      </c>
      <c r="GW52" vm="847">
        <f ca="1"/>
        <v>46056</v>
      </c>
      <c r="GX52" vm="848">
        <f ca="1"/>
        <v>46057</v>
      </c>
      <c r="GY52" vm="849">
        <f ca="1"/>
        <v>46058</v>
      </c>
      <c r="GZ52" vm="850">
        <f ca="1"/>
        <v>46059</v>
      </c>
      <c r="HA52" vm="851">
        <f ca="1"/>
        <v>46062</v>
      </c>
      <c r="HB52" vm="852">
        <f ca="1"/>
        <v>46063</v>
      </c>
      <c r="HC52" vm="853">
        <f ca="1"/>
        <v>46064</v>
      </c>
      <c r="HD52" vm="854">
        <f ca="1"/>
        <v>46065</v>
      </c>
      <c r="HE52" vm="855">
        <f ca="1"/>
        <v>46066</v>
      </c>
      <c r="HF52" vm="856">
        <f ca="1"/>
        <v>46070</v>
      </c>
      <c r="HG52" vm="857">
        <f ca="1"/>
        <v>46071</v>
      </c>
      <c r="HH52" vm="858">
        <f ca="1"/>
        <v>46072</v>
      </c>
      <c r="HI52" vm="859">
        <f ca="1"/>
        <v>46073</v>
      </c>
      <c r="HJ52" vm="860">
        <f ca="1"/>
        <v>46076</v>
      </c>
      <c r="HK52" vm="861">
        <f ca="1"/>
        <v>46077</v>
      </c>
      <c r="HL52" vm="862">
        <f ca="1"/>
        <v>46078</v>
      </c>
      <c r="HM52" vm="863">
        <f ca="1"/>
        <v>46079</v>
      </c>
      <c r="HN52" vm="864">
        <f ca="1"/>
        <v>46080</v>
      </c>
      <c r="HO52" vm="865">
        <f ca="1"/>
        <v>46083</v>
      </c>
      <c r="HP52" vm="866">
        <f ca="1"/>
        <v>46084</v>
      </c>
      <c r="HQ52" vm="867">
        <f ca="1"/>
        <v>46085</v>
      </c>
      <c r="HR52" vm="868">
        <f ca="1"/>
        <v>46086</v>
      </c>
      <c r="HS52" vm="869">
        <f ca="1"/>
        <v>46087</v>
      </c>
      <c r="HT52" vm="870">
        <f ca="1"/>
        <v>46090</v>
      </c>
      <c r="HU52" vm="871">
        <f ca="1"/>
        <v>46091</v>
      </c>
      <c r="HV52" vm="872">
        <f ca="1"/>
        <v>46092</v>
      </c>
      <c r="HW52" vm="873">
        <f ca="1"/>
        <v>46093</v>
      </c>
      <c r="HX52" vm="874">
        <f ca="1"/>
        <v>46094</v>
      </c>
      <c r="HY52" vm="875">
        <f ca="1"/>
        <v>46097</v>
      </c>
      <c r="HZ52" vm="876">
        <f ca="1"/>
        <v>46098</v>
      </c>
      <c r="IA52" vm="877">
        <f ca="1"/>
        <v>46099</v>
      </c>
      <c r="IB52" vm="878">
        <f ca="1"/>
        <v>46100</v>
      </c>
      <c r="IC52" vm="879">
        <f ca="1"/>
        <v>46101</v>
      </c>
      <c r="ID52" vm="880">
        <f ca="1"/>
        <v>46104</v>
      </c>
      <c r="IE52" vm="881">
        <f ca="1"/>
        <v>46105</v>
      </c>
      <c r="IF52" vm="882">
        <f ca="1"/>
        <v>46106</v>
      </c>
      <c r="IG52" vm="883">
        <f ca="1"/>
        <v>46107</v>
      </c>
      <c r="IH52" vm="884">
        <f ca="1"/>
        <v>46108</v>
      </c>
      <c r="II52" vm="885">
        <f ca="1"/>
        <v>46111</v>
      </c>
      <c r="IJ52" vm="886">
        <f ca="1"/>
        <v>46112</v>
      </c>
      <c r="IK52" vm="887">
        <f ca="1"/>
        <v>46113</v>
      </c>
      <c r="IL52" vm="888">
        <f ca="1"/>
        <v>46114</v>
      </c>
      <c r="IM52" vm="889">
        <f ca="1"/>
        <v>46118</v>
      </c>
      <c r="IN52" vm="890">
        <f ca="1"/>
        <v>46119</v>
      </c>
      <c r="IO52" vm="891">
        <f ca="1"/>
        <v>46120</v>
      </c>
      <c r="IP52" vm="892">
        <f ca="1"/>
        <v>46121</v>
      </c>
      <c r="IQ52" vm="893">
        <f ca="1"/>
        <v>46122</v>
      </c>
      <c r="IR52" vm="894">
        <f ca="1"/>
        <v>46125</v>
      </c>
      <c r="IS52" vm="895">
        <f ca="1"/>
        <v>46126</v>
      </c>
      <c r="IT52" vm="896">
        <f ca="1"/>
        <v>46127</v>
      </c>
      <c r="IU52" vm="897">
        <f ca="1"/>
        <v>46128</v>
      </c>
      <c r="IV52" vm="898">
        <f ca="1"/>
        <v>46129</v>
      </c>
      <c r="IW52" vm="899">
        <f ca="1"/>
        <v>46132</v>
      </c>
    </row>
    <row r="53" spans="2:267" x14ac:dyDescent="0.25">
      <c r="B53" t="s">
        <v>153</v>
      </c>
      <c r="C53" t="s">
        <v>0</v>
      </c>
      <c r="D53" t="s">
        <v>8</v>
      </c>
      <c r="E53" t="s">
        <v>1</v>
      </c>
      <c r="F53" s="12" t="s">
        <v>197</v>
      </c>
      <c r="G53" s="20" vm="1153">
        <f ca="1"/>
        <v>56484</v>
      </c>
      <c r="H53" vm="1154">
        <f ca="1"/>
        <v>57045</v>
      </c>
      <c r="I53" vm="1155">
        <f ca="1"/>
        <v>86911</v>
      </c>
      <c r="J53" vm="1156">
        <f ca="1"/>
        <v>16944</v>
      </c>
      <c r="K53" vm="1157">
        <f ca="1"/>
        <v>34676</v>
      </c>
      <c r="L53" vm="1158">
        <f ca="1"/>
        <v>25192</v>
      </c>
      <c r="M53" vm="1159">
        <f ca="1"/>
        <v>35669</v>
      </c>
      <c r="N53" vm="1160">
        <f ca="1"/>
        <v>52247</v>
      </c>
      <c r="O53" vm="1161">
        <f ca="1"/>
        <v>38653</v>
      </c>
      <c r="P53" vm="1162">
        <f ca="1"/>
        <v>22564</v>
      </c>
      <c r="Q53" vm="1163">
        <f ca="1"/>
        <v>24712</v>
      </c>
      <c r="R53" vm="1164">
        <f ca="1"/>
        <v>16315</v>
      </c>
      <c r="S53" vm="1165">
        <f ca="1"/>
        <v>31509</v>
      </c>
      <c r="T53" vm="1166">
        <f ca="1"/>
        <v>22222</v>
      </c>
      <c r="U53" vm="1167">
        <f ca="1"/>
        <v>38138</v>
      </c>
      <c r="V53" vm="1168">
        <f ca="1"/>
        <v>22338</v>
      </c>
      <c r="W53" vm="1169">
        <f ca="1"/>
        <v>17621</v>
      </c>
      <c r="X53" vm="1170">
        <f ca="1"/>
        <v>15518</v>
      </c>
      <c r="Y53" vm="1171">
        <f ca="1"/>
        <v>26081</v>
      </c>
      <c r="Z53" vm="1172">
        <f ca="1"/>
        <v>20099</v>
      </c>
      <c r="AA53" vm="1173">
        <f ca="1"/>
        <v>32468</v>
      </c>
      <c r="AB53" vm="1174">
        <f ca="1"/>
        <v>14174</v>
      </c>
      <c r="AC53" vm="1175">
        <f ca="1"/>
        <v>26252</v>
      </c>
      <c r="AD53" vm="1176">
        <f ca="1"/>
        <v>37748</v>
      </c>
      <c r="AE53" vm="1177">
        <f ca="1"/>
        <v>9223</v>
      </c>
      <c r="AF53" vm="1178">
        <f ca="1"/>
        <v>17861</v>
      </c>
      <c r="AG53" vm="1179">
        <f ca="1"/>
        <v>19193</v>
      </c>
      <c r="AH53" vm="1180">
        <f ca="1"/>
        <v>11526</v>
      </c>
      <c r="AI53" vm="1181">
        <f ca="1"/>
        <v>23749</v>
      </c>
      <c r="AJ53" vm="1182">
        <f ca="1"/>
        <v>41587</v>
      </c>
      <c r="AK53" vm="1183">
        <f ca="1"/>
        <v>17952</v>
      </c>
      <c r="AL53" vm="1184">
        <f ca="1"/>
        <v>16652</v>
      </c>
      <c r="AM53" vm="1185">
        <f ca="1"/>
        <v>22570</v>
      </c>
      <c r="AN53" vm="1186">
        <f ca="1"/>
        <v>23339</v>
      </c>
      <c r="AO53" vm="1187">
        <f ca="1"/>
        <v>21904</v>
      </c>
      <c r="AP53" vm="1188">
        <f ca="1"/>
        <v>16880</v>
      </c>
      <c r="AQ53" vm="1189">
        <f ca="1"/>
        <v>20779</v>
      </c>
      <c r="AR53" vm="1190">
        <f ca="1"/>
        <v>17544</v>
      </c>
      <c r="AS53" vm="1191">
        <f ca="1"/>
        <v>22651</v>
      </c>
      <c r="AT53" vm="1192">
        <f ca="1"/>
        <v>36453</v>
      </c>
      <c r="AU53" vm="1193">
        <f ca="1"/>
        <v>16821</v>
      </c>
      <c r="AV53" vm="1194">
        <f ca="1"/>
        <v>12685</v>
      </c>
      <c r="AW53" vm="1195">
        <f ca="1"/>
        <v>9089</v>
      </c>
      <c r="AX53" vm="1196">
        <f ca="1"/>
        <v>21163</v>
      </c>
      <c r="AY53" vm="1197">
        <f ca="1"/>
        <v>27478</v>
      </c>
      <c r="AZ53" vm="1198">
        <f ca="1"/>
        <v>16187</v>
      </c>
      <c r="BA53" vm="1199">
        <f ca="1"/>
        <v>20698</v>
      </c>
      <c r="BB53" vm="1200">
        <f ca="1"/>
        <v>20758</v>
      </c>
      <c r="BC53" vm="1201">
        <f ca="1"/>
        <v>28281</v>
      </c>
      <c r="BD53" vm="1202">
        <f ca="1"/>
        <v>22992</v>
      </c>
      <c r="BE53" vm="1203">
        <f ca="1"/>
        <v>32696</v>
      </c>
      <c r="BF53" vm="1204">
        <f ca="1"/>
        <v>19880</v>
      </c>
      <c r="BG53" vm="1205">
        <f ca="1"/>
        <v>5577</v>
      </c>
      <c r="BH53" vm="1206">
        <f ca="1"/>
        <v>50422</v>
      </c>
      <c r="BI53" vm="1207">
        <f ca="1"/>
        <v>18821</v>
      </c>
      <c r="BJ53" vm="1208">
        <f ca="1"/>
        <v>20572</v>
      </c>
      <c r="BK53" vm="1209">
        <f ca="1"/>
        <v>23828</v>
      </c>
      <c r="BL53" vm="1210">
        <f ca="1"/>
        <v>63981</v>
      </c>
      <c r="BM53" vm="1211">
        <f ca="1"/>
        <v>19960</v>
      </c>
      <c r="BN53" vm="1212">
        <f ca="1"/>
        <v>22792</v>
      </c>
      <c r="BO53" vm="1213">
        <f ca="1"/>
        <v>30570</v>
      </c>
      <c r="BP53" vm="1214">
        <f ca="1"/>
        <v>15029</v>
      </c>
      <c r="BQ53" vm="1215">
        <f ca="1"/>
        <v>16732</v>
      </c>
      <c r="BR53" vm="1216">
        <f ca="1"/>
        <v>20555</v>
      </c>
      <c r="BS53" vm="1217">
        <f ca="1"/>
        <v>18462</v>
      </c>
      <c r="BT53" vm="1218">
        <f ca="1"/>
        <v>13528</v>
      </c>
      <c r="BU53" vm="1219">
        <f ca="1"/>
        <v>18302</v>
      </c>
      <c r="BV53" vm="1220">
        <f ca="1"/>
        <v>12374</v>
      </c>
      <c r="BW53" vm="1221">
        <f ca="1"/>
        <v>22694</v>
      </c>
      <c r="BX53" vm="1222">
        <f ca="1"/>
        <v>18362</v>
      </c>
      <c r="BY53" vm="1223">
        <f ca="1"/>
        <v>9809</v>
      </c>
      <c r="BZ53" vm="1224">
        <f ca="1"/>
        <v>23983</v>
      </c>
      <c r="CA53" vm="1225">
        <f ca="1"/>
        <v>43249</v>
      </c>
      <c r="CB53" vm="1226">
        <f ca="1"/>
        <v>24494</v>
      </c>
      <c r="CC53" vm="1227">
        <f ca="1"/>
        <v>17840</v>
      </c>
      <c r="CD53" vm="1228">
        <f ca="1"/>
        <v>17920</v>
      </c>
      <c r="CE53" vm="1229">
        <f ca="1"/>
        <v>15884</v>
      </c>
      <c r="CF53" vm="1230">
        <f ca="1"/>
        <v>21507</v>
      </c>
      <c r="CG53" vm="1231">
        <f ca="1"/>
        <v>12156</v>
      </c>
      <c r="CH53" vm="1232">
        <f ca="1"/>
        <v>16617</v>
      </c>
      <c r="CI53" vm="1233">
        <f ca="1"/>
        <v>23060</v>
      </c>
      <c r="CJ53" vm="1234">
        <f ca="1"/>
        <v>24918</v>
      </c>
      <c r="CK53" vm="1235">
        <f ca="1"/>
        <v>25870</v>
      </c>
      <c r="CL53" vm="1236">
        <f ca="1"/>
        <v>16019</v>
      </c>
      <c r="CM53" vm="1237">
        <f ca="1"/>
        <v>16776</v>
      </c>
      <c r="CN53" vm="1238">
        <f ca="1"/>
        <v>13798</v>
      </c>
      <c r="CO53" vm="1239">
        <f ca="1"/>
        <v>21748</v>
      </c>
      <c r="CP53" vm="1240">
        <f ca="1"/>
        <v>14606</v>
      </c>
      <c r="CQ53" vm="1241">
        <f ca="1"/>
        <v>22480</v>
      </c>
      <c r="CR53" vm="1242">
        <f ca="1"/>
        <v>27646</v>
      </c>
      <c r="CS53" vm="1243">
        <f ca="1"/>
        <v>16700</v>
      </c>
      <c r="CT53" vm="1244">
        <f ca="1"/>
        <v>48656</v>
      </c>
      <c r="CU53" vm="1245">
        <f ca="1"/>
        <v>25179</v>
      </c>
      <c r="CV53" vm="1246">
        <f ca="1"/>
        <v>20091</v>
      </c>
      <c r="CW53" vm="1247">
        <f ca="1"/>
        <v>19696</v>
      </c>
      <c r="CX53" vm="1248">
        <f ca="1"/>
        <v>18038</v>
      </c>
      <c r="CY53" vm="1249">
        <f ca="1"/>
        <v>34148</v>
      </c>
      <c r="CZ53" vm="1250">
        <f ca="1"/>
        <v>21115</v>
      </c>
      <c r="DA53" vm="1251">
        <f ca="1"/>
        <v>19081</v>
      </c>
      <c r="DB53" vm="1252">
        <f ca="1"/>
        <v>18346</v>
      </c>
      <c r="DC53" vm="1253">
        <f ca="1"/>
        <v>31489</v>
      </c>
      <c r="DD53" vm="1254">
        <f ca="1"/>
        <v>30644</v>
      </c>
      <c r="DE53" vm="1255">
        <f ca="1"/>
        <v>38706</v>
      </c>
      <c r="DF53" vm="1256">
        <f ca="1"/>
        <v>59829</v>
      </c>
      <c r="DG53" vm="1257">
        <f ca="1"/>
        <v>14791</v>
      </c>
      <c r="DH53" vm="1258">
        <f ca="1"/>
        <v>40590</v>
      </c>
      <c r="DI53" vm="1259">
        <f ca="1"/>
        <v>23179</v>
      </c>
      <c r="DJ53" vm="1260">
        <f ca="1"/>
        <v>65788</v>
      </c>
      <c r="DK53" vm="1261">
        <f ca="1"/>
        <v>22354</v>
      </c>
      <c r="DL53" vm="1262">
        <f ca="1"/>
        <v>43495</v>
      </c>
      <c r="DM53" vm="1263">
        <f ca="1"/>
        <v>22900</v>
      </c>
      <c r="DN53" vm="1264">
        <f ca="1"/>
        <v>29313</v>
      </c>
      <c r="DO53" vm="1265">
        <f ca="1"/>
        <v>18004</v>
      </c>
      <c r="DP53" vm="1266">
        <f ca="1"/>
        <v>13147</v>
      </c>
      <c r="DQ53" vm="1267">
        <f ca="1"/>
        <v>22489</v>
      </c>
      <c r="DR53" vm="1268">
        <f ca="1"/>
        <v>19750</v>
      </c>
      <c r="DS53" vm="1269">
        <f ca="1"/>
        <v>35183</v>
      </c>
      <c r="DT53" vm="1270">
        <f ca="1"/>
        <v>30344</v>
      </c>
      <c r="DU53" vm="1271">
        <f ca="1"/>
        <v>15170</v>
      </c>
      <c r="DV53" vm="1272">
        <f ca="1"/>
        <v>23124</v>
      </c>
      <c r="DW53" vm="1273">
        <f ca="1"/>
        <v>35115</v>
      </c>
      <c r="DX53" vm="1274">
        <f ca="1"/>
        <v>35579</v>
      </c>
      <c r="DY53" vm="1275">
        <f ca="1"/>
        <v>21076</v>
      </c>
      <c r="DZ53" vm="1276">
        <f ca="1"/>
        <v>25481</v>
      </c>
      <c r="EA53" vm="1277">
        <f ca="1"/>
        <v>41504</v>
      </c>
      <c r="EB53" vm="1278">
        <f ca="1"/>
        <v>31661</v>
      </c>
      <c r="EC53" vm="1279">
        <f ca="1"/>
        <v>27629</v>
      </c>
      <c r="ED53" vm="1280">
        <f ca="1"/>
        <v>14201</v>
      </c>
      <c r="EE53" vm="1281">
        <f ca="1"/>
        <v>34887</v>
      </c>
      <c r="EF53" vm="1282">
        <f ca="1"/>
        <v>42444</v>
      </c>
      <c r="EG53" vm="1283">
        <f ca="1"/>
        <v>25426</v>
      </c>
      <c r="EH53" vm="1284">
        <f ca="1"/>
        <v>40190</v>
      </c>
      <c r="EI53" vm="1285">
        <f ca="1"/>
        <v>37842</v>
      </c>
      <c r="EJ53" vm="1286">
        <f ca="1"/>
        <v>20490</v>
      </c>
      <c r="EK53" vm="1287">
        <f ca="1"/>
        <v>16121</v>
      </c>
      <c r="EL53" vm="1288">
        <f ca="1"/>
        <v>30903</v>
      </c>
      <c r="EM53" vm="1289">
        <f ca="1"/>
        <v>21429</v>
      </c>
      <c r="EN53" vm="1290">
        <f ca="1"/>
        <v>11553</v>
      </c>
      <c r="EO53" vm="1291">
        <f ca="1"/>
        <v>26318</v>
      </c>
      <c r="EP53" vm="1292">
        <f ca="1"/>
        <v>24537</v>
      </c>
      <c r="EQ53" vm="1293">
        <f ca="1"/>
        <v>33207</v>
      </c>
      <c r="ER53" vm="1294">
        <f ca="1"/>
        <v>23857</v>
      </c>
      <c r="ES53" vm="1295">
        <f ca="1"/>
        <v>27732</v>
      </c>
      <c r="ET53" vm="1296">
        <f ca="1"/>
        <v>31084</v>
      </c>
      <c r="EU53" vm="1297">
        <f ca="1"/>
        <v>16785</v>
      </c>
      <c r="EV53" vm="1298">
        <f ca="1"/>
        <v>20857</v>
      </c>
      <c r="EW53" vm="1299">
        <f ca="1"/>
        <v>20655</v>
      </c>
      <c r="EX53" vm="1300">
        <f ca="1"/>
        <v>11016</v>
      </c>
      <c r="EY53" vm="1301">
        <f ca="1"/>
        <v>21176</v>
      </c>
      <c r="EZ53" vm="1302">
        <f ca="1"/>
        <v>20010</v>
      </c>
      <c r="FA53" vm="1303">
        <f ca="1"/>
        <v>18451</v>
      </c>
      <c r="FB53" vm="1304">
        <f ca="1"/>
        <v>17709</v>
      </c>
      <c r="FC53" vm="1305">
        <f ca="1"/>
        <v>21935</v>
      </c>
      <c r="FD53" vm="1306">
        <f ca="1"/>
        <v>13151</v>
      </c>
      <c r="FE53" vm="1307">
        <f ca="1"/>
        <v>14751</v>
      </c>
      <c r="FF53" vm="1308">
        <f ca="1"/>
        <v>23588</v>
      </c>
      <c r="FG53" vm="1309">
        <f ca="1"/>
        <v>24183</v>
      </c>
      <c r="FH53" vm="1310">
        <f ca="1"/>
        <v>17944</v>
      </c>
      <c r="FI53" vm="1311">
        <f ca="1"/>
        <v>14011</v>
      </c>
      <c r="FJ53" vm="1312">
        <f ca="1"/>
        <v>12335</v>
      </c>
      <c r="FK53" vm="1313">
        <f ca="1"/>
        <v>23792</v>
      </c>
      <c r="FL53" vm="1314">
        <f ca="1"/>
        <v>24301</v>
      </c>
      <c r="FM53" vm="1315">
        <f ca="1"/>
        <v>18476</v>
      </c>
      <c r="FN53" vm="1316">
        <f ca="1"/>
        <v>13734</v>
      </c>
      <c r="FO53" vm="1317">
        <f ca="1"/>
        <v>20170</v>
      </c>
      <c r="FP53" vm="1318">
        <f ca="1"/>
        <v>21415</v>
      </c>
      <c r="FQ53" vm="1319">
        <f ca="1"/>
        <v>18508</v>
      </c>
      <c r="FR53" vm="1320">
        <f ca="1"/>
        <v>14999</v>
      </c>
      <c r="FS53" vm="1321">
        <f ca="1"/>
        <v>21131</v>
      </c>
      <c r="FT53" vm="1322">
        <f ca="1"/>
        <v>38052</v>
      </c>
      <c r="FU53" vm="1323">
        <f ca="1"/>
        <v>33951</v>
      </c>
      <c r="FV53" vm="1324">
        <f ca="1"/>
        <v>29594</v>
      </c>
      <c r="FW53" vm="1325">
        <f ca="1"/>
        <v>13330</v>
      </c>
      <c r="FX53" vm="1326">
        <f ca="1"/>
        <v>40347</v>
      </c>
      <c r="FY53" vm="1327">
        <f ca="1"/>
        <v>26251</v>
      </c>
      <c r="FZ53" vm="1328">
        <f ca="1"/>
        <v>17081</v>
      </c>
      <c r="GA53" vm="1329">
        <f ca="1"/>
        <v>59201</v>
      </c>
      <c r="GB53" vm="1330">
        <f ca="1"/>
        <v>47838</v>
      </c>
      <c r="GC53" vm="1331">
        <f ca="1"/>
        <v>83993</v>
      </c>
      <c r="GD53" vm="1332">
        <f ca="1"/>
        <v>66382</v>
      </c>
      <c r="GE53" vm="1333">
        <f ca="1"/>
        <v>54928</v>
      </c>
      <c r="GF53" vm="1334">
        <f ca="1"/>
        <v>20302</v>
      </c>
      <c r="GG53" vm="1335">
        <f ca="1"/>
        <v>66321</v>
      </c>
      <c r="GH53" vm="1336">
        <f ca="1"/>
        <v>32948</v>
      </c>
      <c r="GI53" vm="1337">
        <f ca="1"/>
        <v>32724</v>
      </c>
      <c r="GJ53" vm="1338">
        <f ca="1"/>
        <v>44554</v>
      </c>
      <c r="GK53" vm="1339">
        <f ca="1"/>
        <v>29361</v>
      </c>
      <c r="GL53" vm="1340">
        <f ca="1"/>
        <v>22498</v>
      </c>
      <c r="GM53" vm="1341">
        <f ca="1"/>
        <v>41917</v>
      </c>
      <c r="GN53" vm="1342">
        <f ca="1"/>
        <v>23577</v>
      </c>
      <c r="GO53" vm="1343">
        <f ca="1"/>
        <v>18026</v>
      </c>
      <c r="GP53" vm="1344">
        <f ca="1"/>
        <v>32031</v>
      </c>
      <c r="GQ53" vm="1345">
        <f ca="1"/>
        <v>84017</v>
      </c>
      <c r="GR53" vm="1346">
        <f ca="1"/>
        <v>43155</v>
      </c>
      <c r="GS53" vm="1347">
        <f ca="1"/>
        <v>35334</v>
      </c>
      <c r="GT53" vm="1348">
        <f ca="1"/>
        <v>65359</v>
      </c>
      <c r="GU53" vm="1349">
        <f ca="1"/>
        <v>107455</v>
      </c>
      <c r="GV53" vm="1350">
        <f ca="1"/>
        <v>47415</v>
      </c>
      <c r="GW53" vm="1351">
        <f ca="1"/>
        <v>33604</v>
      </c>
      <c r="GX53" vm="1352">
        <f ca="1"/>
        <v>33616</v>
      </c>
      <c r="GY53" vm="1353">
        <f ca="1"/>
        <v>41664</v>
      </c>
      <c r="GZ53" vm="1354">
        <f ca="1"/>
        <v>21481</v>
      </c>
      <c r="HA53" vm="1355">
        <f ca="1"/>
        <v>35673</v>
      </c>
      <c r="HB53" vm="1356">
        <f ca="1"/>
        <v>27280</v>
      </c>
      <c r="HC53" vm="1357">
        <f ca="1"/>
        <v>49516</v>
      </c>
      <c r="HD53" vm="1358">
        <f ca="1"/>
        <v>50975</v>
      </c>
      <c r="HE53" vm="1359">
        <f ca="1"/>
        <v>36775</v>
      </c>
      <c r="HF53" vm="1360">
        <f ca="1"/>
        <v>37361</v>
      </c>
      <c r="HG53" vm="1361">
        <f ca="1"/>
        <v>33513</v>
      </c>
      <c r="HH53" vm="1362">
        <f ca="1"/>
        <v>39973</v>
      </c>
      <c r="HI53" vm="1363">
        <f ca="1"/>
        <v>41448</v>
      </c>
      <c r="HJ53" vm="1364">
        <f ca="1"/>
        <v>28984</v>
      </c>
      <c r="HK53" vm="1365">
        <f ca="1"/>
        <v>20898</v>
      </c>
      <c r="HL53" vm="1366">
        <f ca="1"/>
        <v>27624</v>
      </c>
      <c r="HM53" vm="1367">
        <f ca="1"/>
        <v>40968</v>
      </c>
      <c r="HN53" vm="1368">
        <f ca="1"/>
        <v>49920</v>
      </c>
      <c r="HO53" vm="1369">
        <f ca="1"/>
        <v>46711</v>
      </c>
      <c r="HP53" vm="1370">
        <f ca="1"/>
        <v>62938</v>
      </c>
      <c r="HQ53" vm="1371">
        <f ca="1"/>
        <v>21018</v>
      </c>
      <c r="HR53" vm="1372">
        <f ca="1"/>
        <v>25767</v>
      </c>
      <c r="HS53" vm="1373">
        <f ca="1"/>
        <v>26966</v>
      </c>
      <c r="HT53" vm="1374">
        <f ca="1"/>
        <v>35906</v>
      </c>
      <c r="HU53" vm="1375">
        <f ca="1"/>
        <v>80718</v>
      </c>
      <c r="HV53" vm="1376">
        <f ca="1"/>
        <v>17635</v>
      </c>
      <c r="HW53" vm="1377">
        <f ca="1"/>
        <v>22372</v>
      </c>
      <c r="HX53" vm="1378">
        <f ca="1"/>
        <v>33859</v>
      </c>
      <c r="HY53" vm="1379">
        <f ca="1"/>
        <v>37333</v>
      </c>
      <c r="HZ53" vm="1380">
        <f ca="1"/>
        <v>19195</v>
      </c>
      <c r="IA53" vm="1381">
        <f ca="1"/>
        <v>32122</v>
      </c>
      <c r="IB53" vm="1382">
        <f ca="1"/>
        <v>40428</v>
      </c>
      <c r="IC53" vm="1383">
        <f ca="1"/>
        <v>44174</v>
      </c>
      <c r="ID53" vm="1384">
        <f ca="1"/>
        <v>74395</v>
      </c>
      <c r="IE53" vm="1385">
        <f ca="1"/>
        <v>27387</v>
      </c>
      <c r="IF53" vm="1386">
        <f ca="1"/>
        <v>20955</v>
      </c>
      <c r="IG53" vm="1387">
        <f ca="1"/>
        <v>47807</v>
      </c>
      <c r="IH53" vm="1388">
        <f ca="1"/>
        <v>46536</v>
      </c>
      <c r="II53" vm="1389">
        <f ca="1"/>
        <v>25787</v>
      </c>
      <c r="IJ53" vm="1390">
        <f ca="1"/>
        <v>58877</v>
      </c>
      <c r="IK53" vm="1391">
        <f ca="1"/>
        <v>41235</v>
      </c>
      <c r="IL53" vm="1392">
        <f ca="1"/>
        <v>25296</v>
      </c>
      <c r="IM53" vm="1393">
        <f ca="1"/>
        <v>33808</v>
      </c>
      <c r="IN53" vm="1394">
        <f ca="1"/>
        <v>62130</v>
      </c>
      <c r="IO53" vm="1395">
        <f ca="1"/>
        <v>49419</v>
      </c>
      <c r="IP53" vm="1396">
        <f ca="1"/>
        <v>15763</v>
      </c>
      <c r="IQ53" vm="1397">
        <f ca="1"/>
        <v>21964</v>
      </c>
      <c r="IR53" vm="1398">
        <f ca="1"/>
        <v>22566</v>
      </c>
      <c r="IS53" vm="1399">
        <f ca="1"/>
        <v>19660</v>
      </c>
      <c r="IT53" vm="1400">
        <f ca="1"/>
        <v>16435</v>
      </c>
      <c r="IU53" vm="1401">
        <f ca="1"/>
        <v>66061</v>
      </c>
      <c r="IV53" vm="1402">
        <f ca="1"/>
        <v>49207</v>
      </c>
      <c r="IW53" vm="1403">
        <f ca="1"/>
        <v>37537</v>
      </c>
    </row>
    <row r="54" spans="2:267" x14ac:dyDescent="0.25">
      <c r="B54" t="str">
        <f>IF(C54="","",_xlfn.XLOOKUP(C54,Type_Compte,Num_Compte))</f>
        <v>20K6HE4</v>
      </c>
      <c r="C54" t="s">
        <v>158</v>
      </c>
      <c r="D54" t="e" vm="2">
        <v>#VALUE!</v>
      </c>
      <c r="E54" t="str" cm="1">
        <f t="array" aca="1" ref="E54" ca="1">_FV(D54,"Code mnémonique",TRUE)</f>
        <v>VCE</v>
      </c>
      <c r="F54" s="12">
        <f>_xlfn.XLOOKUP(D54,Titres[Action],Titres[Nb d''actions])</f>
        <v>1900</v>
      </c>
      <c r="G54" cm="1">
        <f t="array" aca="1" ref="G54:IW54" ca="1">IFERROR(TRANSPOSE(_xlfn.STOCKHISTORY(D54,TODAY()-365,TODAY(),0,0,1))*F54,"")</f>
        <v>100662.19</v>
      </c>
      <c r="H54">
        <f ca="1"/>
        <v>102125.19</v>
      </c>
      <c r="I54">
        <f ca="1"/>
        <v>102790.19</v>
      </c>
      <c r="J54">
        <f ca="1"/>
        <v>103835.19</v>
      </c>
      <c r="K54">
        <f ca="1"/>
        <v>103949.18999999999</v>
      </c>
      <c r="L54">
        <f ca="1"/>
        <v>104310.19</v>
      </c>
      <c r="M54">
        <f ca="1"/>
        <v>104766.18999999999</v>
      </c>
      <c r="N54">
        <f ca="1"/>
        <v>104462.19</v>
      </c>
      <c r="O54">
        <f ca="1"/>
        <v>104500.19</v>
      </c>
      <c r="P54">
        <f ca="1"/>
        <v>105507.18999999999</v>
      </c>
      <c r="Q54">
        <f ca="1"/>
        <v>105165.19</v>
      </c>
      <c r="R54">
        <f ca="1"/>
        <v>104956.19</v>
      </c>
      <c r="S54">
        <f ca="1"/>
        <v>105488.19</v>
      </c>
      <c r="T54">
        <f ca="1"/>
        <v>106001.19</v>
      </c>
      <c r="U54">
        <f ca="1"/>
        <v>106305.19</v>
      </c>
      <c r="V54">
        <f ca="1"/>
        <v>107312.19</v>
      </c>
      <c r="W54">
        <f ca="1"/>
        <v>107578.19</v>
      </c>
      <c r="X54">
        <f ca="1"/>
        <v>108110.19</v>
      </c>
      <c r="Y54">
        <f ca="1"/>
        <v>109041.18999999999</v>
      </c>
      <c r="Z54">
        <f ca="1"/>
        <v>109269.19</v>
      </c>
      <c r="AA54">
        <f ca="1"/>
        <v>109421.19</v>
      </c>
      <c r="AB54">
        <f ca="1"/>
        <v>108452.19</v>
      </c>
      <c r="AC54">
        <f ca="1"/>
        <v>108528.19</v>
      </c>
      <c r="AD54">
        <f ca="1"/>
        <v>108528.19</v>
      </c>
      <c r="AE54">
        <f ca="1"/>
        <v>109174.18999999999</v>
      </c>
      <c r="AF54">
        <f ca="1"/>
        <v>110143.19</v>
      </c>
      <c r="AG54">
        <f ca="1"/>
        <v>110238.19</v>
      </c>
      <c r="AH54">
        <f ca="1"/>
        <v>109915.19</v>
      </c>
      <c r="AI54">
        <f ca="1"/>
        <v>109782.18999999999</v>
      </c>
      <c r="AJ54">
        <f ca="1"/>
        <v>110675.19</v>
      </c>
      <c r="AK54">
        <f ca="1"/>
        <v>110694.19</v>
      </c>
      <c r="AL54">
        <f ca="1"/>
        <v>110124.18999999999</v>
      </c>
      <c r="AM54">
        <f ca="1"/>
        <v>110086.19</v>
      </c>
      <c r="AN54">
        <f ca="1"/>
        <v>110580.19</v>
      </c>
      <c r="AO54">
        <f ca="1"/>
        <v>110181.19</v>
      </c>
      <c r="AP54">
        <f ca="1"/>
        <v>110466.18999999999</v>
      </c>
      <c r="AQ54">
        <f ca="1"/>
        <v>110960.19</v>
      </c>
      <c r="AR54">
        <f ca="1"/>
        <v>111150.19</v>
      </c>
      <c r="AS54">
        <f ca="1"/>
        <v>110713.19</v>
      </c>
      <c r="AT54">
        <f ca="1"/>
        <v>111074.18999999999</v>
      </c>
      <c r="AU54">
        <f ca="1"/>
        <v>110941.18999999999</v>
      </c>
      <c r="AV54">
        <f ca="1"/>
        <v>110998.19</v>
      </c>
      <c r="AW54">
        <f ca="1"/>
        <v>110789.19</v>
      </c>
      <c r="AX54">
        <f ca="1"/>
        <v>109915.19</v>
      </c>
      <c r="AY54">
        <f ca="1"/>
        <v>110447.19</v>
      </c>
      <c r="AZ54">
        <f ca="1"/>
        <v>111017.19</v>
      </c>
      <c r="BA54">
        <f ca="1"/>
        <v>110295.19</v>
      </c>
      <c r="BB54">
        <f ca="1"/>
        <v>110884.19</v>
      </c>
      <c r="BC54">
        <f ca="1"/>
        <v>110770.19</v>
      </c>
      <c r="BD54">
        <f ca="1"/>
        <v>111378.19</v>
      </c>
      <c r="BE54">
        <f ca="1"/>
        <v>111378.19</v>
      </c>
      <c r="BF54">
        <f ca="1"/>
        <v>112119.19</v>
      </c>
      <c r="BG54">
        <f ca="1"/>
        <v>112062.19</v>
      </c>
      <c r="BH54">
        <f ca="1"/>
        <v>111948.19</v>
      </c>
      <c r="BI54">
        <f ca="1"/>
        <v>111454.19</v>
      </c>
      <c r="BJ54">
        <f ca="1"/>
        <v>111796.19</v>
      </c>
      <c r="BK54">
        <f ca="1"/>
        <v>112328.19</v>
      </c>
      <c r="BL54">
        <f ca="1"/>
        <v>111910.19</v>
      </c>
      <c r="BM54">
        <f ca="1"/>
        <v>112746.19</v>
      </c>
      <c r="BN54">
        <f ca="1"/>
        <v>112062.19</v>
      </c>
      <c r="BO54">
        <f ca="1"/>
        <v>112613.19</v>
      </c>
      <c r="BP54">
        <f ca="1"/>
        <v>113791.18999999999</v>
      </c>
      <c r="BQ54">
        <f ca="1"/>
        <v>113382.69</v>
      </c>
      <c r="BR54">
        <f ca="1"/>
        <v>113259.19</v>
      </c>
      <c r="BS54">
        <f ca="1"/>
        <v>113420.68999999999</v>
      </c>
      <c r="BT54">
        <f ca="1"/>
        <v>113601.19</v>
      </c>
      <c r="BU54">
        <f ca="1"/>
        <v>113487.19</v>
      </c>
      <c r="BV54">
        <f ca="1"/>
        <v>114057.18999999999</v>
      </c>
      <c r="BW54">
        <f ca="1"/>
        <v>113715.19</v>
      </c>
      <c r="BX54">
        <f ca="1"/>
        <v>114057.18999999999</v>
      </c>
      <c r="BY54">
        <f ca="1"/>
        <v>113525.19</v>
      </c>
      <c r="BZ54">
        <f ca="1"/>
        <v>113107.18999999999</v>
      </c>
      <c r="CA54">
        <f ca="1"/>
        <v>112043.19</v>
      </c>
      <c r="CB54">
        <f ca="1"/>
        <v>114152.19</v>
      </c>
      <c r="CC54">
        <f ca="1"/>
        <v>115900.19</v>
      </c>
      <c r="CD54">
        <f ca="1"/>
        <v>115083.18999999999</v>
      </c>
      <c r="CE54">
        <f ca="1"/>
        <v>114950.19</v>
      </c>
      <c r="CF54">
        <f ca="1"/>
        <v>114988.19</v>
      </c>
      <c r="CG54">
        <f ca="1"/>
        <v>115425.19</v>
      </c>
      <c r="CH54">
        <f ca="1"/>
        <v>115710.19</v>
      </c>
      <c r="CI54">
        <f ca="1"/>
        <v>115368.19</v>
      </c>
      <c r="CJ54">
        <f ca="1"/>
        <v>115254.19</v>
      </c>
      <c r="CK54">
        <f ca="1"/>
        <v>115349.18999999999</v>
      </c>
      <c r="CL54">
        <f ca="1"/>
        <v>115235.19</v>
      </c>
      <c r="CM54">
        <f ca="1"/>
        <v>115482.18999999999</v>
      </c>
      <c r="CN54">
        <f ca="1"/>
        <v>115995.19</v>
      </c>
      <c r="CO54">
        <f ca="1"/>
        <v>117173.19</v>
      </c>
      <c r="CP54">
        <f ca="1"/>
        <v>116489.19</v>
      </c>
      <c r="CQ54">
        <f ca="1"/>
        <v>117211.19</v>
      </c>
      <c r="CR54">
        <f ca="1"/>
        <v>117648.19</v>
      </c>
      <c r="CS54">
        <f ca="1"/>
        <v>117648.19</v>
      </c>
      <c r="CT54">
        <f ca="1"/>
        <v>118218.19</v>
      </c>
      <c r="CU54">
        <f ca="1"/>
        <v>118408.18999999999</v>
      </c>
      <c r="CV54">
        <f ca="1"/>
        <v>118845.19</v>
      </c>
      <c r="CW54">
        <f ca="1"/>
        <v>119700.19</v>
      </c>
      <c r="CX54">
        <f ca="1"/>
        <v>120023.19</v>
      </c>
      <c r="CY54">
        <f ca="1"/>
        <v>119814.19</v>
      </c>
      <c r="CZ54">
        <f ca="1"/>
        <v>120061.19</v>
      </c>
      <c r="DA54">
        <f ca="1"/>
        <v>120346.19</v>
      </c>
      <c r="DB54">
        <f ca="1"/>
        <v>121296.19</v>
      </c>
      <c r="DC54">
        <f ca="1"/>
        <v>120821.19</v>
      </c>
      <c r="DD54">
        <f ca="1"/>
        <v>121334.19</v>
      </c>
      <c r="DE54">
        <f ca="1"/>
        <v>121011.19</v>
      </c>
      <c r="DF54">
        <f ca="1"/>
        <v>121201.19</v>
      </c>
      <c r="DG54">
        <f ca="1"/>
        <v>121866.19</v>
      </c>
      <c r="DH54">
        <f ca="1"/>
        <v>122341.19</v>
      </c>
      <c r="DI54">
        <f ca="1"/>
        <v>122911.19</v>
      </c>
      <c r="DJ54">
        <f ca="1"/>
        <v>122417.18999999999</v>
      </c>
      <c r="DK54">
        <f ca="1"/>
        <v>122056.19</v>
      </c>
      <c r="DL54">
        <f ca="1"/>
        <v>121885.18999999999</v>
      </c>
      <c r="DM54">
        <f ca="1"/>
        <v>121847.19</v>
      </c>
      <c r="DN54">
        <f ca="1"/>
        <v>122835.18999999999</v>
      </c>
      <c r="DO54">
        <f ca="1"/>
        <v>123025.19</v>
      </c>
      <c r="DP54">
        <f ca="1"/>
        <v>123367.18999999999</v>
      </c>
      <c r="DQ54">
        <f ca="1"/>
        <v>123595.19</v>
      </c>
      <c r="DR54">
        <f ca="1"/>
        <v>124944.18999999999</v>
      </c>
      <c r="DS54">
        <f ca="1"/>
        <v>125058.18999999999</v>
      </c>
      <c r="DT54">
        <f ca="1"/>
        <v>124317.18999999999</v>
      </c>
      <c r="DU54">
        <f ca="1"/>
        <v>124697.19</v>
      </c>
      <c r="DV54">
        <f ca="1"/>
        <v>123918.19</v>
      </c>
      <c r="DW54">
        <f ca="1"/>
        <v>122189.19000000002</v>
      </c>
      <c r="DX54">
        <f ca="1"/>
        <v>124032.19</v>
      </c>
      <c r="DY54">
        <f ca="1"/>
        <v>125134.19</v>
      </c>
      <c r="DZ54">
        <f ca="1"/>
        <v>124298.19</v>
      </c>
      <c r="EA54">
        <f ca="1"/>
        <v>123158.18999999999</v>
      </c>
      <c r="EB54">
        <f ca="1"/>
        <v>124355.19000000002</v>
      </c>
      <c r="EC54">
        <f ca="1"/>
        <v>122436.19</v>
      </c>
      <c r="ED54">
        <f ca="1"/>
        <v>122835.18999999999</v>
      </c>
      <c r="EE54">
        <f ca="1"/>
        <v>123633.18999999999</v>
      </c>
      <c r="EF54">
        <f ca="1"/>
        <v>124355.19000000002</v>
      </c>
      <c r="EG54">
        <f ca="1"/>
        <v>124279.19</v>
      </c>
      <c r="EH54">
        <f ca="1"/>
        <v>124811.19</v>
      </c>
      <c r="EI54">
        <f ca="1"/>
        <v>123671.19000000002</v>
      </c>
      <c r="EJ54">
        <f ca="1"/>
        <v>123785.18999999999</v>
      </c>
      <c r="EK54">
        <f ca="1"/>
        <v>124127.19</v>
      </c>
      <c r="EL54">
        <f ca="1"/>
        <v>124279.19</v>
      </c>
      <c r="EM54">
        <f ca="1"/>
        <v>122398.19</v>
      </c>
      <c r="EN54">
        <f ca="1"/>
        <v>123709.19</v>
      </c>
      <c r="EO54">
        <f ca="1"/>
        <v>122759.19</v>
      </c>
      <c r="EP54">
        <f ca="1"/>
        <v>122588.19</v>
      </c>
      <c r="EQ54">
        <f ca="1"/>
        <v>124279.19</v>
      </c>
      <c r="ER54">
        <f ca="1"/>
        <v>124735.18999999999</v>
      </c>
      <c r="ES54">
        <f ca="1"/>
        <v>126312.18999999999</v>
      </c>
      <c r="ET54">
        <f ca="1"/>
        <v>124032.19</v>
      </c>
      <c r="EU54">
        <f ca="1"/>
        <v>124545.19</v>
      </c>
      <c r="EV54">
        <f ca="1"/>
        <v>123538.19</v>
      </c>
      <c r="EW54">
        <f ca="1"/>
        <v>123367.18999999999</v>
      </c>
      <c r="EX54">
        <f ca="1"/>
        <v>124279.19</v>
      </c>
      <c r="EY54">
        <f ca="1"/>
        <v>123063.19</v>
      </c>
      <c r="EZ54">
        <f ca="1"/>
        <v>124089.19000000002</v>
      </c>
      <c r="FA54">
        <f ca="1"/>
        <v>125723.19</v>
      </c>
      <c r="FB54">
        <f ca="1"/>
        <v>126977.19</v>
      </c>
      <c r="FC54">
        <f ca="1"/>
        <v>128003.18999999999</v>
      </c>
      <c r="FD54">
        <f ca="1"/>
        <v>128212.18999999999</v>
      </c>
      <c r="FE54">
        <f ca="1"/>
        <v>128706.19</v>
      </c>
      <c r="FF54">
        <f ca="1"/>
        <v>127471.19000000002</v>
      </c>
      <c r="FG54">
        <f ca="1"/>
        <v>127281.19</v>
      </c>
      <c r="FH54">
        <f ca="1"/>
        <v>127851.18999999999</v>
      </c>
      <c r="FI54">
        <f ca="1"/>
        <v>129200.19</v>
      </c>
      <c r="FJ54">
        <f ca="1"/>
        <v>128440.19</v>
      </c>
      <c r="FK54">
        <f ca="1"/>
        <v>128060.18999999999</v>
      </c>
      <c r="FL54">
        <f ca="1"/>
        <v>128326.18999999999</v>
      </c>
      <c r="FM54">
        <f ca="1"/>
        <v>129238.19</v>
      </c>
      <c r="FN54">
        <f ca="1"/>
        <v>129960.18999999999</v>
      </c>
      <c r="FO54">
        <f ca="1"/>
        <v>129466.19</v>
      </c>
      <c r="FP54">
        <f ca="1"/>
        <v>129352.19</v>
      </c>
      <c r="FQ54">
        <f ca="1"/>
        <v>128459.19</v>
      </c>
      <c r="FR54">
        <f ca="1"/>
        <v>128288.19</v>
      </c>
      <c r="FS54">
        <f ca="1"/>
        <v>129181.19</v>
      </c>
      <c r="FT54">
        <f ca="1"/>
        <v>130397.19</v>
      </c>
      <c r="FU54">
        <f ca="1"/>
        <v>131214.19</v>
      </c>
      <c r="FV54">
        <f ca="1"/>
        <v>131518.19</v>
      </c>
      <c r="FW54">
        <f ca="1"/>
        <v>131404.19</v>
      </c>
      <c r="FX54">
        <f ca="1"/>
        <v>131157.19</v>
      </c>
      <c r="FY54">
        <f ca="1"/>
        <v>130245</v>
      </c>
      <c r="FZ54">
        <f ca="1"/>
        <v>129618</v>
      </c>
      <c r="GA54">
        <f ca="1"/>
        <v>130339.99999999999</v>
      </c>
      <c r="GB54">
        <f ca="1"/>
        <v>131594</v>
      </c>
      <c r="GC54">
        <f ca="1"/>
        <v>132240</v>
      </c>
      <c r="GD54">
        <f ca="1"/>
        <v>131043</v>
      </c>
      <c r="GE54">
        <f ca="1"/>
        <v>132164</v>
      </c>
      <c r="GF54">
        <f ca="1"/>
        <v>133057</v>
      </c>
      <c r="GG54">
        <f ca="1"/>
        <v>133893</v>
      </c>
      <c r="GH54">
        <f ca="1"/>
        <v>133893</v>
      </c>
      <c r="GI54">
        <f ca="1"/>
        <v>134007</v>
      </c>
      <c r="GJ54">
        <f ca="1"/>
        <v>134463</v>
      </c>
      <c r="GK54">
        <f ca="1"/>
        <v>134311</v>
      </c>
      <c r="GL54">
        <f ca="1"/>
        <v>134254</v>
      </c>
      <c r="GM54">
        <f ca="1"/>
        <v>132620</v>
      </c>
      <c r="GN54">
        <f ca="1"/>
        <v>133152</v>
      </c>
      <c r="GO54">
        <f ca="1"/>
        <v>133380</v>
      </c>
      <c r="GP54">
        <f ca="1"/>
        <v>133874</v>
      </c>
      <c r="GQ54">
        <f ca="1"/>
        <v>133722</v>
      </c>
      <c r="GR54">
        <f ca="1"/>
        <v>133570</v>
      </c>
      <c r="GS54">
        <f ca="1"/>
        <v>133703</v>
      </c>
      <c r="GT54">
        <f ca="1"/>
        <v>133418</v>
      </c>
      <c r="GU54">
        <f ca="1"/>
        <v>129485.00000000001</v>
      </c>
      <c r="GV54">
        <f ca="1"/>
        <v>130720</v>
      </c>
      <c r="GW54">
        <f ca="1"/>
        <v>131119</v>
      </c>
      <c r="GX54">
        <f ca="1"/>
        <v>131727</v>
      </c>
      <c r="GY54">
        <f ca="1"/>
        <v>129960.00000000001</v>
      </c>
      <c r="GZ54">
        <f ca="1"/>
        <v>131537</v>
      </c>
      <c r="HA54">
        <f ca="1"/>
        <v>133684</v>
      </c>
      <c r="HB54">
        <f ca="1"/>
        <v>134862</v>
      </c>
      <c r="HC54">
        <f ca="1"/>
        <v>134482</v>
      </c>
      <c r="HD54">
        <f ca="1"/>
        <v>131575</v>
      </c>
      <c r="HE54">
        <f ca="1"/>
        <v>133722</v>
      </c>
      <c r="HF54">
        <f ca="1"/>
        <v>133304</v>
      </c>
      <c r="HG54">
        <f ca="1"/>
        <v>135337</v>
      </c>
      <c r="HH54">
        <f ca="1"/>
        <v>135869</v>
      </c>
      <c r="HI54">
        <f ca="1"/>
        <v>136838</v>
      </c>
      <c r="HJ54">
        <f ca="1"/>
        <v>136382</v>
      </c>
      <c r="HK54">
        <f ca="1"/>
        <v>136914</v>
      </c>
      <c r="HL54">
        <f ca="1"/>
        <v>137731</v>
      </c>
      <c r="HM54">
        <f ca="1"/>
        <v>139080</v>
      </c>
      <c r="HN54">
        <f ca="1"/>
        <v>138225</v>
      </c>
      <c r="HO54">
        <f ca="1"/>
        <v>139080</v>
      </c>
      <c r="HP54">
        <f ca="1"/>
        <v>136496</v>
      </c>
      <c r="HQ54">
        <f ca="1"/>
        <v>137180</v>
      </c>
      <c r="HR54">
        <f ca="1"/>
        <v>136154</v>
      </c>
      <c r="HS54">
        <f ca="1"/>
        <v>133969</v>
      </c>
      <c r="HT54">
        <f ca="1"/>
        <v>134520</v>
      </c>
      <c r="HU54">
        <f ca="1"/>
        <v>134691</v>
      </c>
      <c r="HV54">
        <f ca="1"/>
        <v>134178</v>
      </c>
      <c r="HW54">
        <f ca="1"/>
        <v>133152</v>
      </c>
      <c r="HX54">
        <f ca="1"/>
        <v>132240</v>
      </c>
      <c r="HY54">
        <f ca="1"/>
        <v>133741</v>
      </c>
      <c r="HZ54">
        <f ca="1"/>
        <v>134026</v>
      </c>
      <c r="IA54">
        <f ca="1"/>
        <v>131670</v>
      </c>
      <c r="IB54">
        <f ca="1"/>
        <v>130093</v>
      </c>
      <c r="IC54">
        <f ca="1"/>
        <v>127129</v>
      </c>
      <c r="ID54">
        <f ca="1"/>
        <v>129561</v>
      </c>
      <c r="IE54">
        <f ca="1"/>
        <v>129598.99999999999</v>
      </c>
      <c r="IF54">
        <f ca="1"/>
        <v>131423</v>
      </c>
      <c r="IG54">
        <f ca="1"/>
        <v>129523</v>
      </c>
      <c r="IH54">
        <f ca="1"/>
        <v>129561</v>
      </c>
      <c r="II54">
        <f ca="1"/>
        <v>129751.00000000001</v>
      </c>
      <c r="IJ54">
        <f ca="1"/>
        <v>132943</v>
      </c>
      <c r="IK54">
        <f ca="1"/>
        <v>133608</v>
      </c>
      <c r="IL54">
        <f ca="1"/>
        <v>134406</v>
      </c>
      <c r="IM54">
        <f ca="1"/>
        <v>134672</v>
      </c>
      <c r="IN54">
        <f ca="1"/>
        <v>134881</v>
      </c>
      <c r="IO54">
        <f ca="1"/>
        <v>136496</v>
      </c>
      <c r="IP54">
        <f ca="1"/>
        <v>135888</v>
      </c>
      <c r="IQ54">
        <f ca="1"/>
        <v>136800</v>
      </c>
      <c r="IR54">
        <f ca="1"/>
        <v>137522</v>
      </c>
      <c r="IS54">
        <f ca="1"/>
        <v>138472</v>
      </c>
      <c r="IT54">
        <f ca="1"/>
        <v>138852</v>
      </c>
      <c r="IU54">
        <f ca="1"/>
        <v>138396</v>
      </c>
      <c r="IV54">
        <f ca="1"/>
        <v>139593</v>
      </c>
      <c r="IW54">
        <f ca="1"/>
        <v>139574</v>
      </c>
    </row>
    <row r="55" spans="2:267" x14ac:dyDescent="0.25">
      <c r="B55" t="str">
        <f>IF(C55="","",_xlfn.XLOOKUP(C55,Type_Compte,Num_Compte))</f>
        <v>20K6HE4</v>
      </c>
      <c r="C55" t="s">
        <v>158</v>
      </c>
      <c r="D55" t="e" vm="567">
        <v>#VALUE!</v>
      </c>
      <c r="E55" t="str" cm="1">
        <f t="array" aca="1" ref="E55" ca="1">_FV(D55,"Code mnémonique",TRUE)</f>
        <v>VFV</v>
      </c>
      <c r="F55" s="12">
        <f>_xlfn.XLOOKUP(D55,Titres[Action],Titres[Nb d''actions])</f>
        <v>350</v>
      </c>
      <c r="G55" cm="1">
        <f t="array" aca="1" ref="G55:IW55" ca="1">IFERROR(TRANSPOSE(_xlfn.STOCKHISTORY(D55,TODAY()-365,TODAY(),0,0,1))*F55,"")</f>
        <v>44310</v>
      </c>
      <c r="H55">
        <f ca="1"/>
        <v>45370.5</v>
      </c>
      <c r="I55">
        <f ca="1"/>
        <v>46371.5</v>
      </c>
      <c r="J55">
        <f ca="1"/>
        <v>47176.5</v>
      </c>
      <c r="K55">
        <f ca="1"/>
        <v>47558</v>
      </c>
      <c r="L55">
        <f ca="1"/>
        <v>47411</v>
      </c>
      <c r="M55">
        <f ca="1"/>
        <v>47740</v>
      </c>
      <c r="N55">
        <f ca="1"/>
        <v>47645.5</v>
      </c>
      <c r="O55">
        <f ca="1"/>
        <v>48125</v>
      </c>
      <c r="P55">
        <f ca="1"/>
        <v>48755.000000000007</v>
      </c>
      <c r="Q55">
        <f ca="1"/>
        <v>48440</v>
      </c>
      <c r="R55">
        <f ca="1"/>
        <v>47925.5</v>
      </c>
      <c r="S55">
        <f ca="1"/>
        <v>48373.5</v>
      </c>
      <c r="T55">
        <f ca="1"/>
        <v>48944</v>
      </c>
      <c r="U55">
        <f ca="1"/>
        <v>48961.499999999993</v>
      </c>
      <c r="V55">
        <f ca="1"/>
        <v>50778.000000000007</v>
      </c>
      <c r="W55">
        <f ca="1"/>
        <v>50925</v>
      </c>
      <c r="X55">
        <f ca="1"/>
        <v>51138.500000000007</v>
      </c>
      <c r="Y55">
        <f ca="1"/>
        <v>51268</v>
      </c>
      <c r="Z55">
        <f ca="1"/>
        <v>51747.5</v>
      </c>
      <c r="AA55">
        <f ca="1"/>
        <v>51376.5</v>
      </c>
      <c r="AB55">
        <f ca="1"/>
        <v>50354.5</v>
      </c>
      <c r="AC55">
        <f ca="1"/>
        <v>50326.5</v>
      </c>
      <c r="AD55">
        <f ca="1"/>
        <v>49493.5</v>
      </c>
      <c r="AE55">
        <f ca="1"/>
        <v>50253.000000000007</v>
      </c>
      <c r="AF55">
        <f ca="1"/>
        <v>50848</v>
      </c>
      <c r="AG55">
        <f ca="1"/>
        <v>50662.5</v>
      </c>
      <c r="AH55">
        <f ca="1"/>
        <v>50743</v>
      </c>
      <c r="AI55">
        <f ca="1"/>
        <v>50382.499999999993</v>
      </c>
      <c r="AJ55">
        <f ca="1"/>
        <v>50575</v>
      </c>
      <c r="AK55">
        <f ca="1"/>
        <v>50939</v>
      </c>
      <c r="AL55">
        <f ca="1"/>
        <v>50798.999999999993</v>
      </c>
      <c r="AM55">
        <f ca="1"/>
        <v>50424.5</v>
      </c>
      <c r="AN55">
        <f ca="1"/>
        <v>51107</v>
      </c>
      <c r="AO55">
        <f ca="1"/>
        <v>51100</v>
      </c>
      <c r="AP55">
        <f ca="1"/>
        <v>51359</v>
      </c>
      <c r="AQ55">
        <f ca="1"/>
        <v>51213.749999999993</v>
      </c>
      <c r="AR55">
        <f ca="1"/>
        <v>51142</v>
      </c>
      <c r="AS55">
        <f ca="1"/>
        <v>50491</v>
      </c>
      <c r="AT55">
        <f ca="1"/>
        <v>50960</v>
      </c>
      <c r="AU55">
        <f ca="1"/>
        <v>50798.999999999993</v>
      </c>
      <c r="AV55">
        <f ca="1"/>
        <v>50977.5</v>
      </c>
      <c r="AW55">
        <f ca="1"/>
        <v>50788.500000000007</v>
      </c>
      <c r="AX55">
        <f ca="1"/>
        <v>51009</v>
      </c>
      <c r="AY55">
        <f ca="1"/>
        <v>51485</v>
      </c>
      <c r="AZ55">
        <f ca="1"/>
        <v>52038</v>
      </c>
      <c r="BA55">
        <f ca="1"/>
        <v>52027.5</v>
      </c>
      <c r="BB55">
        <f ca="1"/>
        <v>52121.999999999993</v>
      </c>
      <c r="BC55">
        <f ca="1"/>
        <v>52605.000000000007</v>
      </c>
      <c r="BD55">
        <f ca="1"/>
        <v>52454.5</v>
      </c>
      <c r="BE55">
        <f ca="1"/>
        <v>52500</v>
      </c>
      <c r="BF55">
        <f ca="1"/>
        <v>52902.5</v>
      </c>
      <c r="BG55">
        <f ca="1"/>
        <v>52769.5</v>
      </c>
      <c r="BH55">
        <f ca="1"/>
        <v>52843</v>
      </c>
      <c r="BI55">
        <f ca="1"/>
        <v>52874.5</v>
      </c>
      <c r="BJ55">
        <f ca="1"/>
        <v>53189.5</v>
      </c>
      <c r="BK55">
        <f ca="1"/>
        <v>53266.5</v>
      </c>
      <c r="BL55">
        <f ca="1"/>
        <v>53166.75</v>
      </c>
      <c r="BM55">
        <f ca="1"/>
        <v>53315.500000000007</v>
      </c>
      <c r="BN55">
        <f ca="1"/>
        <v>53186</v>
      </c>
      <c r="BO55">
        <f ca="1"/>
        <v>53200</v>
      </c>
      <c r="BP55">
        <f ca="1"/>
        <v>53735.5</v>
      </c>
      <c r="BQ55">
        <f ca="1"/>
        <v>53655.000000000007</v>
      </c>
      <c r="BR55">
        <f ca="1"/>
        <v>53571</v>
      </c>
      <c r="BS55">
        <f ca="1"/>
        <v>53284</v>
      </c>
      <c r="BT55">
        <f ca="1"/>
        <v>53679.5</v>
      </c>
      <c r="BU55">
        <f ca="1"/>
        <v>53907</v>
      </c>
      <c r="BV55">
        <f ca="1"/>
        <v>54379.5</v>
      </c>
      <c r="BW55">
        <f ca="1"/>
        <v>54488</v>
      </c>
      <c r="BX55">
        <f ca="1"/>
        <v>54509</v>
      </c>
      <c r="BY55">
        <f ca="1"/>
        <v>54673.5</v>
      </c>
      <c r="BZ55">
        <f ca="1"/>
        <v>54568.5</v>
      </c>
      <c r="CA55">
        <f ca="1"/>
        <v>53455.5</v>
      </c>
      <c r="CB55">
        <f ca="1"/>
        <v>53875.5</v>
      </c>
      <c r="CC55">
        <f ca="1"/>
        <v>54141.5</v>
      </c>
      <c r="CD55">
        <f ca="1"/>
        <v>54117</v>
      </c>
      <c r="CE55">
        <f ca="1"/>
        <v>54575.5</v>
      </c>
      <c r="CF55">
        <f ca="1"/>
        <v>54575.5</v>
      </c>
      <c r="CG55">
        <f ca="1"/>
        <v>55163.500000000007</v>
      </c>
      <c r="CH55">
        <f ca="1"/>
        <v>55275.5</v>
      </c>
      <c r="CI55">
        <f ca="1"/>
        <v>55503.000000000007</v>
      </c>
      <c r="CJ55">
        <f ca="1"/>
        <v>55356</v>
      </c>
      <c r="CK55">
        <f ca="1"/>
        <v>55324.5</v>
      </c>
      <c r="CL55">
        <f ca="1"/>
        <v>55247.5</v>
      </c>
      <c r="CM55">
        <f ca="1"/>
        <v>55132</v>
      </c>
      <c r="CN55">
        <f ca="1"/>
        <v>55048</v>
      </c>
      <c r="CO55">
        <f ca="1"/>
        <v>55562.5</v>
      </c>
      <c r="CP55">
        <f ca="1"/>
        <v>55475</v>
      </c>
      <c r="CQ55">
        <f ca="1"/>
        <v>55601.000000000007</v>
      </c>
      <c r="CR55">
        <f ca="1"/>
        <v>55544.999999999993</v>
      </c>
      <c r="CS55">
        <f ca="1"/>
        <v>55590.500000000007</v>
      </c>
      <c r="CT55">
        <f ca="1"/>
        <v>55111</v>
      </c>
      <c r="CU55">
        <f ca="1"/>
        <v>54981.5</v>
      </c>
      <c r="CV55">
        <f ca="1"/>
        <v>55303.5</v>
      </c>
      <c r="CW55">
        <f ca="1"/>
        <v>55884.499999999993</v>
      </c>
      <c r="CX55">
        <f ca="1"/>
        <v>55828.5</v>
      </c>
      <c r="CY55">
        <f ca="1"/>
        <v>55790</v>
      </c>
      <c r="CZ55">
        <f ca="1"/>
        <v>56136.499999999993</v>
      </c>
      <c r="DA55">
        <f ca="1"/>
        <v>56336</v>
      </c>
      <c r="DB55">
        <f ca="1"/>
        <v>56675.5</v>
      </c>
      <c r="DC55">
        <f ca="1"/>
        <v>56707</v>
      </c>
      <c r="DD55">
        <f ca="1"/>
        <v>56675.5</v>
      </c>
      <c r="DE55">
        <f ca="1"/>
        <v>56511</v>
      </c>
      <c r="DF55">
        <f ca="1"/>
        <v>56521.5</v>
      </c>
      <c r="DG55">
        <f ca="1"/>
        <v>56917</v>
      </c>
      <c r="DH55">
        <f ca="1"/>
        <v>57148</v>
      </c>
      <c r="DI55">
        <f ca="1"/>
        <v>57575</v>
      </c>
      <c r="DJ55">
        <f ca="1"/>
        <v>57323</v>
      </c>
      <c r="DK55">
        <f ca="1"/>
        <v>57407</v>
      </c>
      <c r="DL55">
        <f ca="1"/>
        <v>57294.999999999993</v>
      </c>
      <c r="DM55">
        <f ca="1"/>
        <v>57596</v>
      </c>
      <c r="DN55">
        <f ca="1"/>
        <v>57519</v>
      </c>
      <c r="DO55">
        <f ca="1"/>
        <v>57746.5</v>
      </c>
      <c r="DP55">
        <f ca="1"/>
        <v>58068.5</v>
      </c>
      <c r="DQ55">
        <f ca="1"/>
        <v>58198</v>
      </c>
      <c r="DR55">
        <f ca="1"/>
        <v>58138.500000000007</v>
      </c>
      <c r="DS55">
        <f ca="1"/>
        <v>58362.5</v>
      </c>
      <c r="DT55">
        <f ca="1"/>
        <v>58131.5</v>
      </c>
      <c r="DU55">
        <f ca="1"/>
        <v>58506</v>
      </c>
      <c r="DV55">
        <f ca="1"/>
        <v>58600.5</v>
      </c>
      <c r="DW55">
        <f ca="1"/>
        <v>56990.500000000007</v>
      </c>
      <c r="DX55">
        <f ca="1"/>
        <v>57932</v>
      </c>
      <c r="DY55">
        <f ca="1"/>
        <v>58187.5</v>
      </c>
      <c r="DZ55">
        <f ca="1"/>
        <v>57819.999999999993</v>
      </c>
      <c r="EA55">
        <f ca="1"/>
        <v>57984.499999999993</v>
      </c>
      <c r="EB55">
        <f ca="1"/>
        <v>58677.5</v>
      </c>
      <c r="EC55">
        <f ca="1"/>
        <v>58611</v>
      </c>
      <c r="ED55">
        <f ca="1"/>
        <v>58194.5</v>
      </c>
      <c r="EE55">
        <f ca="1"/>
        <v>58516.5</v>
      </c>
      <c r="EF55">
        <f ca="1"/>
        <v>59038</v>
      </c>
      <c r="EG55">
        <f ca="1"/>
        <v>59744.999999999993</v>
      </c>
      <c r="EH55">
        <f ca="1"/>
        <v>59654</v>
      </c>
      <c r="EI55">
        <f ca="1"/>
        <v>59713.500000000007</v>
      </c>
      <c r="EJ55">
        <f ca="1"/>
        <v>59269</v>
      </c>
      <c r="EK55">
        <f ca="1"/>
        <v>59598</v>
      </c>
      <c r="EL55">
        <f ca="1"/>
        <v>59780.000000000007</v>
      </c>
      <c r="EM55">
        <f ca="1"/>
        <v>59265.500000000007</v>
      </c>
      <c r="EN55">
        <f ca="1"/>
        <v>59545.5</v>
      </c>
      <c r="EO55">
        <f ca="1"/>
        <v>58908.5</v>
      </c>
      <c r="EP55">
        <f ca="1"/>
        <v>58649.5</v>
      </c>
      <c r="EQ55">
        <f ca="1"/>
        <v>59482.499999999993</v>
      </c>
      <c r="ER55">
        <f ca="1"/>
        <v>59584</v>
      </c>
      <c r="ES55">
        <f ca="1"/>
        <v>59578.75</v>
      </c>
      <c r="ET55">
        <f ca="1"/>
        <v>58733.5</v>
      </c>
      <c r="EU55">
        <f ca="1"/>
        <v>58646</v>
      </c>
      <c r="EV55">
        <f ca="1"/>
        <v>58268</v>
      </c>
      <c r="EW55">
        <f ca="1"/>
        <v>57501.5</v>
      </c>
      <c r="EX55">
        <f ca="1"/>
        <v>58044</v>
      </c>
      <c r="EY55">
        <f ca="1"/>
        <v>57316</v>
      </c>
      <c r="EZ55">
        <f ca="1"/>
        <v>57830.5</v>
      </c>
      <c r="FA55">
        <f ca="1"/>
        <v>58765</v>
      </c>
      <c r="FB55">
        <f ca="1"/>
        <v>59314.5</v>
      </c>
      <c r="FC55">
        <f ca="1"/>
        <v>59479</v>
      </c>
      <c r="FD55">
        <f ca="1"/>
        <v>59598</v>
      </c>
      <c r="FE55">
        <f ca="1"/>
        <v>59528.000000000007</v>
      </c>
      <c r="FF55">
        <f ca="1"/>
        <v>59276.000000000007</v>
      </c>
      <c r="FG55">
        <f ca="1"/>
        <v>59346</v>
      </c>
      <c r="FH55">
        <f ca="1"/>
        <v>59423</v>
      </c>
      <c r="FI55">
        <f ca="1"/>
        <v>59503.5</v>
      </c>
      <c r="FJ55">
        <f ca="1"/>
        <v>59066</v>
      </c>
      <c r="FK55">
        <f ca="1"/>
        <v>58985.5</v>
      </c>
      <c r="FL55">
        <f ca="1"/>
        <v>58919</v>
      </c>
      <c r="FM55">
        <f ca="1"/>
        <v>59097.5</v>
      </c>
      <c r="FN55">
        <f ca="1"/>
        <v>59115</v>
      </c>
      <c r="FO55">
        <f ca="1"/>
        <v>58519.999999999993</v>
      </c>
      <c r="FP55">
        <f ca="1"/>
        <v>58446.5</v>
      </c>
      <c r="FQ55">
        <f ca="1"/>
        <v>58180.5</v>
      </c>
      <c r="FR55">
        <f ca="1"/>
        <v>57662.5</v>
      </c>
      <c r="FS55">
        <f ca="1"/>
        <v>58075.5</v>
      </c>
      <c r="FT55">
        <f ca="1"/>
        <v>58646</v>
      </c>
      <c r="FU55">
        <f ca="1"/>
        <v>58814</v>
      </c>
      <c r="FV55">
        <f ca="1"/>
        <v>58831.5</v>
      </c>
      <c r="FW55">
        <f ca="1"/>
        <v>58940</v>
      </c>
      <c r="FX55">
        <f ca="1"/>
        <v>58817.500000000007</v>
      </c>
      <c r="FY55">
        <f ca="1"/>
        <v>58635.5</v>
      </c>
      <c r="FZ55">
        <f ca="1"/>
        <v>58317</v>
      </c>
      <c r="GA55">
        <f ca="1"/>
        <v>58478.000000000007</v>
      </c>
      <c r="GB55">
        <f ca="1"/>
        <v>58946.999999999993</v>
      </c>
      <c r="GC55">
        <f ca="1"/>
        <v>59535</v>
      </c>
      <c r="GD55">
        <f ca="1"/>
        <v>59538.500000000007</v>
      </c>
      <c r="GE55">
        <f ca="1"/>
        <v>59559.499999999993</v>
      </c>
      <c r="GF55">
        <f ca="1"/>
        <v>60165</v>
      </c>
      <c r="GG55">
        <f ca="1"/>
        <v>60112.5</v>
      </c>
      <c r="GH55">
        <f ca="1"/>
        <v>60007.499999999993</v>
      </c>
      <c r="GI55">
        <f ca="1"/>
        <v>59727.5</v>
      </c>
      <c r="GJ55">
        <f ca="1"/>
        <v>59919.999999999993</v>
      </c>
      <c r="GK55">
        <f ca="1"/>
        <v>59969</v>
      </c>
      <c r="GL55">
        <f ca="1"/>
        <v>59256.75</v>
      </c>
      <c r="GM55">
        <f ca="1"/>
        <v>58373</v>
      </c>
      <c r="GN55">
        <f ca="1"/>
        <v>59044.999999999993</v>
      </c>
      <c r="GO55">
        <f ca="1"/>
        <v>59167.500000000007</v>
      </c>
      <c r="GP55">
        <f ca="1"/>
        <v>58824.5</v>
      </c>
      <c r="GQ55">
        <f ca="1"/>
        <v>59178.000000000007</v>
      </c>
      <c r="GR55">
        <f ca="1"/>
        <v>58863</v>
      </c>
      <c r="GS55">
        <f ca="1"/>
        <v>58730.000000000007</v>
      </c>
      <c r="GT55">
        <f ca="1"/>
        <v>58344.999999999993</v>
      </c>
      <c r="GU55">
        <f ca="1"/>
        <v>58673.999999999993</v>
      </c>
      <c r="GV55">
        <f ca="1"/>
        <v>59244.5</v>
      </c>
      <c r="GW55">
        <f ca="1"/>
        <v>58607.499999999993</v>
      </c>
      <c r="GX55">
        <f ca="1"/>
        <v>58411.499999999993</v>
      </c>
      <c r="GY55">
        <f ca="1"/>
        <v>57883</v>
      </c>
      <c r="GZ55">
        <f ca="1"/>
        <v>58831.5</v>
      </c>
      <c r="HA55">
        <f ca="1"/>
        <v>58653.000000000007</v>
      </c>
      <c r="HB55">
        <f ca="1"/>
        <v>58446.5</v>
      </c>
      <c r="HC55">
        <f ca="1"/>
        <v>58527</v>
      </c>
      <c r="HD55">
        <f ca="1"/>
        <v>57785</v>
      </c>
      <c r="HE55">
        <f ca="1"/>
        <v>57837.5</v>
      </c>
      <c r="HF55">
        <f ca="1"/>
        <v>57994.999999999993</v>
      </c>
      <c r="HG55">
        <f ca="1"/>
        <v>58534</v>
      </c>
      <c r="HH55">
        <f ca="1"/>
        <v>58408</v>
      </c>
      <c r="HI55">
        <f ca="1"/>
        <v>58771.999999999993</v>
      </c>
      <c r="HJ55">
        <f ca="1"/>
        <v>58233</v>
      </c>
      <c r="HK55">
        <f ca="1"/>
        <v>58673.999999999993</v>
      </c>
      <c r="HL55">
        <f ca="1"/>
        <v>59073</v>
      </c>
      <c r="HM55">
        <f ca="1"/>
        <v>58744</v>
      </c>
      <c r="HN55">
        <f ca="1"/>
        <v>58317</v>
      </c>
      <c r="HO55">
        <f ca="1"/>
        <v>58498.999999999993</v>
      </c>
      <c r="HP55">
        <f ca="1"/>
        <v>57981</v>
      </c>
      <c r="HQ55">
        <f ca="1"/>
        <v>58275</v>
      </c>
      <c r="HR55">
        <f ca="1"/>
        <v>58040.500000000007</v>
      </c>
      <c r="HS55">
        <f ca="1"/>
        <v>56987</v>
      </c>
      <c r="HT55">
        <f ca="1"/>
        <v>57400</v>
      </c>
      <c r="HU55">
        <f ca="1"/>
        <v>57400</v>
      </c>
      <c r="HV55">
        <f ca="1"/>
        <v>57239</v>
      </c>
      <c r="HW55">
        <f ca="1"/>
        <v>56553.000000000007</v>
      </c>
      <c r="HX55">
        <f ca="1"/>
        <v>56630.000000000007</v>
      </c>
      <c r="HY55">
        <f ca="1"/>
        <v>57018.5</v>
      </c>
      <c r="HZ55">
        <f ca="1"/>
        <v>57228.5</v>
      </c>
      <c r="IA55">
        <f ca="1"/>
        <v>56553.000000000007</v>
      </c>
      <c r="IB55">
        <f ca="1"/>
        <v>56490</v>
      </c>
      <c r="IC55">
        <f ca="1"/>
        <v>55555.5</v>
      </c>
      <c r="ID55">
        <f ca="1"/>
        <v>56238</v>
      </c>
      <c r="IE55">
        <f ca="1"/>
        <v>56150.5</v>
      </c>
      <c r="IF55">
        <f ca="1"/>
        <v>56647.5</v>
      </c>
      <c r="IG55">
        <f ca="1"/>
        <v>55849.5</v>
      </c>
      <c r="IH55">
        <f ca="1"/>
        <v>54844.999999999993</v>
      </c>
      <c r="II55">
        <f ca="1"/>
        <v>54834.499999999993</v>
      </c>
      <c r="IJ55">
        <f ca="1"/>
        <v>56346.5</v>
      </c>
      <c r="IK55">
        <f ca="1"/>
        <v>56640.500000000007</v>
      </c>
      <c r="IL55">
        <f ca="1"/>
        <v>56843.5</v>
      </c>
      <c r="IM55">
        <f ca="1"/>
        <v>57071</v>
      </c>
      <c r="IN55">
        <f ca="1"/>
        <v>57050</v>
      </c>
      <c r="IO55">
        <f ca="1"/>
        <v>58240</v>
      </c>
      <c r="IP55">
        <f ca="1"/>
        <v>58498.999999999993</v>
      </c>
      <c r="IQ55">
        <f ca="1"/>
        <v>58541</v>
      </c>
      <c r="IR55">
        <f ca="1"/>
        <v>58905.000000000007</v>
      </c>
      <c r="IS55">
        <f ca="1"/>
        <v>59531.5</v>
      </c>
      <c r="IT55">
        <f ca="1"/>
        <v>59871</v>
      </c>
      <c r="IU55">
        <f ca="1"/>
        <v>59898.999999999993</v>
      </c>
      <c r="IV55">
        <f ca="1"/>
        <v>60546.5</v>
      </c>
      <c r="IW55">
        <f ca="1"/>
        <v>60231.5</v>
      </c>
    </row>
    <row r="56" spans="2:267" ht="15.75" thickBot="1" x14ac:dyDescent="0.3">
      <c r="B56"/>
      <c r="C56"/>
      <c r="E56"/>
      <c r="F56" s="85" t="s">
        <v>12</v>
      </c>
      <c r="G56" s="84">
        <f ca="1">SUM(G54:G55)</f>
        <v>144972.19</v>
      </c>
      <c r="H56" s="84">
        <f t="shared" ref="H56:BS56" ca="1" si="631">SUM(H54:H55)</f>
        <v>147495.69</v>
      </c>
      <c r="I56" s="84">
        <f t="shared" ca="1" si="631"/>
        <v>149161.69</v>
      </c>
      <c r="J56" s="84">
        <f t="shared" ca="1" si="631"/>
        <v>151011.69</v>
      </c>
      <c r="K56" s="84">
        <f t="shared" ca="1" si="631"/>
        <v>151507.19</v>
      </c>
      <c r="L56" s="84">
        <f t="shared" ca="1" si="631"/>
        <v>151721.19</v>
      </c>
      <c r="M56" s="84">
        <f t="shared" ca="1" si="631"/>
        <v>152506.19</v>
      </c>
      <c r="N56" s="84">
        <f t="shared" ca="1" si="631"/>
        <v>152107.69</v>
      </c>
      <c r="O56" s="84">
        <f t="shared" ca="1" si="631"/>
        <v>152625.19</v>
      </c>
      <c r="P56" s="84">
        <f t="shared" ca="1" si="631"/>
        <v>154262.19</v>
      </c>
      <c r="Q56" s="84">
        <f t="shared" ca="1" si="631"/>
        <v>153605.19</v>
      </c>
      <c r="R56" s="84">
        <f t="shared" ca="1" si="631"/>
        <v>152881.69</v>
      </c>
      <c r="S56" s="84">
        <f t="shared" ca="1" si="631"/>
        <v>153861.69</v>
      </c>
      <c r="T56" s="84">
        <f t="shared" ca="1" si="631"/>
        <v>154945.19</v>
      </c>
      <c r="U56" s="84">
        <f t="shared" ca="1" si="631"/>
        <v>155266.69</v>
      </c>
      <c r="V56" s="84">
        <f t="shared" ca="1" si="631"/>
        <v>158090.19</v>
      </c>
      <c r="W56" s="84">
        <f t="shared" ca="1" si="631"/>
        <v>158503.19</v>
      </c>
      <c r="X56" s="84">
        <f t="shared" ca="1" si="631"/>
        <v>159248.69</v>
      </c>
      <c r="Y56" s="84">
        <f t="shared" ca="1" si="631"/>
        <v>160309.19</v>
      </c>
      <c r="Z56" s="84">
        <f t="shared" ca="1" si="631"/>
        <v>161016.69</v>
      </c>
      <c r="AA56" s="84">
        <f t="shared" ca="1" si="631"/>
        <v>160797.69</v>
      </c>
      <c r="AB56" s="84">
        <f t="shared" ca="1" si="631"/>
        <v>158806.69</v>
      </c>
      <c r="AC56" s="84">
        <f t="shared" ca="1" si="631"/>
        <v>158854.69</v>
      </c>
      <c r="AD56" s="84">
        <f t="shared" ca="1" si="631"/>
        <v>158021.69</v>
      </c>
      <c r="AE56" s="84">
        <f t="shared" ca="1" si="631"/>
        <v>159427.19</v>
      </c>
      <c r="AF56" s="84">
        <f t="shared" ca="1" si="631"/>
        <v>160991.19</v>
      </c>
      <c r="AG56" s="84">
        <f t="shared" ca="1" si="631"/>
        <v>160900.69</v>
      </c>
      <c r="AH56" s="84">
        <f t="shared" ca="1" si="631"/>
        <v>160658.19</v>
      </c>
      <c r="AI56" s="84">
        <f t="shared" ca="1" si="631"/>
        <v>160164.68999999997</v>
      </c>
      <c r="AJ56" s="84">
        <f t="shared" ca="1" si="631"/>
        <v>161250.19</v>
      </c>
      <c r="AK56" s="84">
        <f t="shared" ca="1" si="631"/>
        <v>161633.19</v>
      </c>
      <c r="AL56" s="84">
        <f t="shared" ca="1" si="631"/>
        <v>160923.18999999997</v>
      </c>
      <c r="AM56" s="84">
        <f t="shared" ca="1" si="631"/>
        <v>160510.69</v>
      </c>
      <c r="AN56" s="84">
        <f t="shared" ca="1" si="631"/>
        <v>161687.19</v>
      </c>
      <c r="AO56" s="84">
        <f t="shared" ca="1" si="631"/>
        <v>161281.19</v>
      </c>
      <c r="AP56" s="84">
        <f t="shared" ca="1" si="631"/>
        <v>161825.19</v>
      </c>
      <c r="AQ56" s="84">
        <f t="shared" ca="1" si="631"/>
        <v>162173.94</v>
      </c>
      <c r="AR56" s="84">
        <f t="shared" ca="1" si="631"/>
        <v>162292.19</v>
      </c>
      <c r="AS56" s="84">
        <f t="shared" ca="1" si="631"/>
        <v>161204.19</v>
      </c>
      <c r="AT56" s="84">
        <f t="shared" ca="1" si="631"/>
        <v>162034.19</v>
      </c>
      <c r="AU56" s="84">
        <f t="shared" ca="1" si="631"/>
        <v>161740.18999999997</v>
      </c>
      <c r="AV56" s="84">
        <f t="shared" ca="1" si="631"/>
        <v>161975.69</v>
      </c>
      <c r="AW56" s="84">
        <f t="shared" ca="1" si="631"/>
        <v>161577.69</v>
      </c>
      <c r="AX56" s="84">
        <f t="shared" ca="1" si="631"/>
        <v>160924.19</v>
      </c>
      <c r="AY56" s="84">
        <f t="shared" ca="1" si="631"/>
        <v>161932.19</v>
      </c>
      <c r="AZ56" s="84">
        <f t="shared" ca="1" si="631"/>
        <v>163055.19</v>
      </c>
      <c r="BA56" s="84">
        <f t="shared" ca="1" si="631"/>
        <v>162322.69</v>
      </c>
      <c r="BB56" s="84">
        <f t="shared" ca="1" si="631"/>
        <v>163006.19</v>
      </c>
      <c r="BC56" s="84">
        <f t="shared" ca="1" si="631"/>
        <v>163375.19</v>
      </c>
      <c r="BD56" s="84">
        <f t="shared" ca="1" si="631"/>
        <v>163832.69</v>
      </c>
      <c r="BE56" s="84">
        <f t="shared" ca="1" si="631"/>
        <v>163878.19</v>
      </c>
      <c r="BF56" s="84">
        <f t="shared" ca="1" si="631"/>
        <v>165021.69</v>
      </c>
      <c r="BG56" s="84">
        <f t="shared" ca="1" si="631"/>
        <v>164831.69</v>
      </c>
      <c r="BH56" s="84">
        <f t="shared" ca="1" si="631"/>
        <v>164791.19</v>
      </c>
      <c r="BI56" s="84">
        <f t="shared" ca="1" si="631"/>
        <v>164328.69</v>
      </c>
      <c r="BJ56" s="84">
        <f t="shared" ca="1" si="631"/>
        <v>164985.69</v>
      </c>
      <c r="BK56" s="84">
        <f t="shared" ca="1" si="631"/>
        <v>165594.69</v>
      </c>
      <c r="BL56" s="84">
        <f t="shared" ca="1" si="631"/>
        <v>165076.94</v>
      </c>
      <c r="BM56" s="84">
        <f t="shared" ca="1" si="631"/>
        <v>166061.69</v>
      </c>
      <c r="BN56" s="84">
        <f t="shared" ca="1" si="631"/>
        <v>165248.19</v>
      </c>
      <c r="BO56" s="84">
        <f t="shared" ca="1" si="631"/>
        <v>165813.19</v>
      </c>
      <c r="BP56" s="84">
        <f t="shared" ca="1" si="631"/>
        <v>167526.69</v>
      </c>
      <c r="BQ56" s="84">
        <f t="shared" ca="1" si="631"/>
        <v>167037.69</v>
      </c>
      <c r="BR56" s="84">
        <f t="shared" ca="1" si="631"/>
        <v>166830.19</v>
      </c>
      <c r="BS56" s="84">
        <f t="shared" ca="1" si="631"/>
        <v>166704.69</v>
      </c>
      <c r="BT56" s="84">
        <f t="shared" ref="BT56:EE56" ca="1" si="632">SUM(BT54:BT55)</f>
        <v>167280.69</v>
      </c>
      <c r="BU56" s="84">
        <f t="shared" ca="1" si="632"/>
        <v>167394.19</v>
      </c>
      <c r="BV56" s="84">
        <f t="shared" ca="1" si="632"/>
        <v>168436.69</v>
      </c>
      <c r="BW56" s="84">
        <f t="shared" ca="1" si="632"/>
        <v>168203.19</v>
      </c>
      <c r="BX56" s="84">
        <f t="shared" ca="1" si="632"/>
        <v>168566.19</v>
      </c>
      <c r="BY56" s="84">
        <f t="shared" ca="1" si="632"/>
        <v>168198.69</v>
      </c>
      <c r="BZ56" s="84">
        <f t="shared" ca="1" si="632"/>
        <v>167675.69</v>
      </c>
      <c r="CA56" s="84">
        <f t="shared" ca="1" si="632"/>
        <v>165498.69</v>
      </c>
      <c r="CB56" s="84">
        <f t="shared" ca="1" si="632"/>
        <v>168027.69</v>
      </c>
      <c r="CC56" s="84">
        <f t="shared" ca="1" si="632"/>
        <v>170041.69</v>
      </c>
      <c r="CD56" s="84">
        <f t="shared" ca="1" si="632"/>
        <v>169200.19</v>
      </c>
      <c r="CE56" s="84">
        <f t="shared" ca="1" si="632"/>
        <v>169525.69</v>
      </c>
      <c r="CF56" s="84">
        <f t="shared" ca="1" si="632"/>
        <v>169563.69</v>
      </c>
      <c r="CG56" s="84">
        <f t="shared" ca="1" si="632"/>
        <v>170588.69</v>
      </c>
      <c r="CH56" s="84">
        <f t="shared" ca="1" si="632"/>
        <v>170985.69</v>
      </c>
      <c r="CI56" s="84">
        <f t="shared" ca="1" si="632"/>
        <v>170871.19</v>
      </c>
      <c r="CJ56" s="84">
        <f t="shared" ca="1" si="632"/>
        <v>170610.19</v>
      </c>
      <c r="CK56" s="84">
        <f t="shared" ca="1" si="632"/>
        <v>170673.69</v>
      </c>
      <c r="CL56" s="84">
        <f t="shared" ca="1" si="632"/>
        <v>170482.69</v>
      </c>
      <c r="CM56" s="84">
        <f t="shared" ca="1" si="632"/>
        <v>170614.19</v>
      </c>
      <c r="CN56" s="84">
        <f t="shared" ca="1" si="632"/>
        <v>171043.19</v>
      </c>
      <c r="CO56" s="84">
        <f t="shared" ca="1" si="632"/>
        <v>172735.69</v>
      </c>
      <c r="CP56" s="84">
        <f t="shared" ca="1" si="632"/>
        <v>171964.19</v>
      </c>
      <c r="CQ56" s="84">
        <f t="shared" ca="1" si="632"/>
        <v>172812.19</v>
      </c>
      <c r="CR56" s="84">
        <f t="shared" ca="1" si="632"/>
        <v>173193.19</v>
      </c>
      <c r="CS56" s="84">
        <f t="shared" ca="1" si="632"/>
        <v>173238.69</v>
      </c>
      <c r="CT56" s="84">
        <f t="shared" ca="1" si="632"/>
        <v>173329.19</v>
      </c>
      <c r="CU56" s="84">
        <f t="shared" ca="1" si="632"/>
        <v>173389.69</v>
      </c>
      <c r="CV56" s="84">
        <f t="shared" ca="1" si="632"/>
        <v>174148.69</v>
      </c>
      <c r="CW56" s="84">
        <f t="shared" ca="1" si="632"/>
        <v>175584.69</v>
      </c>
      <c r="CX56" s="84">
        <f t="shared" ca="1" si="632"/>
        <v>175851.69</v>
      </c>
      <c r="CY56" s="84">
        <f t="shared" ca="1" si="632"/>
        <v>175604.19</v>
      </c>
      <c r="CZ56" s="84">
        <f t="shared" ca="1" si="632"/>
        <v>176197.69</v>
      </c>
      <c r="DA56" s="84">
        <f t="shared" ca="1" si="632"/>
        <v>176682.19</v>
      </c>
      <c r="DB56" s="84">
        <f t="shared" ca="1" si="632"/>
        <v>177971.69</v>
      </c>
      <c r="DC56" s="84">
        <f t="shared" ca="1" si="632"/>
        <v>177528.19</v>
      </c>
      <c r="DD56" s="84">
        <f t="shared" ca="1" si="632"/>
        <v>178009.69</v>
      </c>
      <c r="DE56" s="84">
        <f t="shared" ca="1" si="632"/>
        <v>177522.19</v>
      </c>
      <c r="DF56" s="84">
        <f t="shared" ca="1" si="632"/>
        <v>177722.69</v>
      </c>
      <c r="DG56" s="84">
        <f t="shared" ca="1" si="632"/>
        <v>178783.19</v>
      </c>
      <c r="DH56" s="84">
        <f t="shared" ca="1" si="632"/>
        <v>179489.19</v>
      </c>
      <c r="DI56" s="84">
        <f t="shared" ca="1" si="632"/>
        <v>180486.19</v>
      </c>
      <c r="DJ56" s="84">
        <f t="shared" ca="1" si="632"/>
        <v>179740.19</v>
      </c>
      <c r="DK56" s="84">
        <f t="shared" ca="1" si="632"/>
        <v>179463.19</v>
      </c>
      <c r="DL56" s="84">
        <f t="shared" ca="1" si="632"/>
        <v>179180.18999999997</v>
      </c>
      <c r="DM56" s="84">
        <f t="shared" ca="1" si="632"/>
        <v>179443.19</v>
      </c>
      <c r="DN56" s="84">
        <f t="shared" ca="1" si="632"/>
        <v>180354.19</v>
      </c>
      <c r="DO56" s="84">
        <f t="shared" ca="1" si="632"/>
        <v>180771.69</v>
      </c>
      <c r="DP56" s="84">
        <f t="shared" ca="1" si="632"/>
        <v>181435.69</v>
      </c>
      <c r="DQ56" s="84">
        <f t="shared" ca="1" si="632"/>
        <v>181793.19</v>
      </c>
      <c r="DR56" s="84">
        <f t="shared" ca="1" si="632"/>
        <v>183082.69</v>
      </c>
      <c r="DS56" s="84">
        <f t="shared" ca="1" si="632"/>
        <v>183420.69</v>
      </c>
      <c r="DT56" s="84">
        <f t="shared" ca="1" si="632"/>
        <v>182448.69</v>
      </c>
      <c r="DU56" s="84">
        <f t="shared" ca="1" si="632"/>
        <v>183203.19</v>
      </c>
      <c r="DV56" s="84">
        <f t="shared" ca="1" si="632"/>
        <v>182518.69</v>
      </c>
      <c r="DW56" s="84">
        <f t="shared" ca="1" si="632"/>
        <v>179179.69000000003</v>
      </c>
      <c r="DX56" s="84">
        <f t="shared" ca="1" si="632"/>
        <v>181964.19</v>
      </c>
      <c r="DY56" s="84">
        <f t="shared" ca="1" si="632"/>
        <v>183321.69</v>
      </c>
      <c r="DZ56" s="84">
        <f t="shared" ca="1" si="632"/>
        <v>182118.19</v>
      </c>
      <c r="EA56" s="84">
        <f t="shared" ca="1" si="632"/>
        <v>181142.68999999997</v>
      </c>
      <c r="EB56" s="84">
        <f t="shared" ca="1" si="632"/>
        <v>183032.69</v>
      </c>
      <c r="EC56" s="84">
        <f t="shared" ca="1" si="632"/>
        <v>181047.19</v>
      </c>
      <c r="ED56" s="84">
        <f t="shared" ca="1" si="632"/>
        <v>181029.69</v>
      </c>
      <c r="EE56" s="84">
        <f t="shared" ca="1" si="632"/>
        <v>182149.69</v>
      </c>
      <c r="EF56" s="84">
        <f t="shared" ref="EF56:GQ56" ca="1" si="633">SUM(EF54:EF55)</f>
        <v>183393.19</v>
      </c>
      <c r="EG56" s="84">
        <f t="shared" ca="1" si="633"/>
        <v>184024.19</v>
      </c>
      <c r="EH56" s="84">
        <f t="shared" ca="1" si="633"/>
        <v>184465.19</v>
      </c>
      <c r="EI56" s="84">
        <f t="shared" ca="1" si="633"/>
        <v>183384.69000000003</v>
      </c>
      <c r="EJ56" s="84">
        <f t="shared" ca="1" si="633"/>
        <v>183054.19</v>
      </c>
      <c r="EK56" s="84">
        <f t="shared" ca="1" si="633"/>
        <v>183725.19</v>
      </c>
      <c r="EL56" s="84">
        <f t="shared" ca="1" si="633"/>
        <v>184059.19</v>
      </c>
      <c r="EM56" s="84">
        <f t="shared" ca="1" si="633"/>
        <v>181663.69</v>
      </c>
      <c r="EN56" s="84">
        <f t="shared" ca="1" si="633"/>
        <v>183254.69</v>
      </c>
      <c r="EO56" s="84">
        <f t="shared" ca="1" si="633"/>
        <v>181667.69</v>
      </c>
      <c r="EP56" s="84">
        <f t="shared" ca="1" si="633"/>
        <v>181237.69</v>
      </c>
      <c r="EQ56" s="84">
        <f t="shared" ca="1" si="633"/>
        <v>183761.69</v>
      </c>
      <c r="ER56" s="84">
        <f t="shared" ca="1" si="633"/>
        <v>184319.19</v>
      </c>
      <c r="ES56" s="84">
        <f t="shared" ca="1" si="633"/>
        <v>185890.94</v>
      </c>
      <c r="ET56" s="84">
        <f t="shared" ca="1" si="633"/>
        <v>182765.69</v>
      </c>
      <c r="EU56" s="84">
        <f t="shared" ca="1" si="633"/>
        <v>183191.19</v>
      </c>
      <c r="EV56" s="84">
        <f t="shared" ca="1" si="633"/>
        <v>181806.19</v>
      </c>
      <c r="EW56" s="84">
        <f t="shared" ca="1" si="633"/>
        <v>180868.69</v>
      </c>
      <c r="EX56" s="84">
        <f t="shared" ca="1" si="633"/>
        <v>182323.19</v>
      </c>
      <c r="EY56" s="84">
        <f t="shared" ca="1" si="633"/>
        <v>180379.19</v>
      </c>
      <c r="EZ56" s="84">
        <f t="shared" ca="1" si="633"/>
        <v>181919.69</v>
      </c>
      <c r="FA56" s="84">
        <f t="shared" ca="1" si="633"/>
        <v>184488.19</v>
      </c>
      <c r="FB56" s="84">
        <f t="shared" ca="1" si="633"/>
        <v>186291.69</v>
      </c>
      <c r="FC56" s="84">
        <f t="shared" ca="1" si="633"/>
        <v>187482.19</v>
      </c>
      <c r="FD56" s="84">
        <f t="shared" ca="1" si="633"/>
        <v>187810.19</v>
      </c>
      <c r="FE56" s="84">
        <f t="shared" ca="1" si="633"/>
        <v>188234.19</v>
      </c>
      <c r="FF56" s="84">
        <f t="shared" ca="1" si="633"/>
        <v>186747.19000000003</v>
      </c>
      <c r="FG56" s="84">
        <f t="shared" ca="1" si="633"/>
        <v>186627.19</v>
      </c>
      <c r="FH56" s="84">
        <f t="shared" ca="1" si="633"/>
        <v>187274.19</v>
      </c>
      <c r="FI56" s="84">
        <f t="shared" ca="1" si="633"/>
        <v>188703.69</v>
      </c>
      <c r="FJ56" s="84">
        <f t="shared" ca="1" si="633"/>
        <v>187506.19</v>
      </c>
      <c r="FK56" s="84">
        <f t="shared" ca="1" si="633"/>
        <v>187045.69</v>
      </c>
      <c r="FL56" s="84">
        <f t="shared" ca="1" si="633"/>
        <v>187245.19</v>
      </c>
      <c r="FM56" s="84">
        <f t="shared" ca="1" si="633"/>
        <v>188335.69</v>
      </c>
      <c r="FN56" s="84">
        <f t="shared" ca="1" si="633"/>
        <v>189075.19</v>
      </c>
      <c r="FO56" s="84">
        <f t="shared" ca="1" si="633"/>
        <v>187986.19</v>
      </c>
      <c r="FP56" s="84">
        <f t="shared" ca="1" si="633"/>
        <v>187798.69</v>
      </c>
      <c r="FQ56" s="84">
        <f t="shared" ca="1" si="633"/>
        <v>186639.69</v>
      </c>
      <c r="FR56" s="84">
        <f t="shared" ca="1" si="633"/>
        <v>185950.69</v>
      </c>
      <c r="FS56" s="84">
        <f t="shared" ca="1" si="633"/>
        <v>187256.69</v>
      </c>
      <c r="FT56" s="84">
        <f t="shared" ca="1" si="633"/>
        <v>189043.19</v>
      </c>
      <c r="FU56" s="84">
        <f t="shared" ca="1" si="633"/>
        <v>190028.19</v>
      </c>
      <c r="FV56" s="84">
        <f t="shared" ca="1" si="633"/>
        <v>190349.69</v>
      </c>
      <c r="FW56" s="84">
        <f t="shared" ca="1" si="633"/>
        <v>190344.19</v>
      </c>
      <c r="FX56" s="84">
        <f t="shared" ca="1" si="633"/>
        <v>189974.69</v>
      </c>
      <c r="FY56" s="84">
        <f t="shared" ca="1" si="633"/>
        <v>188880.5</v>
      </c>
      <c r="FZ56" s="84">
        <f t="shared" ca="1" si="633"/>
        <v>187935</v>
      </c>
      <c r="GA56" s="84">
        <f t="shared" ca="1" si="633"/>
        <v>188818</v>
      </c>
      <c r="GB56" s="84">
        <f t="shared" ca="1" si="633"/>
        <v>190541</v>
      </c>
      <c r="GC56" s="84">
        <f t="shared" ca="1" si="633"/>
        <v>191775</v>
      </c>
      <c r="GD56" s="84">
        <f t="shared" ca="1" si="633"/>
        <v>190581.5</v>
      </c>
      <c r="GE56" s="84">
        <f t="shared" ca="1" si="633"/>
        <v>191723.5</v>
      </c>
      <c r="GF56" s="84">
        <f t="shared" ca="1" si="633"/>
        <v>193222</v>
      </c>
      <c r="GG56" s="84">
        <f t="shared" ca="1" si="633"/>
        <v>194005.5</v>
      </c>
      <c r="GH56" s="84">
        <f t="shared" ca="1" si="633"/>
        <v>193900.5</v>
      </c>
      <c r="GI56" s="84">
        <f t="shared" ca="1" si="633"/>
        <v>193734.5</v>
      </c>
      <c r="GJ56" s="84">
        <f t="shared" ca="1" si="633"/>
        <v>194383</v>
      </c>
      <c r="GK56" s="84">
        <f t="shared" ca="1" si="633"/>
        <v>194280</v>
      </c>
      <c r="GL56" s="84">
        <f t="shared" ca="1" si="633"/>
        <v>193510.75</v>
      </c>
      <c r="GM56" s="84">
        <f t="shared" ca="1" si="633"/>
        <v>190993</v>
      </c>
      <c r="GN56" s="84">
        <f t="shared" ca="1" si="633"/>
        <v>192197</v>
      </c>
      <c r="GO56" s="84">
        <f t="shared" ca="1" si="633"/>
        <v>192547.5</v>
      </c>
      <c r="GP56" s="84">
        <f t="shared" ca="1" si="633"/>
        <v>192698.5</v>
      </c>
      <c r="GQ56" s="84">
        <f t="shared" ca="1" si="633"/>
        <v>192900</v>
      </c>
      <c r="GR56" s="84">
        <f t="shared" ref="GR56:JC56" ca="1" si="634">SUM(GR54:GR55)</f>
        <v>192433</v>
      </c>
      <c r="GS56" s="84">
        <f t="shared" ca="1" si="634"/>
        <v>192433</v>
      </c>
      <c r="GT56" s="84">
        <f t="shared" ca="1" si="634"/>
        <v>191763</v>
      </c>
      <c r="GU56" s="84">
        <f t="shared" ca="1" si="634"/>
        <v>188159</v>
      </c>
      <c r="GV56" s="84">
        <f t="shared" ca="1" si="634"/>
        <v>189964.5</v>
      </c>
      <c r="GW56" s="84">
        <f t="shared" ca="1" si="634"/>
        <v>189726.5</v>
      </c>
      <c r="GX56" s="84">
        <f t="shared" ca="1" si="634"/>
        <v>190138.5</v>
      </c>
      <c r="GY56" s="84">
        <f t="shared" ca="1" si="634"/>
        <v>187843</v>
      </c>
      <c r="GZ56" s="84">
        <f t="shared" ca="1" si="634"/>
        <v>190368.5</v>
      </c>
      <c r="HA56" s="84">
        <f t="shared" ca="1" si="634"/>
        <v>192337</v>
      </c>
      <c r="HB56" s="84">
        <f t="shared" ca="1" si="634"/>
        <v>193308.5</v>
      </c>
      <c r="HC56" s="84">
        <f t="shared" ca="1" si="634"/>
        <v>193009</v>
      </c>
      <c r="HD56" s="84">
        <f t="shared" ca="1" si="634"/>
        <v>189360</v>
      </c>
      <c r="HE56" s="84">
        <f t="shared" ca="1" si="634"/>
        <v>191559.5</v>
      </c>
      <c r="HF56" s="84">
        <f t="shared" ca="1" si="634"/>
        <v>191299</v>
      </c>
      <c r="HG56" s="84">
        <f t="shared" ca="1" si="634"/>
        <v>193871</v>
      </c>
      <c r="HH56" s="84">
        <f t="shared" ca="1" si="634"/>
        <v>194277</v>
      </c>
      <c r="HI56" s="84">
        <f t="shared" ca="1" si="634"/>
        <v>195610</v>
      </c>
      <c r="HJ56" s="84">
        <f t="shared" ca="1" si="634"/>
        <v>194615</v>
      </c>
      <c r="HK56" s="84">
        <f t="shared" ca="1" si="634"/>
        <v>195588</v>
      </c>
      <c r="HL56" s="84">
        <f t="shared" ca="1" si="634"/>
        <v>196804</v>
      </c>
      <c r="HM56" s="84">
        <f t="shared" ca="1" si="634"/>
        <v>197824</v>
      </c>
      <c r="HN56" s="84">
        <f t="shared" ca="1" si="634"/>
        <v>196542</v>
      </c>
      <c r="HO56" s="84">
        <f t="shared" ca="1" si="634"/>
        <v>197579</v>
      </c>
      <c r="HP56" s="84">
        <f t="shared" ca="1" si="634"/>
        <v>194477</v>
      </c>
      <c r="HQ56" s="84">
        <f t="shared" ca="1" si="634"/>
        <v>195455</v>
      </c>
      <c r="HR56" s="84">
        <f t="shared" ca="1" si="634"/>
        <v>194194.5</v>
      </c>
      <c r="HS56" s="84">
        <f t="shared" ca="1" si="634"/>
        <v>190956</v>
      </c>
      <c r="HT56" s="84">
        <f t="shared" ca="1" si="634"/>
        <v>191920</v>
      </c>
      <c r="HU56" s="84">
        <f t="shared" ca="1" si="634"/>
        <v>192091</v>
      </c>
      <c r="HV56" s="84">
        <f t="shared" ca="1" si="634"/>
        <v>191417</v>
      </c>
      <c r="HW56" s="84">
        <f t="shared" ca="1" si="634"/>
        <v>189705</v>
      </c>
      <c r="HX56" s="84">
        <f t="shared" ca="1" si="634"/>
        <v>188870</v>
      </c>
      <c r="HY56" s="84">
        <f t="shared" ca="1" si="634"/>
        <v>190759.5</v>
      </c>
      <c r="HZ56" s="84">
        <f t="shared" ca="1" si="634"/>
        <v>191254.5</v>
      </c>
      <c r="IA56" s="84">
        <f t="shared" ca="1" si="634"/>
        <v>188223</v>
      </c>
      <c r="IB56" s="84">
        <f t="shared" ca="1" si="634"/>
        <v>186583</v>
      </c>
      <c r="IC56" s="84">
        <f t="shared" ca="1" si="634"/>
        <v>182684.5</v>
      </c>
      <c r="ID56" s="84">
        <f t="shared" ca="1" si="634"/>
        <v>185799</v>
      </c>
      <c r="IE56" s="84">
        <f t="shared" ca="1" si="634"/>
        <v>185749.5</v>
      </c>
      <c r="IF56" s="84">
        <f t="shared" ca="1" si="634"/>
        <v>188070.5</v>
      </c>
      <c r="IG56" s="84">
        <f t="shared" ca="1" si="634"/>
        <v>185372.5</v>
      </c>
      <c r="IH56" s="84">
        <f t="shared" ca="1" si="634"/>
        <v>184406</v>
      </c>
      <c r="II56" s="84">
        <f t="shared" ca="1" si="634"/>
        <v>184585.5</v>
      </c>
      <c r="IJ56" s="84">
        <f t="shared" ca="1" si="634"/>
        <v>189289.5</v>
      </c>
      <c r="IK56" s="84">
        <f t="shared" ca="1" si="634"/>
        <v>190248.5</v>
      </c>
      <c r="IL56" s="84">
        <f t="shared" ca="1" si="634"/>
        <v>191249.5</v>
      </c>
      <c r="IM56" s="84">
        <f t="shared" ca="1" si="634"/>
        <v>191743</v>
      </c>
      <c r="IN56" s="84">
        <f t="shared" ca="1" si="634"/>
        <v>191931</v>
      </c>
      <c r="IO56" s="84">
        <f t="shared" ca="1" si="634"/>
        <v>194736</v>
      </c>
      <c r="IP56" s="84">
        <f t="shared" ca="1" si="634"/>
        <v>194387</v>
      </c>
      <c r="IQ56" s="84">
        <f t="shared" ca="1" si="634"/>
        <v>195341</v>
      </c>
      <c r="IR56" s="84">
        <f t="shared" ca="1" si="634"/>
        <v>196427</v>
      </c>
      <c r="IS56" s="84">
        <f t="shared" ca="1" si="634"/>
        <v>198003.5</v>
      </c>
      <c r="IT56" s="84">
        <f t="shared" ca="1" si="634"/>
        <v>198723</v>
      </c>
      <c r="IU56" s="84">
        <f t="shared" ca="1" si="634"/>
        <v>198295</v>
      </c>
      <c r="IV56" s="84">
        <f t="shared" ca="1" si="634"/>
        <v>200139.5</v>
      </c>
      <c r="IW56" s="84">
        <f t="shared" ca="1" si="634"/>
        <v>199805.5</v>
      </c>
      <c r="IX56" s="84">
        <f t="shared" si="634"/>
        <v>0</v>
      </c>
      <c r="IY56" s="84">
        <f t="shared" si="634"/>
        <v>0</v>
      </c>
      <c r="IZ56" s="84">
        <f t="shared" si="634"/>
        <v>0</v>
      </c>
      <c r="JA56" s="84">
        <f t="shared" si="634"/>
        <v>0</v>
      </c>
      <c r="JB56" s="84">
        <f t="shared" si="634"/>
        <v>0</v>
      </c>
      <c r="JC56" s="84">
        <f t="shared" si="634"/>
        <v>0</v>
      </c>
      <c r="JD56" s="84">
        <f t="shared" ref="JD56:JG56" si="635">SUM(JD54:JD55)</f>
        <v>0</v>
      </c>
      <c r="JE56" s="84">
        <f t="shared" si="635"/>
        <v>0</v>
      </c>
      <c r="JF56" s="84">
        <f t="shared" si="635"/>
        <v>0</v>
      </c>
      <c r="JG56" s="84">
        <f t="shared" si="635"/>
        <v>0</v>
      </c>
    </row>
    <row r="57" spans="2:267" ht="15.75" thickTop="1" x14ac:dyDescent="0.25">
      <c r="B57"/>
      <c r="C57"/>
      <c r="E57"/>
      <c r="G57"/>
      <c r="H57"/>
    </row>
    <row r="58" spans="2:267" x14ac:dyDescent="0.25">
      <c r="B58"/>
      <c r="C58"/>
      <c r="E58"/>
      <c r="G58" cm="1" vm="649">
        <f t="array" aca="1" ref="G58:IW59" ca="1">TRANSPOSE(_xlfn.STOCKHISTORY(D60,TODAY()-365,TODAY(),0,0,0,5))</f>
        <v>45768</v>
      </c>
      <c r="H58" vm="650">
        <f ca="1"/>
        <v>45769</v>
      </c>
      <c r="I58" vm="651">
        <f ca="1"/>
        <v>45770</v>
      </c>
      <c r="J58" vm="652">
        <f ca="1"/>
        <v>45771</v>
      </c>
      <c r="K58" vm="653">
        <f ca="1"/>
        <v>45772</v>
      </c>
      <c r="L58" vm="654">
        <f ca="1"/>
        <v>45775</v>
      </c>
      <c r="M58" vm="655">
        <f ca="1"/>
        <v>45776</v>
      </c>
      <c r="N58" vm="656">
        <f ca="1"/>
        <v>45777</v>
      </c>
      <c r="O58" vm="657">
        <f ca="1"/>
        <v>45778</v>
      </c>
      <c r="P58" vm="658">
        <f ca="1"/>
        <v>45779</v>
      </c>
      <c r="Q58" vm="659">
        <f ca="1"/>
        <v>45782</v>
      </c>
      <c r="R58" vm="660">
        <f ca="1"/>
        <v>45783</v>
      </c>
      <c r="S58" vm="661">
        <f ca="1"/>
        <v>45784</v>
      </c>
      <c r="T58" vm="662">
        <f ca="1"/>
        <v>45785</v>
      </c>
      <c r="U58" vm="663">
        <f ca="1"/>
        <v>45786</v>
      </c>
      <c r="V58" vm="664">
        <f ca="1"/>
        <v>45789</v>
      </c>
      <c r="W58" vm="665">
        <f ca="1"/>
        <v>45790</v>
      </c>
      <c r="X58" vm="666">
        <f ca="1"/>
        <v>45791</v>
      </c>
      <c r="Y58" vm="667">
        <f ca="1"/>
        <v>45792</v>
      </c>
      <c r="Z58" vm="668">
        <f ca="1"/>
        <v>45793</v>
      </c>
      <c r="AA58" vm="1404">
        <f ca="1"/>
        <v>45796</v>
      </c>
      <c r="AB58" vm="669">
        <f ca="1"/>
        <v>45797</v>
      </c>
      <c r="AC58" vm="670">
        <f ca="1"/>
        <v>45798</v>
      </c>
      <c r="AD58" vm="671">
        <f ca="1"/>
        <v>45799</v>
      </c>
      <c r="AE58" vm="672">
        <f ca="1"/>
        <v>45800</v>
      </c>
      <c r="AF58" vm="674">
        <f ca="1"/>
        <v>45804</v>
      </c>
      <c r="AG58" vm="675">
        <f ca="1"/>
        <v>45805</v>
      </c>
      <c r="AH58" vm="676">
        <f ca="1"/>
        <v>45806</v>
      </c>
      <c r="AI58" vm="677">
        <f ca="1"/>
        <v>45807</v>
      </c>
      <c r="AJ58" vm="678">
        <f ca="1"/>
        <v>45810</v>
      </c>
      <c r="AK58" vm="679">
        <f ca="1"/>
        <v>45811</v>
      </c>
      <c r="AL58" vm="680">
        <f ca="1"/>
        <v>45812</v>
      </c>
      <c r="AM58" vm="681">
        <f ca="1"/>
        <v>45813</v>
      </c>
      <c r="AN58" vm="682">
        <f ca="1"/>
        <v>45814</v>
      </c>
      <c r="AO58" vm="683">
        <f ca="1"/>
        <v>45817</v>
      </c>
      <c r="AP58" vm="684">
        <f ca="1"/>
        <v>45818</v>
      </c>
      <c r="AQ58" vm="685">
        <f ca="1"/>
        <v>45819</v>
      </c>
      <c r="AR58" vm="686">
        <f ca="1"/>
        <v>45820</v>
      </c>
      <c r="AS58" vm="687">
        <f ca="1"/>
        <v>45821</v>
      </c>
      <c r="AT58" vm="688">
        <f ca="1"/>
        <v>45824</v>
      </c>
      <c r="AU58" vm="689">
        <f ca="1"/>
        <v>45825</v>
      </c>
      <c r="AV58" vm="690">
        <f ca="1"/>
        <v>45826</v>
      </c>
      <c r="AW58" vm="692">
        <f ca="1"/>
        <v>45828</v>
      </c>
      <c r="AX58" vm="693">
        <f ca="1"/>
        <v>45831</v>
      </c>
      <c r="AY58" vm="694">
        <f ca="1"/>
        <v>45832</v>
      </c>
      <c r="AZ58" vm="695">
        <f ca="1"/>
        <v>45833</v>
      </c>
      <c r="BA58" vm="696">
        <f ca="1"/>
        <v>45834</v>
      </c>
      <c r="BB58" vm="697">
        <f ca="1"/>
        <v>45835</v>
      </c>
      <c r="BC58" vm="698">
        <f ca="1"/>
        <v>45838</v>
      </c>
      <c r="BD58" vm="1405">
        <f ca="1"/>
        <v>45839</v>
      </c>
      <c r="BE58" vm="699">
        <f ca="1"/>
        <v>45840</v>
      </c>
      <c r="BF58" vm="700">
        <f ca="1"/>
        <v>45841</v>
      </c>
      <c r="BG58" vm="702">
        <f ca="1"/>
        <v>45845</v>
      </c>
      <c r="BH58" vm="703">
        <f ca="1"/>
        <v>45846</v>
      </c>
      <c r="BI58" vm="704">
        <f ca="1"/>
        <v>45847</v>
      </c>
      <c r="BJ58" vm="705">
        <f ca="1"/>
        <v>45848</v>
      </c>
      <c r="BK58" vm="706">
        <f ca="1"/>
        <v>45849</v>
      </c>
      <c r="BL58" vm="707">
        <f ca="1"/>
        <v>45852</v>
      </c>
      <c r="BM58" vm="708">
        <f ca="1"/>
        <v>45853</v>
      </c>
      <c r="BN58" vm="709">
        <f ca="1"/>
        <v>45854</v>
      </c>
      <c r="BO58" vm="710">
        <f ca="1"/>
        <v>45855</v>
      </c>
      <c r="BP58" vm="711">
        <f ca="1"/>
        <v>45856</v>
      </c>
      <c r="BQ58" vm="712">
        <f ca="1"/>
        <v>45859</v>
      </c>
      <c r="BR58" vm="713">
        <f ca="1"/>
        <v>45860</v>
      </c>
      <c r="BS58" vm="714">
        <f ca="1"/>
        <v>45861</v>
      </c>
      <c r="BT58" vm="715">
        <f ca="1"/>
        <v>45862</v>
      </c>
      <c r="BU58" vm="716">
        <f ca="1"/>
        <v>45863</v>
      </c>
      <c r="BV58" vm="717">
        <f ca="1"/>
        <v>45866</v>
      </c>
      <c r="BW58" vm="718">
        <f ca="1"/>
        <v>45867</v>
      </c>
      <c r="BX58" vm="719">
        <f ca="1"/>
        <v>45868</v>
      </c>
      <c r="BY58" vm="720">
        <f ca="1"/>
        <v>45869</v>
      </c>
      <c r="BZ58" vm="721">
        <f ca="1"/>
        <v>45870</v>
      </c>
      <c r="CA58" vm="1406">
        <f ca="1"/>
        <v>45873</v>
      </c>
      <c r="CB58" vm="722">
        <f ca="1"/>
        <v>45874</v>
      </c>
      <c r="CC58" vm="723">
        <f ca="1"/>
        <v>45875</v>
      </c>
      <c r="CD58" vm="724">
        <f ca="1"/>
        <v>45876</v>
      </c>
      <c r="CE58" vm="725">
        <f ca="1"/>
        <v>45877</v>
      </c>
      <c r="CF58" vm="726">
        <f ca="1"/>
        <v>45880</v>
      </c>
      <c r="CG58" vm="727">
        <f ca="1"/>
        <v>45881</v>
      </c>
      <c r="CH58" vm="728">
        <f ca="1"/>
        <v>45882</v>
      </c>
      <c r="CI58" vm="729">
        <f ca="1"/>
        <v>45883</v>
      </c>
      <c r="CJ58" vm="730">
        <f ca="1"/>
        <v>45884</v>
      </c>
      <c r="CK58" vm="731">
        <f ca="1"/>
        <v>45887</v>
      </c>
      <c r="CL58" vm="732">
        <f ca="1"/>
        <v>45888</v>
      </c>
      <c r="CM58" vm="733">
        <f ca="1"/>
        <v>45889</v>
      </c>
      <c r="CN58" vm="734">
        <f ca="1"/>
        <v>45890</v>
      </c>
      <c r="CO58" vm="735">
        <f ca="1"/>
        <v>45891</v>
      </c>
      <c r="CP58" vm="736">
        <f ca="1"/>
        <v>45894</v>
      </c>
      <c r="CQ58" vm="737">
        <f ca="1"/>
        <v>45895</v>
      </c>
      <c r="CR58" vm="738">
        <f ca="1"/>
        <v>45896</v>
      </c>
      <c r="CS58" vm="739">
        <f ca="1"/>
        <v>45897</v>
      </c>
      <c r="CT58" vm="740">
        <f ca="1"/>
        <v>45898</v>
      </c>
      <c r="CU58" vm="741">
        <f ca="1"/>
        <v>45902</v>
      </c>
      <c r="CV58" vm="742">
        <f ca="1"/>
        <v>45903</v>
      </c>
      <c r="CW58" vm="743">
        <f ca="1"/>
        <v>45904</v>
      </c>
      <c r="CX58" vm="744">
        <f ca="1"/>
        <v>45905</v>
      </c>
      <c r="CY58" vm="745">
        <f ca="1"/>
        <v>45908</v>
      </c>
      <c r="CZ58" vm="746">
        <f ca="1"/>
        <v>45909</v>
      </c>
      <c r="DA58" vm="747">
        <f ca="1"/>
        <v>45910</v>
      </c>
      <c r="DB58" vm="748">
        <f ca="1"/>
        <v>45911</v>
      </c>
      <c r="DC58" vm="749">
        <f ca="1"/>
        <v>45912</v>
      </c>
      <c r="DD58" vm="750">
        <f ca="1"/>
        <v>45915</v>
      </c>
      <c r="DE58" vm="751">
        <f ca="1"/>
        <v>45916</v>
      </c>
      <c r="DF58" vm="752">
        <f ca="1"/>
        <v>45917</v>
      </c>
      <c r="DG58" vm="753">
        <f ca="1"/>
        <v>45918</v>
      </c>
      <c r="DH58" vm="754">
        <f ca="1"/>
        <v>45919</v>
      </c>
      <c r="DI58" vm="755">
        <f ca="1"/>
        <v>45922</v>
      </c>
      <c r="DJ58" vm="756">
        <f ca="1"/>
        <v>45923</v>
      </c>
      <c r="DK58" vm="757">
        <f ca="1"/>
        <v>45924</v>
      </c>
      <c r="DL58" vm="758">
        <f ca="1"/>
        <v>45925</v>
      </c>
      <c r="DM58" vm="759">
        <f ca="1"/>
        <v>45926</v>
      </c>
      <c r="DN58" vm="760">
        <f ca="1"/>
        <v>45929</v>
      </c>
      <c r="DO58" vm="761">
        <f ca="1"/>
        <v>45930</v>
      </c>
      <c r="DP58" vm="762">
        <f ca="1"/>
        <v>45931</v>
      </c>
      <c r="DQ58" vm="763">
        <f ca="1"/>
        <v>45932</v>
      </c>
      <c r="DR58" vm="764">
        <f ca="1"/>
        <v>45933</v>
      </c>
      <c r="DS58" vm="765">
        <f ca="1"/>
        <v>45936</v>
      </c>
      <c r="DT58" vm="766">
        <f ca="1"/>
        <v>45937</v>
      </c>
      <c r="DU58" vm="767">
        <f ca="1"/>
        <v>45938</v>
      </c>
      <c r="DV58" vm="768">
        <f ca="1"/>
        <v>45939</v>
      </c>
      <c r="DW58" vm="769">
        <f ca="1"/>
        <v>45940</v>
      </c>
      <c r="DX58" vm="1407">
        <f ca="1"/>
        <v>45943</v>
      </c>
      <c r="DY58" vm="770">
        <f ca="1"/>
        <v>45944</v>
      </c>
      <c r="DZ58" vm="771">
        <f ca="1"/>
        <v>45945</v>
      </c>
      <c r="EA58" vm="772">
        <f ca="1"/>
        <v>45946</v>
      </c>
      <c r="EB58" vm="773">
        <f ca="1"/>
        <v>45947</v>
      </c>
      <c r="EC58" vm="774">
        <f ca="1"/>
        <v>45950</v>
      </c>
      <c r="ED58" vm="775">
        <f ca="1"/>
        <v>45951</v>
      </c>
      <c r="EE58" vm="776">
        <f ca="1"/>
        <v>45952</v>
      </c>
      <c r="EF58" vm="777">
        <f ca="1"/>
        <v>45953</v>
      </c>
      <c r="EG58" vm="778">
        <f ca="1"/>
        <v>45954</v>
      </c>
      <c r="EH58" vm="779">
        <f ca="1"/>
        <v>45957</v>
      </c>
      <c r="EI58" vm="780">
        <f ca="1"/>
        <v>45958</v>
      </c>
      <c r="EJ58" vm="781">
        <f ca="1"/>
        <v>45959</v>
      </c>
      <c r="EK58" vm="782">
        <f ca="1"/>
        <v>45960</v>
      </c>
      <c r="EL58" vm="783">
        <f ca="1"/>
        <v>45961</v>
      </c>
      <c r="EM58" vm="784">
        <f ca="1"/>
        <v>45964</v>
      </c>
      <c r="EN58" vm="785">
        <f ca="1"/>
        <v>45965</v>
      </c>
      <c r="EO58" vm="786">
        <f ca="1"/>
        <v>45966</v>
      </c>
      <c r="EP58" vm="787">
        <f ca="1"/>
        <v>45967</v>
      </c>
      <c r="EQ58" vm="788">
        <f ca="1"/>
        <v>45968</v>
      </c>
      <c r="ER58" vm="789">
        <f ca="1"/>
        <v>45971</v>
      </c>
      <c r="ES58" vm="790">
        <f ca="1"/>
        <v>45972</v>
      </c>
      <c r="ET58" vm="791">
        <f ca="1"/>
        <v>45973</v>
      </c>
      <c r="EU58" vm="792">
        <f ca="1"/>
        <v>45974</v>
      </c>
      <c r="EV58" vm="793">
        <f ca="1"/>
        <v>45975</v>
      </c>
      <c r="EW58" vm="794">
        <f ca="1"/>
        <v>45978</v>
      </c>
      <c r="EX58" vm="795">
        <f ca="1"/>
        <v>45979</v>
      </c>
      <c r="EY58" vm="796">
        <f ca="1"/>
        <v>45980</v>
      </c>
      <c r="EZ58" vm="797">
        <f ca="1"/>
        <v>45981</v>
      </c>
      <c r="FA58" vm="798">
        <f ca="1"/>
        <v>45982</v>
      </c>
      <c r="FB58" vm="799">
        <f ca="1"/>
        <v>45985</v>
      </c>
      <c r="FC58" vm="800">
        <f ca="1"/>
        <v>45986</v>
      </c>
      <c r="FD58" vm="801">
        <f ca="1"/>
        <v>45987</v>
      </c>
      <c r="FE58" vm="803">
        <f ca="1"/>
        <v>45989</v>
      </c>
      <c r="FF58" vm="804">
        <f ca="1"/>
        <v>45992</v>
      </c>
      <c r="FG58" vm="805">
        <f ca="1"/>
        <v>45993</v>
      </c>
      <c r="FH58" vm="806">
        <f ca="1"/>
        <v>45994</v>
      </c>
      <c r="FI58" vm="807">
        <f ca="1"/>
        <v>45995</v>
      </c>
      <c r="FJ58" vm="808">
        <f ca="1"/>
        <v>45996</v>
      </c>
      <c r="FK58" vm="809">
        <f ca="1"/>
        <v>45999</v>
      </c>
      <c r="FL58" vm="810">
        <f ca="1"/>
        <v>46000</v>
      </c>
      <c r="FM58" vm="811">
        <f ca="1"/>
        <v>46001</v>
      </c>
      <c r="FN58" vm="812">
        <f ca="1"/>
        <v>46002</v>
      </c>
      <c r="FO58" vm="813">
        <f ca="1"/>
        <v>46003</v>
      </c>
      <c r="FP58" vm="814">
        <f ca="1"/>
        <v>46006</v>
      </c>
      <c r="FQ58" vm="815">
        <f ca="1"/>
        <v>46007</v>
      </c>
      <c r="FR58" vm="816">
        <f ca="1"/>
        <v>46008</v>
      </c>
      <c r="FS58" vm="817">
        <f ca="1"/>
        <v>46009</v>
      </c>
      <c r="FT58" vm="818">
        <f ca="1"/>
        <v>46010</v>
      </c>
      <c r="FU58" vm="819">
        <f ca="1"/>
        <v>46013</v>
      </c>
      <c r="FV58" vm="820">
        <f ca="1"/>
        <v>46014</v>
      </c>
      <c r="FW58" vm="821">
        <f ca="1"/>
        <v>46015</v>
      </c>
      <c r="FX58" vm="1408">
        <f ca="1"/>
        <v>46017</v>
      </c>
      <c r="FY58" vm="822">
        <f ca="1"/>
        <v>46020</v>
      </c>
      <c r="FZ58" vm="823">
        <f ca="1"/>
        <v>46021</v>
      </c>
      <c r="GA58" vm="824">
        <f ca="1"/>
        <v>46022</v>
      </c>
      <c r="GB58" vm="825">
        <f ca="1"/>
        <v>46024</v>
      </c>
      <c r="GC58" vm="826">
        <f ca="1"/>
        <v>46027</v>
      </c>
      <c r="GD58" vm="827">
        <f ca="1"/>
        <v>46028</v>
      </c>
      <c r="GE58" vm="828">
        <f ca="1"/>
        <v>46029</v>
      </c>
      <c r="GF58" vm="829">
        <f ca="1"/>
        <v>46030</v>
      </c>
      <c r="GG58" vm="830">
        <f ca="1"/>
        <v>46031</v>
      </c>
      <c r="GH58" vm="831">
        <f ca="1"/>
        <v>46034</v>
      </c>
      <c r="GI58" vm="832">
        <f ca="1"/>
        <v>46035</v>
      </c>
      <c r="GJ58" vm="833">
        <f ca="1"/>
        <v>46036</v>
      </c>
      <c r="GK58" vm="834">
        <f ca="1"/>
        <v>46037</v>
      </c>
      <c r="GL58" vm="835">
        <f ca="1"/>
        <v>46038</v>
      </c>
      <c r="GM58" vm="837">
        <f ca="1"/>
        <v>46042</v>
      </c>
      <c r="GN58" vm="838">
        <f ca="1"/>
        <v>46043</v>
      </c>
      <c r="GO58" vm="839">
        <f ca="1"/>
        <v>46044</v>
      </c>
      <c r="GP58" vm="840">
        <f ca="1"/>
        <v>46045</v>
      </c>
      <c r="GQ58" vm="841">
        <f ca="1"/>
        <v>46048</v>
      </c>
      <c r="GR58" vm="842">
        <f ca="1"/>
        <v>46049</v>
      </c>
      <c r="GS58" vm="843">
        <f ca="1"/>
        <v>46050</v>
      </c>
      <c r="GT58" vm="844">
        <f ca="1"/>
        <v>46051</v>
      </c>
      <c r="GU58" vm="845">
        <f ca="1"/>
        <v>46052</v>
      </c>
      <c r="GV58" vm="846">
        <f ca="1"/>
        <v>46055</v>
      </c>
      <c r="GW58" vm="847">
        <f ca="1"/>
        <v>46056</v>
      </c>
      <c r="GX58" vm="848">
        <f ca="1"/>
        <v>46057</v>
      </c>
      <c r="GY58" vm="849">
        <f ca="1"/>
        <v>46058</v>
      </c>
      <c r="GZ58" vm="850">
        <f ca="1"/>
        <v>46059</v>
      </c>
      <c r="HA58" vm="851">
        <f ca="1"/>
        <v>46062</v>
      </c>
      <c r="HB58" vm="852">
        <f ca="1"/>
        <v>46063</v>
      </c>
      <c r="HC58" vm="853">
        <f ca="1"/>
        <v>46064</v>
      </c>
      <c r="HD58" vm="854">
        <f ca="1"/>
        <v>46065</v>
      </c>
      <c r="HE58" vm="855">
        <f ca="1"/>
        <v>46066</v>
      </c>
      <c r="HF58" vm="856">
        <f ca="1"/>
        <v>46070</v>
      </c>
      <c r="HG58" vm="857">
        <f ca="1"/>
        <v>46071</v>
      </c>
      <c r="HH58" vm="858">
        <f ca="1"/>
        <v>46072</v>
      </c>
      <c r="HI58" vm="859">
        <f ca="1"/>
        <v>46073</v>
      </c>
      <c r="HJ58" vm="860">
        <f ca="1"/>
        <v>46076</v>
      </c>
      <c r="HK58" vm="861">
        <f ca="1"/>
        <v>46077</v>
      </c>
      <c r="HL58" vm="862">
        <f ca="1"/>
        <v>46078</v>
      </c>
      <c r="HM58" vm="863">
        <f ca="1"/>
        <v>46079</v>
      </c>
      <c r="HN58" vm="864">
        <f ca="1"/>
        <v>46080</v>
      </c>
      <c r="HO58" vm="865">
        <f ca="1"/>
        <v>46083</v>
      </c>
      <c r="HP58" vm="866">
        <f ca="1"/>
        <v>46084</v>
      </c>
      <c r="HQ58" vm="867">
        <f ca="1"/>
        <v>46085</v>
      </c>
      <c r="HR58" vm="868">
        <f ca="1"/>
        <v>46086</v>
      </c>
      <c r="HS58" vm="869">
        <f ca="1"/>
        <v>46087</v>
      </c>
      <c r="HT58" vm="870">
        <f ca="1"/>
        <v>46090</v>
      </c>
      <c r="HU58" vm="871">
        <f ca="1"/>
        <v>46091</v>
      </c>
      <c r="HV58" vm="872">
        <f ca="1"/>
        <v>46092</v>
      </c>
      <c r="HW58" vm="873">
        <f ca="1"/>
        <v>46093</v>
      </c>
      <c r="HX58" vm="874">
        <f ca="1"/>
        <v>46094</v>
      </c>
      <c r="HY58" vm="875">
        <f ca="1"/>
        <v>46097</v>
      </c>
      <c r="HZ58" vm="876">
        <f ca="1"/>
        <v>46098</v>
      </c>
      <c r="IA58" vm="877">
        <f ca="1"/>
        <v>46099</v>
      </c>
      <c r="IB58" vm="878">
        <f ca="1"/>
        <v>46100</v>
      </c>
      <c r="IC58" vm="879">
        <f ca="1"/>
        <v>46101</v>
      </c>
      <c r="ID58" vm="880">
        <f ca="1"/>
        <v>46104</v>
      </c>
      <c r="IE58" vm="881">
        <f ca="1"/>
        <v>46105</v>
      </c>
      <c r="IF58" vm="882">
        <f ca="1"/>
        <v>46106</v>
      </c>
      <c r="IG58" vm="883">
        <f ca="1"/>
        <v>46107</v>
      </c>
      <c r="IH58" vm="884">
        <f ca="1"/>
        <v>46108</v>
      </c>
      <c r="II58" vm="885">
        <f ca="1"/>
        <v>46111</v>
      </c>
      <c r="IJ58" vm="886">
        <f ca="1"/>
        <v>46112</v>
      </c>
      <c r="IK58" vm="887">
        <f ca="1"/>
        <v>46113</v>
      </c>
      <c r="IL58" vm="888">
        <f ca="1"/>
        <v>46114</v>
      </c>
      <c r="IM58" vm="889">
        <f ca="1"/>
        <v>46118</v>
      </c>
      <c r="IN58" vm="890">
        <f ca="1"/>
        <v>46119</v>
      </c>
      <c r="IO58" vm="891">
        <f ca="1"/>
        <v>46120</v>
      </c>
      <c r="IP58" vm="892">
        <f ca="1"/>
        <v>46121</v>
      </c>
      <c r="IQ58" vm="893">
        <f ca="1"/>
        <v>46122</v>
      </c>
      <c r="IR58" vm="894">
        <f ca="1"/>
        <v>46125</v>
      </c>
      <c r="IS58" vm="895">
        <f ca="1"/>
        <v>46126</v>
      </c>
      <c r="IT58" vm="896">
        <f ca="1"/>
        <v>46127</v>
      </c>
      <c r="IU58" vm="897">
        <f ca="1"/>
        <v>46128</v>
      </c>
      <c r="IV58" vm="898">
        <f ca="1"/>
        <v>46129</v>
      </c>
      <c r="IW58" vm="899">
        <f ca="1"/>
        <v>46132</v>
      </c>
    </row>
    <row r="59" spans="2:267" x14ac:dyDescent="0.25">
      <c r="B59" t="s">
        <v>153</v>
      </c>
      <c r="C59" t="s">
        <v>0</v>
      </c>
      <c r="D59" t="s">
        <v>8</v>
      </c>
      <c r="E59" t="s">
        <v>1</v>
      </c>
      <c r="F59" s="12" t="s">
        <v>197</v>
      </c>
      <c r="G59" s="51" vm="1409">
        <f ca="1"/>
        <v>470276</v>
      </c>
      <c r="H59" vm="1410">
        <f ca="1"/>
        <v>535123</v>
      </c>
      <c r="I59" vm="1411">
        <f ca="1"/>
        <v>440021</v>
      </c>
      <c r="J59" vm="1412">
        <f ca="1"/>
        <v>463075</v>
      </c>
      <c r="K59" vm="1413">
        <f ca="1"/>
        <v>484292</v>
      </c>
      <c r="L59" vm="1414">
        <f ca="1"/>
        <v>718878</v>
      </c>
      <c r="M59" vm="1415">
        <f ca="1"/>
        <v>655155</v>
      </c>
      <c r="N59" vm="1416">
        <f ca="1"/>
        <v>774045</v>
      </c>
      <c r="O59" vm="1417">
        <f ca="1"/>
        <v>1363823</v>
      </c>
      <c r="P59" vm="1418">
        <f ca="1"/>
        <v>879611</v>
      </c>
      <c r="Q59" vm="1419">
        <f ca="1"/>
        <v>516058</v>
      </c>
      <c r="R59" vm="1420">
        <f ca="1"/>
        <v>652517</v>
      </c>
      <c r="S59" vm="1421">
        <f ca="1"/>
        <v>968053</v>
      </c>
      <c r="T59" vm="1422">
        <f ca="1"/>
        <v>2339731</v>
      </c>
      <c r="U59" vm="1423">
        <f ca="1"/>
        <v>1802825</v>
      </c>
      <c r="V59" vm="1424">
        <f ca="1"/>
        <v>1548304</v>
      </c>
      <c r="W59" vm="1425">
        <f ca="1"/>
        <v>1448572</v>
      </c>
      <c r="X59" vm="1426">
        <f ca="1"/>
        <v>920064</v>
      </c>
      <c r="Y59" vm="1427">
        <f ca="1"/>
        <v>645225</v>
      </c>
      <c r="Z59" vm="1428">
        <f ca="1"/>
        <v>632101</v>
      </c>
      <c r="AA59" vm="1429">
        <f ca="1"/>
        <v>502403</v>
      </c>
      <c r="AB59" vm="1430">
        <f ca="1"/>
        <v>739576</v>
      </c>
      <c r="AC59" vm="1431">
        <f ca="1"/>
        <v>444873</v>
      </c>
      <c r="AD59" vm="1432">
        <f ca="1"/>
        <v>478985</v>
      </c>
      <c r="AE59" vm="1433">
        <f ca="1"/>
        <v>393604</v>
      </c>
      <c r="AF59" vm="1434">
        <f ca="1"/>
        <v>1829639</v>
      </c>
      <c r="AG59" vm="1435">
        <f ca="1"/>
        <v>575085</v>
      </c>
      <c r="AH59" vm="1436">
        <f ca="1"/>
        <v>603313</v>
      </c>
      <c r="AI59" vm="1437">
        <f ca="1"/>
        <v>1271801</v>
      </c>
      <c r="AJ59" vm="1438">
        <f ca="1"/>
        <v>517757</v>
      </c>
      <c r="AK59" vm="1439">
        <f ca="1"/>
        <v>591104</v>
      </c>
      <c r="AL59" vm="1440">
        <f ca="1"/>
        <v>682245</v>
      </c>
      <c r="AM59" vm="1441">
        <f ca="1"/>
        <v>450779</v>
      </c>
      <c r="AN59" vm="1442">
        <f ca="1"/>
        <v>447958</v>
      </c>
      <c r="AO59" vm="1443">
        <f ca="1"/>
        <v>870041</v>
      </c>
      <c r="AP59" vm="1444">
        <f ca="1"/>
        <v>473403</v>
      </c>
      <c r="AQ59" vm="1445">
        <f ca="1"/>
        <v>686622</v>
      </c>
      <c r="AR59" vm="1446">
        <f ca="1"/>
        <v>502751</v>
      </c>
      <c r="AS59" vm="1447">
        <f ca="1"/>
        <v>346131</v>
      </c>
      <c r="AT59" vm="1448">
        <f ca="1"/>
        <v>694914</v>
      </c>
      <c r="AU59" vm="1449">
        <f ca="1"/>
        <v>410741</v>
      </c>
      <c r="AV59" vm="1450">
        <f ca="1"/>
        <v>387553</v>
      </c>
      <c r="AW59" vm="1451">
        <f ca="1"/>
        <v>1482226</v>
      </c>
      <c r="AX59" vm="1452">
        <f ca="1"/>
        <v>938435</v>
      </c>
      <c r="AY59" vm="1453">
        <f ca="1"/>
        <v>517635</v>
      </c>
      <c r="AZ59" vm="1454">
        <f ca="1"/>
        <v>821289</v>
      </c>
      <c r="BA59" vm="1455">
        <f ca="1"/>
        <v>510506</v>
      </c>
      <c r="BB59" vm="1456">
        <f ca="1"/>
        <v>2029359</v>
      </c>
      <c r="BC59" vm="1457">
        <f ca="1"/>
        <v>801139</v>
      </c>
      <c r="BD59" vm="1458">
        <f ca="1"/>
        <v>1237349</v>
      </c>
      <c r="BE59" vm="1459">
        <f ca="1"/>
        <v>789119</v>
      </c>
      <c r="BF59" vm="1460">
        <f ca="1"/>
        <v>540398</v>
      </c>
      <c r="BG59" vm="1461">
        <f ca="1"/>
        <v>763069</v>
      </c>
      <c r="BH59" vm="1462">
        <f ca="1"/>
        <v>781989</v>
      </c>
      <c r="BI59" vm="1463">
        <f ca="1"/>
        <v>474673</v>
      </c>
      <c r="BJ59" vm="1464">
        <f ca="1"/>
        <v>699715</v>
      </c>
      <c r="BK59" vm="1465">
        <f ca="1"/>
        <v>671419</v>
      </c>
      <c r="BL59" vm="1466">
        <f ca="1"/>
        <v>395828</v>
      </c>
      <c r="BM59" vm="1467">
        <f ca="1"/>
        <v>540173</v>
      </c>
      <c r="BN59" vm="1468">
        <f ca="1"/>
        <v>451977</v>
      </c>
      <c r="BO59" vm="1469">
        <f ca="1"/>
        <v>725180</v>
      </c>
      <c r="BP59" vm="1470">
        <f ca="1"/>
        <v>557073</v>
      </c>
      <c r="BQ59" vm="1471">
        <f ca="1"/>
        <v>442113</v>
      </c>
      <c r="BR59" vm="1472">
        <f ca="1"/>
        <v>428269</v>
      </c>
      <c r="BS59" vm="1473">
        <f ca="1"/>
        <v>477379</v>
      </c>
      <c r="BT59" vm="1474">
        <f ca="1"/>
        <v>292155</v>
      </c>
      <c r="BU59" vm="1475">
        <f ca="1"/>
        <v>383828</v>
      </c>
      <c r="BV59" vm="1476">
        <f ca="1"/>
        <v>445459</v>
      </c>
      <c r="BW59" vm="1477">
        <f ca="1"/>
        <v>355115</v>
      </c>
      <c r="BX59" vm="1478">
        <f ca="1"/>
        <v>475608</v>
      </c>
      <c r="BY59" vm="1479">
        <f ca="1"/>
        <v>355436</v>
      </c>
      <c r="BZ59" vm="1480">
        <f ca="1"/>
        <v>336641</v>
      </c>
      <c r="CA59" vm="1481">
        <f ca="1"/>
        <v>283627</v>
      </c>
      <c r="CB59" vm="1482">
        <f ca="1"/>
        <v>337737</v>
      </c>
      <c r="CC59" vm="1483">
        <f ca="1"/>
        <v>389807</v>
      </c>
      <c r="CD59" vm="1484">
        <f ca="1"/>
        <v>361778</v>
      </c>
      <c r="CE59" vm="1485">
        <f ca="1"/>
        <v>448539</v>
      </c>
      <c r="CF59" vm="1486">
        <f ca="1"/>
        <v>636418</v>
      </c>
      <c r="CG59" vm="1487">
        <f ca="1"/>
        <v>1090510</v>
      </c>
      <c r="CH59" vm="1488">
        <f ca="1"/>
        <v>868928</v>
      </c>
      <c r="CI59" vm="1489">
        <f ca="1"/>
        <v>553545</v>
      </c>
      <c r="CJ59" vm="1490">
        <f ca="1"/>
        <v>544549</v>
      </c>
      <c r="CK59" vm="1491">
        <f ca="1"/>
        <v>392668</v>
      </c>
      <c r="CL59" vm="1492">
        <f ca="1"/>
        <v>405508</v>
      </c>
      <c r="CM59" vm="1493">
        <f ca="1"/>
        <v>317615</v>
      </c>
      <c r="CN59" vm="1494">
        <f ca="1"/>
        <v>218041</v>
      </c>
      <c r="CO59" vm="1495">
        <f ca="1"/>
        <v>425404</v>
      </c>
      <c r="CP59" vm="1496">
        <f ca="1"/>
        <v>354229</v>
      </c>
      <c r="CQ59" vm="1497">
        <f ca="1"/>
        <v>365715</v>
      </c>
      <c r="CR59" vm="1498">
        <f ca="1"/>
        <v>365543</v>
      </c>
      <c r="CS59" vm="1499">
        <f ca="1"/>
        <v>291772</v>
      </c>
      <c r="CT59" vm="1500">
        <f ca="1"/>
        <v>320248</v>
      </c>
      <c r="CU59" vm="1501">
        <f ca="1"/>
        <v>294951</v>
      </c>
      <c r="CV59" vm="1502">
        <f ca="1"/>
        <v>277647</v>
      </c>
      <c r="CW59" vm="1503">
        <f ca="1"/>
        <v>416522</v>
      </c>
      <c r="CX59" vm="1504">
        <f ca="1"/>
        <v>338797</v>
      </c>
      <c r="CY59" vm="1505">
        <f ca="1"/>
        <v>298899</v>
      </c>
      <c r="CZ59" vm="1506">
        <f ca="1"/>
        <v>261970</v>
      </c>
      <c r="DA59" vm="1507">
        <f ca="1"/>
        <v>357572</v>
      </c>
      <c r="DB59" vm="1508">
        <f ca="1"/>
        <v>316670</v>
      </c>
      <c r="DC59" vm="1509">
        <f ca="1"/>
        <v>210966</v>
      </c>
      <c r="DD59" vm="1510">
        <f ca="1"/>
        <v>368141</v>
      </c>
      <c r="DE59" vm="1511">
        <f ca="1"/>
        <v>296524</v>
      </c>
      <c r="DF59" vm="1512">
        <f ca="1"/>
        <v>343138</v>
      </c>
      <c r="DG59" vm="1513">
        <f ca="1"/>
        <v>382819</v>
      </c>
      <c r="DH59" vm="1514">
        <f ca="1"/>
        <v>1260438</v>
      </c>
      <c r="DI59" vm="1515">
        <f ca="1"/>
        <v>330366</v>
      </c>
      <c r="DJ59" vm="1516">
        <f ca="1"/>
        <v>294263</v>
      </c>
      <c r="DK59" vm="1517">
        <f ca="1"/>
        <v>415743</v>
      </c>
      <c r="DL59" vm="1518">
        <f ca="1"/>
        <v>457340</v>
      </c>
      <c r="DM59" vm="1519">
        <f ca="1"/>
        <v>381365</v>
      </c>
      <c r="DN59" vm="1520">
        <f ca="1"/>
        <v>335625</v>
      </c>
      <c r="DO59" vm="1521">
        <f ca="1"/>
        <v>632007</v>
      </c>
      <c r="DP59" vm="1522">
        <f ca="1"/>
        <v>588537</v>
      </c>
      <c r="DQ59" vm="1523">
        <f ca="1"/>
        <v>439232</v>
      </c>
      <c r="DR59" vm="1524">
        <f ca="1"/>
        <v>208335</v>
      </c>
      <c r="DS59" vm="1525">
        <f ca="1"/>
        <v>365532</v>
      </c>
      <c r="DT59" vm="1526">
        <f ca="1"/>
        <v>331409</v>
      </c>
      <c r="DU59" vm="1527">
        <f ca="1"/>
        <v>334653</v>
      </c>
      <c r="DV59" vm="1528">
        <f ca="1"/>
        <v>415236</v>
      </c>
      <c r="DW59" vm="1529">
        <f ca="1"/>
        <v>508807</v>
      </c>
      <c r="DX59" vm="1530">
        <f ca="1"/>
        <v>372037</v>
      </c>
      <c r="DY59" vm="1531">
        <f ca="1"/>
        <v>435575</v>
      </c>
      <c r="DZ59" vm="1532">
        <f ca="1"/>
        <v>279552</v>
      </c>
      <c r="EA59" vm="1533">
        <f ca="1"/>
        <v>332866</v>
      </c>
      <c r="EB59" vm="1534">
        <f ca="1"/>
        <v>346129</v>
      </c>
      <c r="EC59" vm="1535">
        <f ca="1"/>
        <v>288108</v>
      </c>
      <c r="ED59" vm="1536">
        <f ca="1"/>
        <v>366979</v>
      </c>
      <c r="EE59" vm="1537">
        <f ca="1"/>
        <v>424219</v>
      </c>
      <c r="EF59" vm="1538">
        <f ca="1"/>
        <v>293971</v>
      </c>
      <c r="EG59" vm="1539">
        <f ca="1"/>
        <v>365952</v>
      </c>
      <c r="EH59" vm="1540">
        <f ca="1"/>
        <v>413492</v>
      </c>
      <c r="EI59" vm="1541">
        <f ca="1"/>
        <v>386367</v>
      </c>
      <c r="EJ59" vm="1542">
        <f ca="1"/>
        <v>409457</v>
      </c>
      <c r="EK59" vm="1543">
        <f ca="1"/>
        <v>296101</v>
      </c>
      <c r="EL59" vm="1544">
        <f ca="1"/>
        <v>302671</v>
      </c>
      <c r="EM59" vm="1545">
        <f ca="1"/>
        <v>405381</v>
      </c>
      <c r="EN59" vm="1546">
        <f ca="1"/>
        <v>430245</v>
      </c>
      <c r="EO59" vm="1547">
        <f ca="1"/>
        <v>334425</v>
      </c>
      <c r="EP59" vm="1548">
        <f ca="1"/>
        <v>395696</v>
      </c>
      <c r="EQ59" vm="1549">
        <f ca="1"/>
        <v>316603</v>
      </c>
      <c r="ER59" vm="1550">
        <f ca="1"/>
        <v>299000</v>
      </c>
      <c r="ES59" vm="1551">
        <f ca="1"/>
        <v>237292</v>
      </c>
      <c r="ET59" vm="1552">
        <f ca="1"/>
        <v>386978</v>
      </c>
      <c r="EU59" vm="1553">
        <f ca="1"/>
        <v>902868</v>
      </c>
      <c r="EV59" vm="1554">
        <f ca="1"/>
        <v>342962</v>
      </c>
      <c r="EW59" vm="1555">
        <f ca="1"/>
        <v>329956</v>
      </c>
      <c r="EX59" vm="1556">
        <f ca="1"/>
        <v>266347</v>
      </c>
      <c r="EY59" vm="1557">
        <f ca="1"/>
        <v>223425</v>
      </c>
      <c r="EZ59" vm="1558">
        <f ca="1"/>
        <v>336440</v>
      </c>
      <c r="FA59" vm="1559">
        <f ca="1"/>
        <v>341368</v>
      </c>
      <c r="FB59" vm="1560">
        <f ca="1"/>
        <v>394308</v>
      </c>
      <c r="FC59" vm="1561">
        <f ca="1"/>
        <v>247619</v>
      </c>
      <c r="FD59" vm="1562">
        <f ca="1"/>
        <v>277751</v>
      </c>
      <c r="FE59" vm="1563">
        <f ca="1"/>
        <v>195861</v>
      </c>
      <c r="FF59" vm="1564">
        <f ca="1"/>
        <v>305309</v>
      </c>
      <c r="FG59" vm="1565">
        <f ca="1"/>
        <v>191612</v>
      </c>
      <c r="FH59" vm="1566">
        <f ca="1"/>
        <v>429020</v>
      </c>
      <c r="FI59" vm="1567">
        <f ca="1"/>
        <v>378313</v>
      </c>
      <c r="FJ59" vm="1568">
        <f ca="1"/>
        <v>368098</v>
      </c>
      <c r="FK59" vm="1569">
        <f ca="1"/>
        <v>1142438</v>
      </c>
      <c r="FL59" vm="1570">
        <f ca="1"/>
        <v>1917126</v>
      </c>
      <c r="FM59" vm="1571">
        <f ca="1"/>
        <v>1097984</v>
      </c>
      <c r="FN59" vm="1572">
        <f ca="1"/>
        <v>635871</v>
      </c>
      <c r="FO59" vm="1573">
        <f ca="1"/>
        <v>585758</v>
      </c>
      <c r="FP59" vm="1574">
        <f ca="1"/>
        <v>1075018</v>
      </c>
      <c r="FQ59" vm="1575">
        <f ca="1"/>
        <v>1003670</v>
      </c>
      <c r="FR59" vm="1576">
        <f ca="1"/>
        <v>579999</v>
      </c>
      <c r="FS59" vm="1577">
        <f ca="1"/>
        <v>482739</v>
      </c>
      <c r="FT59" vm="1578">
        <f ca="1"/>
        <v>1588174</v>
      </c>
      <c r="FU59" vm="1579">
        <f ca="1"/>
        <v>446034</v>
      </c>
      <c r="FV59" vm="1580">
        <f ca="1"/>
        <v>489122</v>
      </c>
      <c r="FW59" vm="1581">
        <f ca="1"/>
        <v>188619</v>
      </c>
      <c r="FX59" vm="1582">
        <f ca="1"/>
        <v>189939</v>
      </c>
      <c r="FY59" vm="1583">
        <f ca="1"/>
        <v>234856</v>
      </c>
      <c r="FZ59" vm="1584">
        <f ca="1"/>
        <v>407786</v>
      </c>
      <c r="GA59" vm="1585">
        <f ca="1"/>
        <v>404702</v>
      </c>
      <c r="GB59" vm="1586">
        <f ca="1"/>
        <v>255884</v>
      </c>
      <c r="GC59" vm="1587">
        <f ca="1"/>
        <v>547756</v>
      </c>
      <c r="GD59" vm="1588">
        <f ca="1"/>
        <v>980366</v>
      </c>
      <c r="GE59" vm="1589">
        <f ca="1"/>
        <v>398627</v>
      </c>
      <c r="GF59" vm="1590">
        <f ca="1"/>
        <v>360786</v>
      </c>
      <c r="GG59" vm="1591">
        <f ca="1"/>
        <v>333410</v>
      </c>
      <c r="GH59" vm="1592">
        <f ca="1"/>
        <v>454371</v>
      </c>
      <c r="GI59" vm="1593">
        <f ca="1"/>
        <v>580931</v>
      </c>
      <c r="GJ59" vm="1594">
        <f ca="1"/>
        <v>379716</v>
      </c>
      <c r="GK59" vm="1595">
        <f ca="1"/>
        <v>636441</v>
      </c>
      <c r="GL59" vm="1596">
        <f ca="1"/>
        <v>346946</v>
      </c>
      <c r="GM59" vm="1597">
        <f ca="1"/>
        <v>319564</v>
      </c>
      <c r="GN59" vm="1598">
        <f ca="1"/>
        <v>369927</v>
      </c>
      <c r="GO59" vm="1599">
        <f ca="1"/>
        <v>367434</v>
      </c>
      <c r="GP59" vm="1600">
        <f ca="1"/>
        <v>784691</v>
      </c>
      <c r="GQ59" vm="1601">
        <f ca="1"/>
        <v>486190</v>
      </c>
      <c r="GR59" vm="1602">
        <f ca="1"/>
        <v>330571</v>
      </c>
      <c r="GS59" vm="1603">
        <f ca="1"/>
        <v>305694</v>
      </c>
      <c r="GT59" vm="1604">
        <f ca="1"/>
        <v>446336</v>
      </c>
      <c r="GU59" vm="1605">
        <f ca="1"/>
        <v>472738</v>
      </c>
      <c r="GV59" vm="1606">
        <f ca="1"/>
        <v>433645</v>
      </c>
      <c r="GW59" vm="1607">
        <f ca="1"/>
        <v>522004</v>
      </c>
      <c r="GX59" vm="1608">
        <f ca="1"/>
        <v>429151</v>
      </c>
      <c r="GY59" vm="1609">
        <f ca="1"/>
        <v>1497101</v>
      </c>
      <c r="GZ59" vm="1610">
        <f ca="1"/>
        <v>1152982</v>
      </c>
      <c r="HA59" vm="1611">
        <f ca="1"/>
        <v>500208</v>
      </c>
      <c r="HB59" vm="1612">
        <f ca="1"/>
        <v>699449</v>
      </c>
      <c r="HC59" vm="1613">
        <f ca="1"/>
        <v>442626</v>
      </c>
      <c r="HD59" vm="1614">
        <f ca="1"/>
        <v>401029</v>
      </c>
      <c r="HE59" vm="1615">
        <f ca="1"/>
        <v>343662</v>
      </c>
      <c r="HF59" vm="1616">
        <f ca="1"/>
        <v>306964</v>
      </c>
      <c r="HG59" vm="1617">
        <f ca="1"/>
        <v>387927</v>
      </c>
      <c r="HH59" vm="1618">
        <f ca="1"/>
        <v>337788</v>
      </c>
      <c r="HI59" vm="1619">
        <f ca="1"/>
        <v>425303</v>
      </c>
      <c r="HJ59" vm="1620">
        <f ca="1"/>
        <v>539164</v>
      </c>
      <c r="HK59" vm="1621">
        <f ca="1"/>
        <v>412497</v>
      </c>
      <c r="HL59" vm="1622">
        <f ca="1"/>
        <v>506441</v>
      </c>
      <c r="HM59" vm="1623">
        <f ca="1"/>
        <v>385920</v>
      </c>
      <c r="HN59" vm="1624">
        <f ca="1"/>
        <v>442309</v>
      </c>
      <c r="HO59" vm="1625">
        <f ca="1"/>
        <v>333495</v>
      </c>
      <c r="HP59" vm="1626">
        <f ca="1"/>
        <v>380723</v>
      </c>
      <c r="HQ59" vm="1627">
        <f ca="1"/>
        <v>381121</v>
      </c>
      <c r="HR59" vm="1628">
        <f ca="1"/>
        <v>566907</v>
      </c>
      <c r="HS59" vm="1629">
        <f ca="1"/>
        <v>503110</v>
      </c>
      <c r="HT59" vm="1630">
        <f ca="1"/>
        <v>442614</v>
      </c>
      <c r="HU59" vm="1631">
        <f ca="1"/>
        <v>536882</v>
      </c>
      <c r="HV59" vm="1632">
        <f ca="1"/>
        <v>401925</v>
      </c>
      <c r="HW59" vm="1633">
        <f ca="1"/>
        <v>530705</v>
      </c>
      <c r="HX59" vm="1634">
        <f ca="1"/>
        <v>685430</v>
      </c>
      <c r="HY59" vm="1635">
        <f ca="1"/>
        <v>531610</v>
      </c>
      <c r="HZ59" vm="1636">
        <f ca="1"/>
        <v>566817</v>
      </c>
      <c r="IA59" vm="1637">
        <f ca="1"/>
        <v>621902</v>
      </c>
      <c r="IB59" vm="1638">
        <f ca="1"/>
        <v>802425</v>
      </c>
      <c r="IC59" vm="1639">
        <f ca="1"/>
        <v>2770360</v>
      </c>
      <c r="ID59" vm="1640">
        <f ca="1"/>
        <v>552020</v>
      </c>
      <c r="IE59" vm="1641">
        <f ca="1"/>
        <v>560904</v>
      </c>
      <c r="IF59" vm="1642">
        <f ca="1"/>
        <v>617748</v>
      </c>
      <c r="IG59" vm="1643">
        <f ca="1"/>
        <v>540107</v>
      </c>
      <c r="IH59" vm="1644">
        <f ca="1"/>
        <v>440591</v>
      </c>
      <c r="II59" vm="1645">
        <f ca="1"/>
        <v>482699</v>
      </c>
      <c r="IJ59" vm="1646">
        <f ca="1"/>
        <v>946568</v>
      </c>
      <c r="IK59" vm="1647">
        <f ca="1"/>
        <v>725804</v>
      </c>
      <c r="IL59" vm="1648">
        <f ca="1"/>
        <v>496052</v>
      </c>
      <c r="IM59" vm="1649">
        <f ca="1"/>
        <v>573855</v>
      </c>
      <c r="IN59" vm="1650">
        <f ca="1"/>
        <v>650810</v>
      </c>
      <c r="IO59" vm="1651">
        <f ca="1"/>
        <v>601673</v>
      </c>
      <c r="IP59" vm="1652">
        <f ca="1"/>
        <v>398875</v>
      </c>
      <c r="IQ59" vm="1653">
        <f ca="1"/>
        <v>291350</v>
      </c>
      <c r="IR59" vm="1654">
        <f ca="1"/>
        <v>282207</v>
      </c>
      <c r="IS59" vm="1655">
        <f ca="1"/>
        <v>419023</v>
      </c>
      <c r="IT59" vm="1656">
        <f ca="1"/>
        <v>396400</v>
      </c>
      <c r="IU59" vm="1657">
        <f ca="1"/>
        <v>487989</v>
      </c>
      <c r="IV59" vm="1658">
        <f ca="1"/>
        <v>492417</v>
      </c>
      <c r="IW59" vm="1659">
        <f ca="1"/>
        <v>432960</v>
      </c>
    </row>
    <row r="60" spans="2:267" x14ac:dyDescent="0.25">
      <c r="B60" t="str">
        <f>IF(C60="","",_xlfn.XLOOKUP(C60,Type_Compte,Num_Compte))</f>
        <v>20K6HF2</v>
      </c>
      <c r="C60" t="s">
        <v>159</v>
      </c>
      <c r="D60" t="e" vm="521">
        <v>#VALUE!</v>
      </c>
      <c r="E60" t="str" cm="1">
        <f t="array" aca="1" ref="E60" ca="1">_FV(D60,"Code mnémonique",TRUE)</f>
        <v>CMP</v>
      </c>
      <c r="F60" s="12">
        <f>_xlfn.XLOOKUP(D60,Titres[Action],Titres[Nb d''actions])</f>
        <v>0</v>
      </c>
      <c r="G60" cm="1">
        <f t="array" aca="1" ref="G60:IW60" ca="1">IFERROR(TRANSPOSE(_xlfn.STOCKHISTORY(D60,TODAY()-365,TODAY(),0,0,1))*F60,"")</f>
        <v>0</v>
      </c>
      <c r="H60">
        <f ca="1"/>
        <v>0</v>
      </c>
      <c r="I60">
        <f ca="1"/>
        <v>0</v>
      </c>
      <c r="J60">
        <f ca="1"/>
        <v>0</v>
      </c>
      <c r="K60">
        <f ca="1"/>
        <v>0</v>
      </c>
      <c r="L60">
        <f ca="1"/>
        <v>0</v>
      </c>
      <c r="M60">
        <f ca="1"/>
        <v>0</v>
      </c>
      <c r="N60">
        <f ca="1"/>
        <v>0</v>
      </c>
      <c r="O60">
        <f ca="1"/>
        <v>0</v>
      </c>
      <c r="P60">
        <f ca="1"/>
        <v>0</v>
      </c>
      <c r="Q60">
        <f ca="1"/>
        <v>0</v>
      </c>
      <c r="R60">
        <f ca="1"/>
        <v>0</v>
      </c>
      <c r="S60">
        <f ca="1"/>
        <v>0</v>
      </c>
      <c r="T60">
        <f ca="1"/>
        <v>0</v>
      </c>
      <c r="U60">
        <f ca="1"/>
        <v>0</v>
      </c>
      <c r="V60">
        <f ca="1"/>
        <v>0</v>
      </c>
      <c r="W60">
        <f ca="1"/>
        <v>0</v>
      </c>
      <c r="X60">
        <f ca="1"/>
        <v>0</v>
      </c>
      <c r="Y60">
        <f ca="1"/>
        <v>0</v>
      </c>
      <c r="Z60">
        <f ca="1"/>
        <v>0</v>
      </c>
      <c r="AA60">
        <f ca="1"/>
        <v>0</v>
      </c>
      <c r="AB60">
        <f ca="1"/>
        <v>0</v>
      </c>
      <c r="AC60">
        <f ca="1"/>
        <v>0</v>
      </c>
      <c r="AD60">
        <f ca="1"/>
        <v>0</v>
      </c>
      <c r="AE60">
        <f ca="1"/>
        <v>0</v>
      </c>
      <c r="AF60">
        <f ca="1"/>
        <v>0</v>
      </c>
      <c r="AG60">
        <f ca="1"/>
        <v>0</v>
      </c>
      <c r="AH60">
        <f ca="1"/>
        <v>0</v>
      </c>
      <c r="AI60">
        <f ca="1"/>
        <v>0</v>
      </c>
      <c r="AJ60">
        <f ca="1"/>
        <v>0</v>
      </c>
      <c r="AK60">
        <f ca="1"/>
        <v>0</v>
      </c>
      <c r="AL60">
        <f ca="1"/>
        <v>0</v>
      </c>
      <c r="AM60">
        <f ca="1"/>
        <v>0</v>
      </c>
      <c r="AN60">
        <f ca="1"/>
        <v>0</v>
      </c>
      <c r="AO60">
        <f ca="1"/>
        <v>0</v>
      </c>
      <c r="AP60">
        <f ca="1"/>
        <v>0</v>
      </c>
      <c r="AQ60">
        <f ca="1"/>
        <v>0</v>
      </c>
      <c r="AR60">
        <f ca="1"/>
        <v>0</v>
      </c>
      <c r="AS60">
        <f ca="1"/>
        <v>0</v>
      </c>
      <c r="AT60">
        <f ca="1"/>
        <v>0</v>
      </c>
      <c r="AU60">
        <f ca="1"/>
        <v>0</v>
      </c>
      <c r="AV60">
        <f ca="1"/>
        <v>0</v>
      </c>
      <c r="AW60">
        <f ca="1"/>
        <v>0</v>
      </c>
      <c r="AX60">
        <f ca="1"/>
        <v>0</v>
      </c>
      <c r="AY60">
        <f ca="1"/>
        <v>0</v>
      </c>
      <c r="AZ60">
        <f ca="1"/>
        <v>0</v>
      </c>
      <c r="BA60">
        <f ca="1"/>
        <v>0</v>
      </c>
      <c r="BB60">
        <f ca="1"/>
        <v>0</v>
      </c>
      <c r="BC60">
        <f ca="1"/>
        <v>0</v>
      </c>
      <c r="BD60">
        <f ca="1"/>
        <v>0</v>
      </c>
      <c r="BE60">
        <f ca="1"/>
        <v>0</v>
      </c>
      <c r="BF60">
        <f ca="1"/>
        <v>0</v>
      </c>
      <c r="BG60">
        <f ca="1"/>
        <v>0</v>
      </c>
      <c r="BH60">
        <f ca="1"/>
        <v>0</v>
      </c>
      <c r="BI60">
        <f ca="1"/>
        <v>0</v>
      </c>
      <c r="BJ60">
        <f ca="1"/>
        <v>0</v>
      </c>
      <c r="BK60">
        <f ca="1"/>
        <v>0</v>
      </c>
      <c r="BL60">
        <f ca="1"/>
        <v>0</v>
      </c>
      <c r="BM60">
        <f ca="1"/>
        <v>0</v>
      </c>
      <c r="BN60">
        <f ca="1"/>
        <v>0</v>
      </c>
      <c r="BO60">
        <f ca="1"/>
        <v>0</v>
      </c>
      <c r="BP60">
        <f ca="1"/>
        <v>0</v>
      </c>
      <c r="BQ60">
        <f ca="1"/>
        <v>0</v>
      </c>
      <c r="BR60">
        <f ca="1"/>
        <v>0</v>
      </c>
      <c r="BS60">
        <f ca="1"/>
        <v>0</v>
      </c>
      <c r="BT60">
        <f ca="1"/>
        <v>0</v>
      </c>
      <c r="BU60">
        <f ca="1"/>
        <v>0</v>
      </c>
      <c r="BV60">
        <f ca="1"/>
        <v>0</v>
      </c>
      <c r="BW60">
        <f ca="1"/>
        <v>0</v>
      </c>
      <c r="BX60">
        <f ca="1"/>
        <v>0</v>
      </c>
      <c r="BY60">
        <f ca="1"/>
        <v>0</v>
      </c>
      <c r="BZ60">
        <f ca="1"/>
        <v>0</v>
      </c>
      <c r="CA60">
        <f ca="1"/>
        <v>0</v>
      </c>
      <c r="CB60">
        <f ca="1"/>
        <v>0</v>
      </c>
      <c r="CC60">
        <f ca="1"/>
        <v>0</v>
      </c>
      <c r="CD60">
        <f ca="1"/>
        <v>0</v>
      </c>
      <c r="CE60">
        <f ca="1"/>
        <v>0</v>
      </c>
      <c r="CF60">
        <f ca="1"/>
        <v>0</v>
      </c>
      <c r="CG60">
        <f ca="1"/>
        <v>0</v>
      </c>
      <c r="CH60">
        <f ca="1"/>
        <v>0</v>
      </c>
      <c r="CI60">
        <f ca="1"/>
        <v>0</v>
      </c>
      <c r="CJ60">
        <f ca="1"/>
        <v>0</v>
      </c>
      <c r="CK60">
        <f ca="1"/>
        <v>0</v>
      </c>
      <c r="CL60">
        <f ca="1"/>
        <v>0</v>
      </c>
      <c r="CM60">
        <f ca="1"/>
        <v>0</v>
      </c>
      <c r="CN60">
        <f ca="1"/>
        <v>0</v>
      </c>
      <c r="CO60">
        <f ca="1"/>
        <v>0</v>
      </c>
      <c r="CP60">
        <f ca="1"/>
        <v>0</v>
      </c>
      <c r="CQ60">
        <f ca="1"/>
        <v>0</v>
      </c>
      <c r="CR60">
        <f ca="1"/>
        <v>0</v>
      </c>
      <c r="CS60">
        <f ca="1"/>
        <v>0</v>
      </c>
      <c r="CT60">
        <f ca="1"/>
        <v>0</v>
      </c>
      <c r="CU60">
        <f ca="1"/>
        <v>0</v>
      </c>
      <c r="CV60">
        <f ca="1"/>
        <v>0</v>
      </c>
      <c r="CW60">
        <f ca="1"/>
        <v>0</v>
      </c>
      <c r="CX60">
        <f ca="1"/>
        <v>0</v>
      </c>
      <c r="CY60">
        <f ca="1"/>
        <v>0</v>
      </c>
      <c r="CZ60">
        <f ca="1"/>
        <v>0</v>
      </c>
      <c r="DA60">
        <f ca="1"/>
        <v>0</v>
      </c>
      <c r="DB60">
        <f ca="1"/>
        <v>0</v>
      </c>
      <c r="DC60">
        <f ca="1"/>
        <v>0</v>
      </c>
      <c r="DD60">
        <f ca="1"/>
        <v>0</v>
      </c>
      <c r="DE60">
        <f ca="1"/>
        <v>0</v>
      </c>
      <c r="DF60">
        <f ca="1"/>
        <v>0</v>
      </c>
      <c r="DG60">
        <f ca="1"/>
        <v>0</v>
      </c>
      <c r="DH60">
        <f ca="1"/>
        <v>0</v>
      </c>
      <c r="DI60">
        <f ca="1"/>
        <v>0</v>
      </c>
      <c r="DJ60">
        <f ca="1"/>
        <v>0</v>
      </c>
      <c r="DK60">
        <f ca="1"/>
        <v>0</v>
      </c>
      <c r="DL60">
        <f ca="1"/>
        <v>0</v>
      </c>
      <c r="DM60">
        <f ca="1"/>
        <v>0</v>
      </c>
      <c r="DN60">
        <f ca="1"/>
        <v>0</v>
      </c>
      <c r="DO60">
        <f ca="1"/>
        <v>0</v>
      </c>
      <c r="DP60">
        <f ca="1"/>
        <v>0</v>
      </c>
      <c r="DQ60">
        <f ca="1"/>
        <v>0</v>
      </c>
      <c r="DR60">
        <f ca="1"/>
        <v>0</v>
      </c>
      <c r="DS60">
        <f ca="1"/>
        <v>0</v>
      </c>
      <c r="DT60">
        <f ca="1"/>
        <v>0</v>
      </c>
      <c r="DU60">
        <f ca="1"/>
        <v>0</v>
      </c>
      <c r="DV60">
        <f ca="1"/>
        <v>0</v>
      </c>
      <c r="DW60">
        <f ca="1"/>
        <v>0</v>
      </c>
      <c r="DX60">
        <f ca="1"/>
        <v>0</v>
      </c>
      <c r="DY60">
        <f ca="1"/>
        <v>0</v>
      </c>
      <c r="DZ60">
        <f ca="1"/>
        <v>0</v>
      </c>
      <c r="EA60">
        <f ca="1"/>
        <v>0</v>
      </c>
      <c r="EB60">
        <f ca="1"/>
        <v>0</v>
      </c>
      <c r="EC60">
        <f ca="1"/>
        <v>0</v>
      </c>
      <c r="ED60">
        <f ca="1"/>
        <v>0</v>
      </c>
      <c r="EE60">
        <f ca="1"/>
        <v>0</v>
      </c>
      <c r="EF60">
        <f ca="1"/>
        <v>0</v>
      </c>
      <c r="EG60">
        <f ca="1"/>
        <v>0</v>
      </c>
      <c r="EH60">
        <f ca="1"/>
        <v>0</v>
      </c>
      <c r="EI60">
        <f ca="1"/>
        <v>0</v>
      </c>
      <c r="EJ60">
        <f ca="1"/>
        <v>0</v>
      </c>
      <c r="EK60">
        <f ca="1"/>
        <v>0</v>
      </c>
      <c r="EL60">
        <f ca="1"/>
        <v>0</v>
      </c>
      <c r="EM60">
        <f ca="1"/>
        <v>0</v>
      </c>
      <c r="EN60">
        <f ca="1"/>
        <v>0</v>
      </c>
      <c r="EO60">
        <f ca="1"/>
        <v>0</v>
      </c>
      <c r="EP60">
        <f ca="1"/>
        <v>0</v>
      </c>
      <c r="EQ60">
        <f ca="1"/>
        <v>0</v>
      </c>
      <c r="ER60">
        <f ca="1"/>
        <v>0</v>
      </c>
      <c r="ES60">
        <f ca="1"/>
        <v>0</v>
      </c>
      <c r="ET60">
        <f ca="1"/>
        <v>0</v>
      </c>
      <c r="EU60">
        <f ca="1"/>
        <v>0</v>
      </c>
      <c r="EV60">
        <f ca="1"/>
        <v>0</v>
      </c>
      <c r="EW60">
        <f ca="1"/>
        <v>0</v>
      </c>
      <c r="EX60">
        <f ca="1"/>
        <v>0</v>
      </c>
      <c r="EY60">
        <f ca="1"/>
        <v>0</v>
      </c>
      <c r="EZ60">
        <f ca="1"/>
        <v>0</v>
      </c>
      <c r="FA60">
        <f ca="1"/>
        <v>0</v>
      </c>
      <c r="FB60">
        <f ca="1"/>
        <v>0</v>
      </c>
      <c r="FC60">
        <f ca="1"/>
        <v>0</v>
      </c>
      <c r="FD60">
        <f ca="1"/>
        <v>0</v>
      </c>
      <c r="FE60">
        <f ca="1"/>
        <v>0</v>
      </c>
      <c r="FF60">
        <f ca="1"/>
        <v>0</v>
      </c>
      <c r="FG60">
        <f ca="1"/>
        <v>0</v>
      </c>
      <c r="FH60">
        <f ca="1"/>
        <v>0</v>
      </c>
      <c r="FI60">
        <f ca="1"/>
        <v>0</v>
      </c>
      <c r="FJ60">
        <f ca="1"/>
        <v>0</v>
      </c>
      <c r="FK60">
        <f ca="1"/>
        <v>0</v>
      </c>
      <c r="FL60">
        <f ca="1"/>
        <v>0</v>
      </c>
      <c r="FM60">
        <f ca="1"/>
        <v>0</v>
      </c>
      <c r="FN60">
        <f ca="1"/>
        <v>0</v>
      </c>
      <c r="FO60">
        <f ca="1"/>
        <v>0</v>
      </c>
      <c r="FP60">
        <f ca="1"/>
        <v>0</v>
      </c>
      <c r="FQ60">
        <f ca="1"/>
        <v>0</v>
      </c>
      <c r="FR60">
        <f ca="1"/>
        <v>0</v>
      </c>
      <c r="FS60">
        <f ca="1"/>
        <v>0</v>
      </c>
      <c r="FT60">
        <f ca="1"/>
        <v>0</v>
      </c>
      <c r="FU60">
        <f ca="1"/>
        <v>0</v>
      </c>
      <c r="FV60">
        <f ca="1"/>
        <v>0</v>
      </c>
      <c r="FW60">
        <f ca="1"/>
        <v>0</v>
      </c>
      <c r="FX60">
        <f ca="1"/>
        <v>0</v>
      </c>
      <c r="FY60">
        <f ca="1"/>
        <v>0</v>
      </c>
      <c r="FZ60">
        <f ca="1"/>
        <v>0</v>
      </c>
      <c r="GA60">
        <f ca="1"/>
        <v>0</v>
      </c>
      <c r="GB60">
        <f ca="1"/>
        <v>0</v>
      </c>
      <c r="GC60">
        <f ca="1"/>
        <v>0</v>
      </c>
      <c r="GD60">
        <f ca="1"/>
        <v>0</v>
      </c>
      <c r="GE60">
        <f ca="1"/>
        <v>0</v>
      </c>
      <c r="GF60">
        <f ca="1"/>
        <v>0</v>
      </c>
      <c r="GG60">
        <f ca="1"/>
        <v>0</v>
      </c>
      <c r="GH60">
        <f ca="1"/>
        <v>0</v>
      </c>
      <c r="GI60">
        <f ca="1"/>
        <v>0</v>
      </c>
      <c r="GJ60">
        <f ca="1"/>
        <v>0</v>
      </c>
      <c r="GK60">
        <f ca="1"/>
        <v>0</v>
      </c>
      <c r="GL60">
        <f ca="1"/>
        <v>0</v>
      </c>
      <c r="GM60">
        <f ca="1"/>
        <v>0</v>
      </c>
      <c r="GN60">
        <f ca="1"/>
        <v>0</v>
      </c>
      <c r="GO60">
        <f ca="1"/>
        <v>0</v>
      </c>
      <c r="GP60">
        <f ca="1"/>
        <v>0</v>
      </c>
      <c r="GQ60">
        <f ca="1"/>
        <v>0</v>
      </c>
      <c r="GR60">
        <f ca="1"/>
        <v>0</v>
      </c>
      <c r="GS60">
        <f ca="1"/>
        <v>0</v>
      </c>
      <c r="GT60">
        <f ca="1"/>
        <v>0</v>
      </c>
      <c r="GU60">
        <f ca="1"/>
        <v>0</v>
      </c>
      <c r="GV60">
        <f ca="1"/>
        <v>0</v>
      </c>
      <c r="GW60">
        <f ca="1"/>
        <v>0</v>
      </c>
      <c r="GX60">
        <f ca="1"/>
        <v>0</v>
      </c>
      <c r="GY60">
        <f ca="1"/>
        <v>0</v>
      </c>
      <c r="GZ60">
        <f ca="1"/>
        <v>0</v>
      </c>
      <c r="HA60">
        <f ca="1"/>
        <v>0</v>
      </c>
      <c r="HB60">
        <f ca="1"/>
        <v>0</v>
      </c>
      <c r="HC60">
        <f ca="1"/>
        <v>0</v>
      </c>
      <c r="HD60">
        <f ca="1"/>
        <v>0</v>
      </c>
      <c r="HE60">
        <f ca="1"/>
        <v>0</v>
      </c>
      <c r="HF60">
        <f ca="1"/>
        <v>0</v>
      </c>
      <c r="HG60">
        <f ca="1"/>
        <v>0</v>
      </c>
      <c r="HH60">
        <f ca="1"/>
        <v>0</v>
      </c>
      <c r="HI60">
        <f ca="1"/>
        <v>0</v>
      </c>
      <c r="HJ60">
        <f ca="1"/>
        <v>0</v>
      </c>
      <c r="HK60">
        <f ca="1"/>
        <v>0</v>
      </c>
      <c r="HL60">
        <f ca="1"/>
        <v>0</v>
      </c>
      <c r="HM60">
        <f ca="1"/>
        <v>0</v>
      </c>
      <c r="HN60">
        <f ca="1"/>
        <v>0</v>
      </c>
      <c r="HO60">
        <f ca="1"/>
        <v>0</v>
      </c>
      <c r="HP60">
        <f ca="1"/>
        <v>0</v>
      </c>
      <c r="HQ60">
        <f ca="1"/>
        <v>0</v>
      </c>
      <c r="HR60">
        <f ca="1"/>
        <v>0</v>
      </c>
      <c r="HS60">
        <f ca="1"/>
        <v>0</v>
      </c>
      <c r="HT60">
        <f ca="1"/>
        <v>0</v>
      </c>
      <c r="HU60">
        <f ca="1"/>
        <v>0</v>
      </c>
      <c r="HV60">
        <f ca="1"/>
        <v>0</v>
      </c>
      <c r="HW60">
        <f ca="1"/>
        <v>0</v>
      </c>
      <c r="HX60">
        <f ca="1"/>
        <v>0</v>
      </c>
      <c r="HY60">
        <f ca="1"/>
        <v>0</v>
      </c>
      <c r="HZ60">
        <f ca="1"/>
        <v>0</v>
      </c>
      <c r="IA60">
        <f ca="1"/>
        <v>0</v>
      </c>
      <c r="IB60">
        <f ca="1"/>
        <v>0</v>
      </c>
      <c r="IC60">
        <f ca="1"/>
        <v>0</v>
      </c>
      <c r="ID60">
        <f ca="1"/>
        <v>0</v>
      </c>
      <c r="IE60">
        <f ca="1"/>
        <v>0</v>
      </c>
      <c r="IF60">
        <f ca="1"/>
        <v>0</v>
      </c>
      <c r="IG60">
        <f ca="1"/>
        <v>0</v>
      </c>
      <c r="IH60">
        <f ca="1"/>
        <v>0</v>
      </c>
      <c r="II60">
        <f ca="1"/>
        <v>0</v>
      </c>
      <c r="IJ60">
        <f ca="1"/>
        <v>0</v>
      </c>
      <c r="IK60">
        <f ca="1"/>
        <v>0</v>
      </c>
      <c r="IL60">
        <f ca="1"/>
        <v>0</v>
      </c>
      <c r="IM60">
        <f ca="1"/>
        <v>0</v>
      </c>
      <c r="IN60">
        <f ca="1"/>
        <v>0</v>
      </c>
      <c r="IO60">
        <f ca="1"/>
        <v>0</v>
      </c>
      <c r="IP60">
        <f ca="1"/>
        <v>0</v>
      </c>
      <c r="IQ60">
        <f ca="1"/>
        <v>0</v>
      </c>
      <c r="IR60">
        <f ca="1"/>
        <v>0</v>
      </c>
      <c r="IS60">
        <f ca="1"/>
        <v>0</v>
      </c>
      <c r="IT60">
        <f ca="1"/>
        <v>0</v>
      </c>
      <c r="IU60">
        <f ca="1"/>
        <v>0</v>
      </c>
      <c r="IV60">
        <f ca="1"/>
        <v>0</v>
      </c>
      <c r="IW60">
        <f ca="1"/>
        <v>0</v>
      </c>
    </row>
    <row r="61" spans="2:267" x14ac:dyDescent="0.25">
      <c r="B61" t="str">
        <f>IF(C61="","",_xlfn.XLOOKUP(C61,Type_Compte,Num_Compte))</f>
        <v>20K6HF2</v>
      </c>
      <c r="C61" t="s">
        <v>159</v>
      </c>
      <c r="D61" t="e" vm="551">
        <v>#VALUE!</v>
      </c>
      <c r="E61" t="str" cm="1">
        <f t="array" aca="1" ref="E61" ca="1">_FV(D61,"Code mnémonique",TRUE)</f>
        <v>PII</v>
      </c>
      <c r="F61" s="12">
        <f>_xlfn.XLOOKUP(D61,Titres[Action],Titres[Nb d''actions])</f>
        <v>0</v>
      </c>
      <c r="G61" cm="1">
        <f t="array" aca="1" ref="G61:IW61" ca="1">IFERROR(TRANSPOSE(_xlfn.STOCKHISTORY(D61,TODAY()-365,TODAY(),0,0,1))*F61,"")</f>
        <v>0</v>
      </c>
      <c r="H61">
        <f ca="1"/>
        <v>0</v>
      </c>
      <c r="I61">
        <f ca="1"/>
        <v>0</v>
      </c>
      <c r="J61">
        <f ca="1"/>
        <v>0</v>
      </c>
      <c r="K61">
        <f ca="1"/>
        <v>0</v>
      </c>
      <c r="L61">
        <f ca="1"/>
        <v>0</v>
      </c>
      <c r="M61">
        <f ca="1"/>
        <v>0</v>
      </c>
      <c r="N61">
        <f ca="1"/>
        <v>0</v>
      </c>
      <c r="O61">
        <f ca="1"/>
        <v>0</v>
      </c>
      <c r="P61">
        <f ca="1"/>
        <v>0</v>
      </c>
      <c r="Q61">
        <f ca="1"/>
        <v>0</v>
      </c>
      <c r="R61">
        <f ca="1"/>
        <v>0</v>
      </c>
      <c r="S61">
        <f ca="1"/>
        <v>0</v>
      </c>
      <c r="T61">
        <f ca="1"/>
        <v>0</v>
      </c>
      <c r="U61">
        <f ca="1"/>
        <v>0</v>
      </c>
      <c r="V61">
        <f ca="1"/>
        <v>0</v>
      </c>
      <c r="W61">
        <f ca="1"/>
        <v>0</v>
      </c>
      <c r="X61">
        <f ca="1"/>
        <v>0</v>
      </c>
      <c r="Y61">
        <f ca="1"/>
        <v>0</v>
      </c>
      <c r="Z61">
        <f ca="1"/>
        <v>0</v>
      </c>
      <c r="AA61">
        <f ca="1"/>
        <v>0</v>
      </c>
      <c r="AB61">
        <f ca="1"/>
        <v>0</v>
      </c>
      <c r="AC61">
        <f ca="1"/>
        <v>0</v>
      </c>
      <c r="AD61">
        <f ca="1"/>
        <v>0</v>
      </c>
      <c r="AE61">
        <f ca="1"/>
        <v>0</v>
      </c>
      <c r="AF61">
        <f ca="1"/>
        <v>0</v>
      </c>
      <c r="AG61">
        <f ca="1"/>
        <v>0</v>
      </c>
      <c r="AH61">
        <f ca="1"/>
        <v>0</v>
      </c>
      <c r="AI61">
        <f ca="1"/>
        <v>0</v>
      </c>
      <c r="AJ61">
        <f ca="1"/>
        <v>0</v>
      </c>
      <c r="AK61">
        <f ca="1"/>
        <v>0</v>
      </c>
      <c r="AL61">
        <f ca="1"/>
        <v>0</v>
      </c>
      <c r="AM61">
        <f ca="1"/>
        <v>0</v>
      </c>
      <c r="AN61">
        <f ca="1"/>
        <v>0</v>
      </c>
      <c r="AO61">
        <f ca="1"/>
        <v>0</v>
      </c>
      <c r="AP61">
        <f ca="1"/>
        <v>0</v>
      </c>
      <c r="AQ61">
        <f ca="1"/>
        <v>0</v>
      </c>
      <c r="AR61">
        <f ca="1"/>
        <v>0</v>
      </c>
      <c r="AS61">
        <f ca="1"/>
        <v>0</v>
      </c>
      <c r="AT61">
        <f ca="1"/>
        <v>0</v>
      </c>
      <c r="AU61">
        <f ca="1"/>
        <v>0</v>
      </c>
      <c r="AV61">
        <f ca="1"/>
        <v>0</v>
      </c>
      <c r="AW61">
        <f ca="1"/>
        <v>0</v>
      </c>
      <c r="AX61">
        <f ca="1"/>
        <v>0</v>
      </c>
      <c r="AY61">
        <f ca="1"/>
        <v>0</v>
      </c>
      <c r="AZ61">
        <f ca="1"/>
        <v>0</v>
      </c>
      <c r="BA61">
        <f ca="1"/>
        <v>0</v>
      </c>
      <c r="BB61">
        <f ca="1"/>
        <v>0</v>
      </c>
      <c r="BC61">
        <f ca="1"/>
        <v>0</v>
      </c>
      <c r="BD61">
        <f ca="1"/>
        <v>0</v>
      </c>
      <c r="BE61">
        <f ca="1"/>
        <v>0</v>
      </c>
      <c r="BF61">
        <f ca="1"/>
        <v>0</v>
      </c>
      <c r="BG61">
        <f ca="1"/>
        <v>0</v>
      </c>
      <c r="BH61">
        <f ca="1"/>
        <v>0</v>
      </c>
      <c r="BI61">
        <f ca="1"/>
        <v>0</v>
      </c>
      <c r="BJ61">
        <f ca="1"/>
        <v>0</v>
      </c>
      <c r="BK61">
        <f ca="1"/>
        <v>0</v>
      </c>
      <c r="BL61">
        <f ca="1"/>
        <v>0</v>
      </c>
      <c r="BM61">
        <f ca="1"/>
        <v>0</v>
      </c>
      <c r="BN61">
        <f ca="1"/>
        <v>0</v>
      </c>
      <c r="BO61">
        <f ca="1"/>
        <v>0</v>
      </c>
      <c r="BP61">
        <f ca="1"/>
        <v>0</v>
      </c>
      <c r="BQ61">
        <f ca="1"/>
        <v>0</v>
      </c>
      <c r="BR61">
        <f ca="1"/>
        <v>0</v>
      </c>
      <c r="BS61">
        <f ca="1"/>
        <v>0</v>
      </c>
      <c r="BT61">
        <f ca="1"/>
        <v>0</v>
      </c>
      <c r="BU61">
        <f ca="1"/>
        <v>0</v>
      </c>
      <c r="BV61">
        <f ca="1"/>
        <v>0</v>
      </c>
      <c r="BW61">
        <f ca="1"/>
        <v>0</v>
      </c>
      <c r="BX61">
        <f ca="1"/>
        <v>0</v>
      </c>
      <c r="BY61">
        <f ca="1"/>
        <v>0</v>
      </c>
      <c r="BZ61">
        <f ca="1"/>
        <v>0</v>
      </c>
      <c r="CA61">
        <f ca="1"/>
        <v>0</v>
      </c>
      <c r="CB61">
        <f ca="1"/>
        <v>0</v>
      </c>
      <c r="CC61">
        <f ca="1"/>
        <v>0</v>
      </c>
      <c r="CD61">
        <f ca="1"/>
        <v>0</v>
      </c>
      <c r="CE61">
        <f ca="1"/>
        <v>0</v>
      </c>
      <c r="CF61">
        <f ca="1"/>
        <v>0</v>
      </c>
      <c r="CG61">
        <f ca="1"/>
        <v>0</v>
      </c>
      <c r="CH61">
        <f ca="1"/>
        <v>0</v>
      </c>
      <c r="CI61">
        <f ca="1"/>
        <v>0</v>
      </c>
      <c r="CJ61">
        <f ca="1"/>
        <v>0</v>
      </c>
      <c r="CK61">
        <f ca="1"/>
        <v>0</v>
      </c>
      <c r="CL61">
        <f ca="1"/>
        <v>0</v>
      </c>
      <c r="CM61">
        <f ca="1"/>
        <v>0</v>
      </c>
      <c r="CN61">
        <f ca="1"/>
        <v>0</v>
      </c>
      <c r="CO61">
        <f ca="1"/>
        <v>0</v>
      </c>
      <c r="CP61">
        <f ca="1"/>
        <v>0</v>
      </c>
      <c r="CQ61">
        <f ca="1"/>
        <v>0</v>
      </c>
      <c r="CR61">
        <f ca="1"/>
        <v>0</v>
      </c>
      <c r="CS61">
        <f ca="1"/>
        <v>0</v>
      </c>
      <c r="CT61">
        <f ca="1"/>
        <v>0</v>
      </c>
      <c r="CU61">
        <f ca="1"/>
        <v>0</v>
      </c>
      <c r="CV61">
        <f ca="1"/>
        <v>0</v>
      </c>
      <c r="CW61">
        <f ca="1"/>
        <v>0</v>
      </c>
      <c r="CX61">
        <f ca="1"/>
        <v>0</v>
      </c>
      <c r="CY61">
        <f ca="1"/>
        <v>0</v>
      </c>
      <c r="CZ61">
        <f ca="1"/>
        <v>0</v>
      </c>
      <c r="DA61">
        <f ca="1"/>
        <v>0</v>
      </c>
      <c r="DB61">
        <f ca="1"/>
        <v>0</v>
      </c>
      <c r="DC61">
        <f ca="1"/>
        <v>0</v>
      </c>
      <c r="DD61">
        <f ca="1"/>
        <v>0</v>
      </c>
      <c r="DE61">
        <f ca="1"/>
        <v>0</v>
      </c>
      <c r="DF61">
        <f ca="1"/>
        <v>0</v>
      </c>
      <c r="DG61">
        <f ca="1"/>
        <v>0</v>
      </c>
      <c r="DH61">
        <f ca="1"/>
        <v>0</v>
      </c>
      <c r="DI61">
        <f ca="1"/>
        <v>0</v>
      </c>
      <c r="DJ61">
        <f ca="1"/>
        <v>0</v>
      </c>
      <c r="DK61">
        <f ca="1"/>
        <v>0</v>
      </c>
      <c r="DL61">
        <f ca="1"/>
        <v>0</v>
      </c>
      <c r="DM61">
        <f ca="1"/>
        <v>0</v>
      </c>
      <c r="DN61">
        <f ca="1"/>
        <v>0</v>
      </c>
      <c r="DO61">
        <f ca="1"/>
        <v>0</v>
      </c>
      <c r="DP61">
        <f ca="1"/>
        <v>0</v>
      </c>
      <c r="DQ61">
        <f ca="1"/>
        <v>0</v>
      </c>
      <c r="DR61">
        <f ca="1"/>
        <v>0</v>
      </c>
      <c r="DS61">
        <f ca="1"/>
        <v>0</v>
      </c>
      <c r="DT61">
        <f ca="1"/>
        <v>0</v>
      </c>
      <c r="DU61">
        <f ca="1"/>
        <v>0</v>
      </c>
      <c r="DV61">
        <f ca="1"/>
        <v>0</v>
      </c>
      <c r="DW61">
        <f ca="1"/>
        <v>0</v>
      </c>
      <c r="DX61">
        <f ca="1"/>
        <v>0</v>
      </c>
      <c r="DY61">
        <f ca="1"/>
        <v>0</v>
      </c>
      <c r="DZ61">
        <f ca="1"/>
        <v>0</v>
      </c>
      <c r="EA61">
        <f ca="1"/>
        <v>0</v>
      </c>
      <c r="EB61">
        <f ca="1"/>
        <v>0</v>
      </c>
      <c r="EC61">
        <f ca="1"/>
        <v>0</v>
      </c>
      <c r="ED61">
        <f ca="1"/>
        <v>0</v>
      </c>
      <c r="EE61">
        <f ca="1"/>
        <v>0</v>
      </c>
      <c r="EF61">
        <f ca="1"/>
        <v>0</v>
      </c>
      <c r="EG61">
        <f ca="1"/>
        <v>0</v>
      </c>
      <c r="EH61">
        <f ca="1"/>
        <v>0</v>
      </c>
      <c r="EI61">
        <f ca="1"/>
        <v>0</v>
      </c>
      <c r="EJ61">
        <f ca="1"/>
        <v>0</v>
      </c>
      <c r="EK61">
        <f ca="1"/>
        <v>0</v>
      </c>
      <c r="EL61">
        <f ca="1"/>
        <v>0</v>
      </c>
      <c r="EM61">
        <f ca="1"/>
        <v>0</v>
      </c>
      <c r="EN61">
        <f ca="1"/>
        <v>0</v>
      </c>
      <c r="EO61">
        <f ca="1"/>
        <v>0</v>
      </c>
      <c r="EP61">
        <f ca="1"/>
        <v>0</v>
      </c>
      <c r="EQ61">
        <f ca="1"/>
        <v>0</v>
      </c>
      <c r="ER61">
        <f ca="1"/>
        <v>0</v>
      </c>
      <c r="ES61">
        <f ca="1"/>
        <v>0</v>
      </c>
      <c r="ET61">
        <f ca="1"/>
        <v>0</v>
      </c>
      <c r="EU61">
        <f ca="1"/>
        <v>0</v>
      </c>
      <c r="EV61">
        <f ca="1"/>
        <v>0</v>
      </c>
      <c r="EW61">
        <f ca="1"/>
        <v>0</v>
      </c>
      <c r="EX61">
        <f ca="1"/>
        <v>0</v>
      </c>
      <c r="EY61">
        <f ca="1"/>
        <v>0</v>
      </c>
      <c r="EZ61">
        <f ca="1"/>
        <v>0</v>
      </c>
      <c r="FA61">
        <f ca="1"/>
        <v>0</v>
      </c>
      <c r="FB61">
        <f ca="1"/>
        <v>0</v>
      </c>
      <c r="FC61">
        <f ca="1"/>
        <v>0</v>
      </c>
      <c r="FD61">
        <f ca="1"/>
        <v>0</v>
      </c>
      <c r="FE61">
        <f ca="1"/>
        <v>0</v>
      </c>
      <c r="FF61">
        <f ca="1"/>
        <v>0</v>
      </c>
      <c r="FG61">
        <f ca="1"/>
        <v>0</v>
      </c>
      <c r="FH61">
        <f ca="1"/>
        <v>0</v>
      </c>
      <c r="FI61">
        <f ca="1"/>
        <v>0</v>
      </c>
      <c r="FJ61">
        <f ca="1"/>
        <v>0</v>
      </c>
      <c r="FK61">
        <f ca="1"/>
        <v>0</v>
      </c>
      <c r="FL61">
        <f ca="1"/>
        <v>0</v>
      </c>
      <c r="FM61">
        <f ca="1"/>
        <v>0</v>
      </c>
      <c r="FN61">
        <f ca="1"/>
        <v>0</v>
      </c>
      <c r="FO61">
        <f ca="1"/>
        <v>0</v>
      </c>
      <c r="FP61">
        <f ca="1"/>
        <v>0</v>
      </c>
      <c r="FQ61">
        <f ca="1"/>
        <v>0</v>
      </c>
      <c r="FR61">
        <f ca="1"/>
        <v>0</v>
      </c>
      <c r="FS61">
        <f ca="1"/>
        <v>0</v>
      </c>
      <c r="FT61">
        <f ca="1"/>
        <v>0</v>
      </c>
      <c r="FU61">
        <f ca="1"/>
        <v>0</v>
      </c>
      <c r="FV61">
        <f ca="1"/>
        <v>0</v>
      </c>
      <c r="FW61">
        <f ca="1"/>
        <v>0</v>
      </c>
      <c r="FX61">
        <f ca="1"/>
        <v>0</v>
      </c>
      <c r="FY61">
        <f ca="1"/>
        <v>0</v>
      </c>
      <c r="FZ61">
        <f ca="1"/>
        <v>0</v>
      </c>
      <c r="GA61">
        <f ca="1"/>
        <v>0</v>
      </c>
      <c r="GB61">
        <f ca="1"/>
        <v>0</v>
      </c>
      <c r="GC61">
        <f ca="1"/>
        <v>0</v>
      </c>
      <c r="GD61">
        <f ca="1"/>
        <v>0</v>
      </c>
      <c r="GE61">
        <f ca="1"/>
        <v>0</v>
      </c>
      <c r="GF61">
        <f ca="1"/>
        <v>0</v>
      </c>
      <c r="GG61">
        <f ca="1"/>
        <v>0</v>
      </c>
      <c r="GH61">
        <f ca="1"/>
        <v>0</v>
      </c>
      <c r="GI61">
        <f ca="1"/>
        <v>0</v>
      </c>
      <c r="GJ61">
        <f ca="1"/>
        <v>0</v>
      </c>
      <c r="GK61">
        <f ca="1"/>
        <v>0</v>
      </c>
      <c r="GL61">
        <f ca="1"/>
        <v>0</v>
      </c>
      <c r="GM61">
        <f ca="1"/>
        <v>0</v>
      </c>
      <c r="GN61">
        <f ca="1"/>
        <v>0</v>
      </c>
      <c r="GO61">
        <f ca="1"/>
        <v>0</v>
      </c>
      <c r="GP61">
        <f ca="1"/>
        <v>0</v>
      </c>
      <c r="GQ61">
        <f ca="1"/>
        <v>0</v>
      </c>
      <c r="GR61">
        <f ca="1"/>
        <v>0</v>
      </c>
      <c r="GS61">
        <f ca="1"/>
        <v>0</v>
      </c>
      <c r="GT61">
        <f ca="1"/>
        <v>0</v>
      </c>
      <c r="GU61">
        <f ca="1"/>
        <v>0</v>
      </c>
      <c r="GV61">
        <f ca="1"/>
        <v>0</v>
      </c>
      <c r="GW61">
        <f ca="1"/>
        <v>0</v>
      </c>
      <c r="GX61">
        <f ca="1"/>
        <v>0</v>
      </c>
      <c r="GY61">
        <f ca="1"/>
        <v>0</v>
      </c>
      <c r="GZ61">
        <f ca="1"/>
        <v>0</v>
      </c>
      <c r="HA61">
        <f ca="1"/>
        <v>0</v>
      </c>
      <c r="HB61">
        <f ca="1"/>
        <v>0</v>
      </c>
      <c r="HC61">
        <f ca="1"/>
        <v>0</v>
      </c>
      <c r="HD61">
        <f ca="1"/>
        <v>0</v>
      </c>
      <c r="HE61">
        <f ca="1"/>
        <v>0</v>
      </c>
      <c r="HF61">
        <f ca="1"/>
        <v>0</v>
      </c>
      <c r="HG61">
        <f ca="1"/>
        <v>0</v>
      </c>
      <c r="HH61">
        <f ca="1"/>
        <v>0</v>
      </c>
      <c r="HI61">
        <f ca="1"/>
        <v>0</v>
      </c>
      <c r="HJ61">
        <f ca="1"/>
        <v>0</v>
      </c>
      <c r="HK61">
        <f ca="1"/>
        <v>0</v>
      </c>
      <c r="HL61">
        <f ca="1"/>
        <v>0</v>
      </c>
      <c r="HM61">
        <f ca="1"/>
        <v>0</v>
      </c>
      <c r="HN61">
        <f ca="1"/>
        <v>0</v>
      </c>
      <c r="HO61">
        <f ca="1"/>
        <v>0</v>
      </c>
      <c r="HP61">
        <f ca="1"/>
        <v>0</v>
      </c>
      <c r="HQ61">
        <f ca="1"/>
        <v>0</v>
      </c>
      <c r="HR61">
        <f ca="1"/>
        <v>0</v>
      </c>
      <c r="HS61">
        <f ca="1"/>
        <v>0</v>
      </c>
      <c r="HT61">
        <f ca="1"/>
        <v>0</v>
      </c>
      <c r="HU61">
        <f ca="1"/>
        <v>0</v>
      </c>
      <c r="HV61">
        <f ca="1"/>
        <v>0</v>
      </c>
      <c r="HW61">
        <f ca="1"/>
        <v>0</v>
      </c>
      <c r="HX61">
        <f ca="1"/>
        <v>0</v>
      </c>
      <c r="HY61">
        <f ca="1"/>
        <v>0</v>
      </c>
      <c r="HZ61">
        <f ca="1"/>
        <v>0</v>
      </c>
      <c r="IA61">
        <f ca="1"/>
        <v>0</v>
      </c>
      <c r="IB61">
        <f ca="1"/>
        <v>0</v>
      </c>
      <c r="IC61">
        <f ca="1"/>
        <v>0</v>
      </c>
      <c r="ID61">
        <f ca="1"/>
        <v>0</v>
      </c>
      <c r="IE61">
        <f ca="1"/>
        <v>0</v>
      </c>
      <c r="IF61">
        <f ca="1"/>
        <v>0</v>
      </c>
      <c r="IG61">
        <f ca="1"/>
        <v>0</v>
      </c>
      <c r="IH61">
        <f ca="1"/>
        <v>0</v>
      </c>
      <c r="II61">
        <f ca="1"/>
        <v>0</v>
      </c>
      <c r="IJ61">
        <f ca="1"/>
        <v>0</v>
      </c>
      <c r="IK61">
        <f ca="1"/>
        <v>0</v>
      </c>
      <c r="IL61">
        <f ca="1"/>
        <v>0</v>
      </c>
      <c r="IM61">
        <f ca="1"/>
        <v>0</v>
      </c>
      <c r="IN61">
        <f ca="1"/>
        <v>0</v>
      </c>
      <c r="IO61">
        <f ca="1"/>
        <v>0</v>
      </c>
      <c r="IP61">
        <f ca="1"/>
        <v>0</v>
      </c>
      <c r="IQ61">
        <f ca="1"/>
        <v>0</v>
      </c>
      <c r="IR61">
        <f ca="1"/>
        <v>0</v>
      </c>
      <c r="IS61">
        <f ca="1"/>
        <v>0</v>
      </c>
      <c r="IT61">
        <f ca="1"/>
        <v>0</v>
      </c>
      <c r="IU61">
        <f ca="1"/>
        <v>0</v>
      </c>
      <c r="IV61">
        <f ca="1"/>
        <v>0</v>
      </c>
      <c r="IW61">
        <f ca="1"/>
        <v>0</v>
      </c>
    </row>
    <row r="62" spans="2:267" x14ac:dyDescent="0.25">
      <c r="B62" t="str">
        <f>IF(C62="","",_xlfn.XLOOKUP(C62,Type_Compte,Num_Compte))</f>
        <v>20K6HF2</v>
      </c>
      <c r="C62" t="s">
        <v>159</v>
      </c>
      <c r="D62" t="e" vm="566">
        <v>#VALUE!</v>
      </c>
      <c r="E62" t="str" cm="1">
        <f t="array" aca="1" ref="E62" ca="1">_FV(D62,"Code mnémonique",TRUE)</f>
        <v>VFC</v>
      </c>
      <c r="F62" s="12">
        <f>_xlfn.XLOOKUP(D62,Titres[Action],Titres[Nb d''actions])</f>
        <v>0</v>
      </c>
      <c r="G62" cm="1">
        <f t="array" aca="1" ref="G62:IW62" ca="1">IFERROR(TRANSPOSE(_xlfn.STOCKHISTORY(D62,TODAY()-365,TODAY(),0,0,1))*F62,"")</f>
        <v>0</v>
      </c>
      <c r="H62">
        <f ca="1"/>
        <v>0</v>
      </c>
      <c r="I62">
        <f ca="1"/>
        <v>0</v>
      </c>
      <c r="J62">
        <f ca="1"/>
        <v>0</v>
      </c>
      <c r="K62">
        <f ca="1"/>
        <v>0</v>
      </c>
      <c r="L62">
        <f ca="1"/>
        <v>0</v>
      </c>
      <c r="M62">
        <f ca="1"/>
        <v>0</v>
      </c>
      <c r="N62">
        <f ca="1"/>
        <v>0</v>
      </c>
      <c r="O62">
        <f ca="1"/>
        <v>0</v>
      </c>
      <c r="P62">
        <f ca="1"/>
        <v>0</v>
      </c>
      <c r="Q62">
        <f ca="1"/>
        <v>0</v>
      </c>
      <c r="R62">
        <f ca="1"/>
        <v>0</v>
      </c>
      <c r="S62">
        <f ca="1"/>
        <v>0</v>
      </c>
      <c r="T62">
        <f ca="1"/>
        <v>0</v>
      </c>
      <c r="U62">
        <f ca="1"/>
        <v>0</v>
      </c>
      <c r="V62">
        <f ca="1"/>
        <v>0</v>
      </c>
      <c r="W62">
        <f ca="1"/>
        <v>0</v>
      </c>
      <c r="X62">
        <f ca="1"/>
        <v>0</v>
      </c>
      <c r="Y62">
        <f ca="1"/>
        <v>0</v>
      </c>
      <c r="Z62">
        <f ca="1"/>
        <v>0</v>
      </c>
      <c r="AA62">
        <f ca="1"/>
        <v>0</v>
      </c>
      <c r="AB62">
        <f ca="1"/>
        <v>0</v>
      </c>
      <c r="AC62">
        <f ca="1"/>
        <v>0</v>
      </c>
      <c r="AD62">
        <f ca="1"/>
        <v>0</v>
      </c>
      <c r="AE62">
        <f ca="1"/>
        <v>0</v>
      </c>
      <c r="AF62">
        <f ca="1"/>
        <v>0</v>
      </c>
      <c r="AG62">
        <f ca="1"/>
        <v>0</v>
      </c>
      <c r="AH62">
        <f ca="1"/>
        <v>0</v>
      </c>
      <c r="AI62">
        <f ca="1"/>
        <v>0</v>
      </c>
      <c r="AJ62">
        <f ca="1"/>
        <v>0</v>
      </c>
      <c r="AK62">
        <f ca="1"/>
        <v>0</v>
      </c>
      <c r="AL62">
        <f ca="1"/>
        <v>0</v>
      </c>
      <c r="AM62">
        <f ca="1"/>
        <v>0</v>
      </c>
      <c r="AN62">
        <f ca="1"/>
        <v>0</v>
      </c>
      <c r="AO62">
        <f ca="1"/>
        <v>0</v>
      </c>
      <c r="AP62">
        <f ca="1"/>
        <v>0</v>
      </c>
      <c r="AQ62">
        <f ca="1"/>
        <v>0</v>
      </c>
      <c r="AR62">
        <f ca="1"/>
        <v>0</v>
      </c>
      <c r="AS62">
        <f ca="1"/>
        <v>0</v>
      </c>
      <c r="AT62">
        <f ca="1"/>
        <v>0</v>
      </c>
      <c r="AU62">
        <f ca="1"/>
        <v>0</v>
      </c>
      <c r="AV62">
        <f ca="1"/>
        <v>0</v>
      </c>
      <c r="AW62">
        <f ca="1"/>
        <v>0</v>
      </c>
      <c r="AX62">
        <f ca="1"/>
        <v>0</v>
      </c>
      <c r="AY62">
        <f ca="1"/>
        <v>0</v>
      </c>
      <c r="AZ62">
        <f ca="1"/>
        <v>0</v>
      </c>
      <c r="BA62">
        <f ca="1"/>
        <v>0</v>
      </c>
      <c r="BB62">
        <f ca="1"/>
        <v>0</v>
      </c>
      <c r="BC62">
        <f ca="1"/>
        <v>0</v>
      </c>
      <c r="BD62">
        <f ca="1"/>
        <v>0</v>
      </c>
      <c r="BE62">
        <f ca="1"/>
        <v>0</v>
      </c>
      <c r="BF62">
        <f ca="1"/>
        <v>0</v>
      </c>
      <c r="BG62">
        <f ca="1"/>
        <v>0</v>
      </c>
      <c r="BH62">
        <f ca="1"/>
        <v>0</v>
      </c>
      <c r="BI62">
        <f ca="1"/>
        <v>0</v>
      </c>
      <c r="BJ62">
        <f ca="1"/>
        <v>0</v>
      </c>
      <c r="BK62">
        <f ca="1"/>
        <v>0</v>
      </c>
      <c r="BL62">
        <f ca="1"/>
        <v>0</v>
      </c>
      <c r="BM62">
        <f ca="1"/>
        <v>0</v>
      </c>
      <c r="BN62">
        <f ca="1"/>
        <v>0</v>
      </c>
      <c r="BO62">
        <f ca="1"/>
        <v>0</v>
      </c>
      <c r="BP62">
        <f ca="1"/>
        <v>0</v>
      </c>
      <c r="BQ62">
        <f ca="1"/>
        <v>0</v>
      </c>
      <c r="BR62">
        <f ca="1"/>
        <v>0</v>
      </c>
      <c r="BS62">
        <f ca="1"/>
        <v>0</v>
      </c>
      <c r="BT62">
        <f ca="1"/>
        <v>0</v>
      </c>
      <c r="BU62">
        <f ca="1"/>
        <v>0</v>
      </c>
      <c r="BV62">
        <f ca="1"/>
        <v>0</v>
      </c>
      <c r="BW62">
        <f ca="1"/>
        <v>0</v>
      </c>
      <c r="BX62">
        <f ca="1"/>
        <v>0</v>
      </c>
      <c r="BY62">
        <f ca="1"/>
        <v>0</v>
      </c>
      <c r="BZ62">
        <f ca="1"/>
        <v>0</v>
      </c>
      <c r="CA62">
        <f ca="1"/>
        <v>0</v>
      </c>
      <c r="CB62">
        <f ca="1"/>
        <v>0</v>
      </c>
      <c r="CC62">
        <f ca="1"/>
        <v>0</v>
      </c>
      <c r="CD62">
        <f ca="1"/>
        <v>0</v>
      </c>
      <c r="CE62">
        <f ca="1"/>
        <v>0</v>
      </c>
      <c r="CF62">
        <f ca="1"/>
        <v>0</v>
      </c>
      <c r="CG62">
        <f ca="1"/>
        <v>0</v>
      </c>
      <c r="CH62">
        <f ca="1"/>
        <v>0</v>
      </c>
      <c r="CI62">
        <f ca="1"/>
        <v>0</v>
      </c>
      <c r="CJ62">
        <f ca="1"/>
        <v>0</v>
      </c>
      <c r="CK62">
        <f ca="1"/>
        <v>0</v>
      </c>
      <c r="CL62">
        <f ca="1"/>
        <v>0</v>
      </c>
      <c r="CM62">
        <f ca="1"/>
        <v>0</v>
      </c>
      <c r="CN62">
        <f ca="1"/>
        <v>0</v>
      </c>
      <c r="CO62">
        <f ca="1"/>
        <v>0</v>
      </c>
      <c r="CP62">
        <f ca="1"/>
        <v>0</v>
      </c>
      <c r="CQ62">
        <f ca="1"/>
        <v>0</v>
      </c>
      <c r="CR62">
        <f ca="1"/>
        <v>0</v>
      </c>
      <c r="CS62">
        <f ca="1"/>
        <v>0</v>
      </c>
      <c r="CT62">
        <f ca="1"/>
        <v>0</v>
      </c>
      <c r="CU62">
        <f ca="1"/>
        <v>0</v>
      </c>
      <c r="CV62">
        <f ca="1"/>
        <v>0</v>
      </c>
      <c r="CW62">
        <f ca="1"/>
        <v>0</v>
      </c>
      <c r="CX62">
        <f ca="1"/>
        <v>0</v>
      </c>
      <c r="CY62">
        <f ca="1"/>
        <v>0</v>
      </c>
      <c r="CZ62">
        <f ca="1"/>
        <v>0</v>
      </c>
      <c r="DA62">
        <f ca="1"/>
        <v>0</v>
      </c>
      <c r="DB62">
        <f ca="1"/>
        <v>0</v>
      </c>
      <c r="DC62">
        <f ca="1"/>
        <v>0</v>
      </c>
      <c r="DD62">
        <f ca="1"/>
        <v>0</v>
      </c>
      <c r="DE62">
        <f ca="1"/>
        <v>0</v>
      </c>
      <c r="DF62">
        <f ca="1"/>
        <v>0</v>
      </c>
      <c r="DG62">
        <f ca="1"/>
        <v>0</v>
      </c>
      <c r="DH62">
        <f ca="1"/>
        <v>0</v>
      </c>
      <c r="DI62">
        <f ca="1"/>
        <v>0</v>
      </c>
      <c r="DJ62">
        <f ca="1"/>
        <v>0</v>
      </c>
      <c r="DK62">
        <f ca="1"/>
        <v>0</v>
      </c>
      <c r="DL62">
        <f ca="1"/>
        <v>0</v>
      </c>
      <c r="DM62">
        <f ca="1"/>
        <v>0</v>
      </c>
      <c r="DN62">
        <f ca="1"/>
        <v>0</v>
      </c>
      <c r="DO62">
        <f ca="1"/>
        <v>0</v>
      </c>
      <c r="DP62">
        <f ca="1"/>
        <v>0</v>
      </c>
      <c r="DQ62">
        <f ca="1"/>
        <v>0</v>
      </c>
      <c r="DR62">
        <f ca="1"/>
        <v>0</v>
      </c>
      <c r="DS62">
        <f ca="1"/>
        <v>0</v>
      </c>
      <c r="DT62">
        <f ca="1"/>
        <v>0</v>
      </c>
      <c r="DU62">
        <f ca="1"/>
        <v>0</v>
      </c>
      <c r="DV62">
        <f ca="1"/>
        <v>0</v>
      </c>
      <c r="DW62">
        <f ca="1"/>
        <v>0</v>
      </c>
      <c r="DX62">
        <f ca="1"/>
        <v>0</v>
      </c>
      <c r="DY62">
        <f ca="1"/>
        <v>0</v>
      </c>
      <c r="DZ62">
        <f ca="1"/>
        <v>0</v>
      </c>
      <c r="EA62">
        <f ca="1"/>
        <v>0</v>
      </c>
      <c r="EB62">
        <f ca="1"/>
        <v>0</v>
      </c>
      <c r="EC62">
        <f ca="1"/>
        <v>0</v>
      </c>
      <c r="ED62">
        <f ca="1"/>
        <v>0</v>
      </c>
      <c r="EE62">
        <f ca="1"/>
        <v>0</v>
      </c>
      <c r="EF62">
        <f ca="1"/>
        <v>0</v>
      </c>
      <c r="EG62">
        <f ca="1"/>
        <v>0</v>
      </c>
      <c r="EH62">
        <f ca="1"/>
        <v>0</v>
      </c>
      <c r="EI62">
        <f ca="1"/>
        <v>0</v>
      </c>
      <c r="EJ62">
        <f ca="1"/>
        <v>0</v>
      </c>
      <c r="EK62">
        <f ca="1"/>
        <v>0</v>
      </c>
      <c r="EL62">
        <f ca="1"/>
        <v>0</v>
      </c>
      <c r="EM62">
        <f ca="1"/>
        <v>0</v>
      </c>
      <c r="EN62">
        <f ca="1"/>
        <v>0</v>
      </c>
      <c r="EO62">
        <f ca="1"/>
        <v>0</v>
      </c>
      <c r="EP62">
        <f ca="1"/>
        <v>0</v>
      </c>
      <c r="EQ62">
        <f ca="1"/>
        <v>0</v>
      </c>
      <c r="ER62">
        <f ca="1"/>
        <v>0</v>
      </c>
      <c r="ES62">
        <f ca="1"/>
        <v>0</v>
      </c>
      <c r="ET62">
        <f ca="1"/>
        <v>0</v>
      </c>
      <c r="EU62">
        <f ca="1"/>
        <v>0</v>
      </c>
      <c r="EV62">
        <f ca="1"/>
        <v>0</v>
      </c>
      <c r="EW62">
        <f ca="1"/>
        <v>0</v>
      </c>
      <c r="EX62">
        <f ca="1"/>
        <v>0</v>
      </c>
      <c r="EY62">
        <f ca="1"/>
        <v>0</v>
      </c>
      <c r="EZ62">
        <f ca="1"/>
        <v>0</v>
      </c>
      <c r="FA62">
        <f ca="1"/>
        <v>0</v>
      </c>
      <c r="FB62">
        <f ca="1"/>
        <v>0</v>
      </c>
      <c r="FC62">
        <f ca="1"/>
        <v>0</v>
      </c>
      <c r="FD62">
        <f ca="1"/>
        <v>0</v>
      </c>
      <c r="FE62">
        <f ca="1"/>
        <v>0</v>
      </c>
      <c r="FF62">
        <f ca="1"/>
        <v>0</v>
      </c>
      <c r="FG62">
        <f ca="1"/>
        <v>0</v>
      </c>
      <c r="FH62">
        <f ca="1"/>
        <v>0</v>
      </c>
      <c r="FI62">
        <f ca="1"/>
        <v>0</v>
      </c>
      <c r="FJ62">
        <f ca="1"/>
        <v>0</v>
      </c>
      <c r="FK62">
        <f ca="1"/>
        <v>0</v>
      </c>
      <c r="FL62">
        <f ca="1"/>
        <v>0</v>
      </c>
      <c r="FM62">
        <f ca="1"/>
        <v>0</v>
      </c>
      <c r="FN62">
        <f ca="1"/>
        <v>0</v>
      </c>
      <c r="FO62">
        <f ca="1"/>
        <v>0</v>
      </c>
      <c r="FP62">
        <f ca="1"/>
        <v>0</v>
      </c>
      <c r="FQ62">
        <f ca="1"/>
        <v>0</v>
      </c>
      <c r="FR62">
        <f ca="1"/>
        <v>0</v>
      </c>
      <c r="FS62">
        <f ca="1"/>
        <v>0</v>
      </c>
      <c r="FT62">
        <f ca="1"/>
        <v>0</v>
      </c>
      <c r="FU62">
        <f ca="1"/>
        <v>0</v>
      </c>
      <c r="FV62">
        <f ca="1"/>
        <v>0</v>
      </c>
      <c r="FW62">
        <f ca="1"/>
        <v>0</v>
      </c>
      <c r="FX62">
        <f ca="1"/>
        <v>0</v>
      </c>
      <c r="FY62">
        <f ca="1"/>
        <v>0</v>
      </c>
      <c r="FZ62">
        <f ca="1"/>
        <v>0</v>
      </c>
      <c r="GA62">
        <f ca="1"/>
        <v>0</v>
      </c>
      <c r="GB62">
        <f ca="1"/>
        <v>0</v>
      </c>
      <c r="GC62">
        <f ca="1"/>
        <v>0</v>
      </c>
      <c r="GD62">
        <f ca="1"/>
        <v>0</v>
      </c>
      <c r="GE62">
        <f ca="1"/>
        <v>0</v>
      </c>
      <c r="GF62">
        <f ca="1"/>
        <v>0</v>
      </c>
      <c r="GG62">
        <f ca="1"/>
        <v>0</v>
      </c>
      <c r="GH62">
        <f ca="1"/>
        <v>0</v>
      </c>
      <c r="GI62">
        <f ca="1"/>
        <v>0</v>
      </c>
      <c r="GJ62">
        <f ca="1"/>
        <v>0</v>
      </c>
      <c r="GK62">
        <f ca="1"/>
        <v>0</v>
      </c>
      <c r="GL62">
        <f ca="1"/>
        <v>0</v>
      </c>
      <c r="GM62">
        <f ca="1"/>
        <v>0</v>
      </c>
      <c r="GN62">
        <f ca="1"/>
        <v>0</v>
      </c>
      <c r="GO62">
        <f ca="1"/>
        <v>0</v>
      </c>
      <c r="GP62">
        <f ca="1"/>
        <v>0</v>
      </c>
      <c r="GQ62">
        <f ca="1"/>
        <v>0</v>
      </c>
      <c r="GR62">
        <f ca="1"/>
        <v>0</v>
      </c>
      <c r="GS62">
        <f ca="1"/>
        <v>0</v>
      </c>
      <c r="GT62">
        <f ca="1"/>
        <v>0</v>
      </c>
      <c r="GU62">
        <f ca="1"/>
        <v>0</v>
      </c>
      <c r="GV62">
        <f ca="1"/>
        <v>0</v>
      </c>
      <c r="GW62">
        <f ca="1"/>
        <v>0</v>
      </c>
      <c r="GX62">
        <f ca="1"/>
        <v>0</v>
      </c>
      <c r="GY62">
        <f ca="1"/>
        <v>0</v>
      </c>
      <c r="GZ62">
        <f ca="1"/>
        <v>0</v>
      </c>
      <c r="HA62">
        <f ca="1"/>
        <v>0</v>
      </c>
      <c r="HB62">
        <f ca="1"/>
        <v>0</v>
      </c>
      <c r="HC62">
        <f ca="1"/>
        <v>0</v>
      </c>
      <c r="HD62">
        <f ca="1"/>
        <v>0</v>
      </c>
      <c r="HE62">
        <f ca="1"/>
        <v>0</v>
      </c>
      <c r="HF62">
        <f ca="1"/>
        <v>0</v>
      </c>
      <c r="HG62">
        <f ca="1"/>
        <v>0</v>
      </c>
      <c r="HH62">
        <f ca="1"/>
        <v>0</v>
      </c>
      <c r="HI62">
        <f ca="1"/>
        <v>0</v>
      </c>
      <c r="HJ62">
        <f ca="1"/>
        <v>0</v>
      </c>
      <c r="HK62">
        <f ca="1"/>
        <v>0</v>
      </c>
      <c r="HL62">
        <f ca="1"/>
        <v>0</v>
      </c>
      <c r="HM62">
        <f ca="1"/>
        <v>0</v>
      </c>
      <c r="HN62">
        <f ca="1"/>
        <v>0</v>
      </c>
      <c r="HO62">
        <f ca="1"/>
        <v>0</v>
      </c>
      <c r="HP62">
        <f ca="1"/>
        <v>0</v>
      </c>
      <c r="HQ62">
        <f ca="1"/>
        <v>0</v>
      </c>
      <c r="HR62">
        <f ca="1"/>
        <v>0</v>
      </c>
      <c r="HS62">
        <f ca="1"/>
        <v>0</v>
      </c>
      <c r="HT62">
        <f ca="1"/>
        <v>0</v>
      </c>
      <c r="HU62">
        <f ca="1"/>
        <v>0</v>
      </c>
      <c r="HV62">
        <f ca="1"/>
        <v>0</v>
      </c>
      <c r="HW62">
        <f ca="1"/>
        <v>0</v>
      </c>
      <c r="HX62">
        <f ca="1"/>
        <v>0</v>
      </c>
      <c r="HY62">
        <f ca="1"/>
        <v>0</v>
      </c>
      <c r="HZ62">
        <f ca="1"/>
        <v>0</v>
      </c>
      <c r="IA62">
        <f ca="1"/>
        <v>0</v>
      </c>
      <c r="IB62">
        <f ca="1"/>
        <v>0</v>
      </c>
      <c r="IC62">
        <f ca="1"/>
        <v>0</v>
      </c>
      <c r="ID62">
        <f ca="1"/>
        <v>0</v>
      </c>
      <c r="IE62">
        <f ca="1"/>
        <v>0</v>
      </c>
      <c r="IF62">
        <f ca="1"/>
        <v>0</v>
      </c>
      <c r="IG62">
        <f ca="1"/>
        <v>0</v>
      </c>
      <c r="IH62">
        <f ca="1"/>
        <v>0</v>
      </c>
      <c r="II62">
        <f ca="1"/>
        <v>0</v>
      </c>
      <c r="IJ62">
        <f ca="1"/>
        <v>0</v>
      </c>
      <c r="IK62">
        <f ca="1"/>
        <v>0</v>
      </c>
      <c r="IL62">
        <f ca="1"/>
        <v>0</v>
      </c>
      <c r="IM62">
        <f ca="1"/>
        <v>0</v>
      </c>
      <c r="IN62">
        <f ca="1"/>
        <v>0</v>
      </c>
      <c r="IO62">
        <f ca="1"/>
        <v>0</v>
      </c>
      <c r="IP62">
        <f ca="1"/>
        <v>0</v>
      </c>
      <c r="IQ62">
        <f ca="1"/>
        <v>0</v>
      </c>
      <c r="IR62">
        <f ca="1"/>
        <v>0</v>
      </c>
      <c r="IS62">
        <f ca="1"/>
        <v>0</v>
      </c>
      <c r="IT62">
        <f ca="1"/>
        <v>0</v>
      </c>
      <c r="IU62">
        <f ca="1"/>
        <v>0</v>
      </c>
      <c r="IV62">
        <f ca="1"/>
        <v>0</v>
      </c>
      <c r="IW62">
        <f ca="1"/>
        <v>0</v>
      </c>
    </row>
    <row r="63" spans="2:267" ht="15.75" thickBot="1" x14ac:dyDescent="0.3">
      <c r="B63"/>
      <c r="C63"/>
      <c r="E63"/>
      <c r="F63" s="85" t="s">
        <v>12</v>
      </c>
      <c r="G63" s="84">
        <f ca="1">SUM(G60:G62)</f>
        <v>0</v>
      </c>
      <c r="H63" s="84">
        <f t="shared" ref="H63:BS63" ca="1" si="636">SUM(H60:H62)</f>
        <v>0</v>
      </c>
      <c r="I63" s="84">
        <f t="shared" ca="1" si="636"/>
        <v>0</v>
      </c>
      <c r="J63" s="84">
        <f t="shared" ca="1" si="636"/>
        <v>0</v>
      </c>
      <c r="K63" s="84">
        <f t="shared" ca="1" si="636"/>
        <v>0</v>
      </c>
      <c r="L63" s="84">
        <f t="shared" ca="1" si="636"/>
        <v>0</v>
      </c>
      <c r="M63" s="84">
        <f t="shared" ca="1" si="636"/>
        <v>0</v>
      </c>
      <c r="N63" s="84">
        <f t="shared" ca="1" si="636"/>
        <v>0</v>
      </c>
      <c r="O63" s="84">
        <f t="shared" ca="1" si="636"/>
        <v>0</v>
      </c>
      <c r="P63" s="84">
        <f t="shared" ca="1" si="636"/>
        <v>0</v>
      </c>
      <c r="Q63" s="84">
        <f t="shared" ca="1" si="636"/>
        <v>0</v>
      </c>
      <c r="R63" s="84">
        <f t="shared" ca="1" si="636"/>
        <v>0</v>
      </c>
      <c r="S63" s="84">
        <f t="shared" ca="1" si="636"/>
        <v>0</v>
      </c>
      <c r="T63" s="84">
        <f t="shared" ca="1" si="636"/>
        <v>0</v>
      </c>
      <c r="U63" s="84">
        <f t="shared" ca="1" si="636"/>
        <v>0</v>
      </c>
      <c r="V63" s="84">
        <f t="shared" ca="1" si="636"/>
        <v>0</v>
      </c>
      <c r="W63" s="84">
        <f t="shared" ca="1" si="636"/>
        <v>0</v>
      </c>
      <c r="X63" s="84">
        <f t="shared" ca="1" si="636"/>
        <v>0</v>
      </c>
      <c r="Y63" s="84">
        <f t="shared" ca="1" si="636"/>
        <v>0</v>
      </c>
      <c r="Z63" s="84">
        <f t="shared" ca="1" si="636"/>
        <v>0</v>
      </c>
      <c r="AA63" s="84">
        <f t="shared" ca="1" si="636"/>
        <v>0</v>
      </c>
      <c r="AB63" s="84">
        <f t="shared" ca="1" si="636"/>
        <v>0</v>
      </c>
      <c r="AC63" s="84">
        <f t="shared" ca="1" si="636"/>
        <v>0</v>
      </c>
      <c r="AD63" s="84">
        <f t="shared" ca="1" si="636"/>
        <v>0</v>
      </c>
      <c r="AE63" s="84">
        <f t="shared" ca="1" si="636"/>
        <v>0</v>
      </c>
      <c r="AF63" s="84">
        <f t="shared" ca="1" si="636"/>
        <v>0</v>
      </c>
      <c r="AG63" s="84">
        <f t="shared" ca="1" si="636"/>
        <v>0</v>
      </c>
      <c r="AH63" s="84">
        <f t="shared" ca="1" si="636"/>
        <v>0</v>
      </c>
      <c r="AI63" s="84">
        <f t="shared" ca="1" si="636"/>
        <v>0</v>
      </c>
      <c r="AJ63" s="84">
        <f t="shared" ca="1" si="636"/>
        <v>0</v>
      </c>
      <c r="AK63" s="84">
        <f t="shared" ca="1" si="636"/>
        <v>0</v>
      </c>
      <c r="AL63" s="84">
        <f t="shared" ca="1" si="636"/>
        <v>0</v>
      </c>
      <c r="AM63" s="84">
        <f t="shared" ca="1" si="636"/>
        <v>0</v>
      </c>
      <c r="AN63" s="84">
        <f t="shared" ca="1" si="636"/>
        <v>0</v>
      </c>
      <c r="AO63" s="84">
        <f t="shared" ca="1" si="636"/>
        <v>0</v>
      </c>
      <c r="AP63" s="84">
        <f t="shared" ca="1" si="636"/>
        <v>0</v>
      </c>
      <c r="AQ63" s="84">
        <f t="shared" ca="1" si="636"/>
        <v>0</v>
      </c>
      <c r="AR63" s="84">
        <f t="shared" ca="1" si="636"/>
        <v>0</v>
      </c>
      <c r="AS63" s="84">
        <f t="shared" ca="1" si="636"/>
        <v>0</v>
      </c>
      <c r="AT63" s="84">
        <f t="shared" ca="1" si="636"/>
        <v>0</v>
      </c>
      <c r="AU63" s="84">
        <f t="shared" ca="1" si="636"/>
        <v>0</v>
      </c>
      <c r="AV63" s="84">
        <f t="shared" ca="1" si="636"/>
        <v>0</v>
      </c>
      <c r="AW63" s="84">
        <f t="shared" ca="1" si="636"/>
        <v>0</v>
      </c>
      <c r="AX63" s="84">
        <f t="shared" ca="1" si="636"/>
        <v>0</v>
      </c>
      <c r="AY63" s="84">
        <f t="shared" ca="1" si="636"/>
        <v>0</v>
      </c>
      <c r="AZ63" s="84">
        <f t="shared" ca="1" si="636"/>
        <v>0</v>
      </c>
      <c r="BA63" s="84">
        <f t="shared" ca="1" si="636"/>
        <v>0</v>
      </c>
      <c r="BB63" s="84">
        <f t="shared" ca="1" si="636"/>
        <v>0</v>
      </c>
      <c r="BC63" s="84">
        <f t="shared" ca="1" si="636"/>
        <v>0</v>
      </c>
      <c r="BD63" s="84">
        <f t="shared" ca="1" si="636"/>
        <v>0</v>
      </c>
      <c r="BE63" s="84">
        <f t="shared" ca="1" si="636"/>
        <v>0</v>
      </c>
      <c r="BF63" s="84">
        <f t="shared" ca="1" si="636"/>
        <v>0</v>
      </c>
      <c r="BG63" s="84">
        <f t="shared" ca="1" si="636"/>
        <v>0</v>
      </c>
      <c r="BH63" s="84">
        <f t="shared" ca="1" si="636"/>
        <v>0</v>
      </c>
      <c r="BI63" s="84">
        <f t="shared" ca="1" si="636"/>
        <v>0</v>
      </c>
      <c r="BJ63" s="84">
        <f t="shared" ca="1" si="636"/>
        <v>0</v>
      </c>
      <c r="BK63" s="84">
        <f t="shared" ca="1" si="636"/>
        <v>0</v>
      </c>
      <c r="BL63" s="84">
        <f t="shared" ca="1" si="636"/>
        <v>0</v>
      </c>
      <c r="BM63" s="84">
        <f t="shared" ca="1" si="636"/>
        <v>0</v>
      </c>
      <c r="BN63" s="84">
        <f t="shared" ca="1" si="636"/>
        <v>0</v>
      </c>
      <c r="BO63" s="84">
        <f t="shared" ca="1" si="636"/>
        <v>0</v>
      </c>
      <c r="BP63" s="84">
        <f t="shared" ca="1" si="636"/>
        <v>0</v>
      </c>
      <c r="BQ63" s="84">
        <f t="shared" ca="1" si="636"/>
        <v>0</v>
      </c>
      <c r="BR63" s="84">
        <f t="shared" ca="1" si="636"/>
        <v>0</v>
      </c>
      <c r="BS63" s="84">
        <f t="shared" ca="1" si="636"/>
        <v>0</v>
      </c>
      <c r="BT63" s="84">
        <f t="shared" ref="BT63:EE63" ca="1" si="637">SUM(BT60:BT62)</f>
        <v>0</v>
      </c>
      <c r="BU63" s="84">
        <f t="shared" ca="1" si="637"/>
        <v>0</v>
      </c>
      <c r="BV63" s="84">
        <f t="shared" ca="1" si="637"/>
        <v>0</v>
      </c>
      <c r="BW63" s="84">
        <f t="shared" ca="1" si="637"/>
        <v>0</v>
      </c>
      <c r="BX63" s="84">
        <f t="shared" ca="1" si="637"/>
        <v>0</v>
      </c>
      <c r="BY63" s="84">
        <f t="shared" ca="1" si="637"/>
        <v>0</v>
      </c>
      <c r="BZ63" s="84">
        <f t="shared" ca="1" si="637"/>
        <v>0</v>
      </c>
      <c r="CA63" s="84">
        <f t="shared" ca="1" si="637"/>
        <v>0</v>
      </c>
      <c r="CB63" s="84">
        <f t="shared" ca="1" si="637"/>
        <v>0</v>
      </c>
      <c r="CC63" s="84">
        <f t="shared" ca="1" si="637"/>
        <v>0</v>
      </c>
      <c r="CD63" s="84">
        <f t="shared" ca="1" si="637"/>
        <v>0</v>
      </c>
      <c r="CE63" s="84">
        <f t="shared" ca="1" si="637"/>
        <v>0</v>
      </c>
      <c r="CF63" s="84">
        <f t="shared" ca="1" si="637"/>
        <v>0</v>
      </c>
      <c r="CG63" s="84">
        <f t="shared" ca="1" si="637"/>
        <v>0</v>
      </c>
      <c r="CH63" s="84">
        <f t="shared" ca="1" si="637"/>
        <v>0</v>
      </c>
      <c r="CI63" s="84">
        <f t="shared" ca="1" si="637"/>
        <v>0</v>
      </c>
      <c r="CJ63" s="84">
        <f t="shared" ca="1" si="637"/>
        <v>0</v>
      </c>
      <c r="CK63" s="84">
        <f t="shared" ca="1" si="637"/>
        <v>0</v>
      </c>
      <c r="CL63" s="84">
        <f t="shared" ca="1" si="637"/>
        <v>0</v>
      </c>
      <c r="CM63" s="84">
        <f t="shared" ca="1" si="637"/>
        <v>0</v>
      </c>
      <c r="CN63" s="84">
        <f t="shared" ca="1" si="637"/>
        <v>0</v>
      </c>
      <c r="CO63" s="84">
        <f t="shared" ca="1" si="637"/>
        <v>0</v>
      </c>
      <c r="CP63" s="84">
        <f t="shared" ca="1" si="637"/>
        <v>0</v>
      </c>
      <c r="CQ63" s="84">
        <f t="shared" ca="1" si="637"/>
        <v>0</v>
      </c>
      <c r="CR63" s="84">
        <f t="shared" ca="1" si="637"/>
        <v>0</v>
      </c>
      <c r="CS63" s="84">
        <f t="shared" ca="1" si="637"/>
        <v>0</v>
      </c>
      <c r="CT63" s="84">
        <f t="shared" ca="1" si="637"/>
        <v>0</v>
      </c>
      <c r="CU63" s="84">
        <f t="shared" ca="1" si="637"/>
        <v>0</v>
      </c>
      <c r="CV63" s="84">
        <f t="shared" ca="1" si="637"/>
        <v>0</v>
      </c>
      <c r="CW63" s="84">
        <f t="shared" ca="1" si="637"/>
        <v>0</v>
      </c>
      <c r="CX63" s="84">
        <f t="shared" ca="1" si="637"/>
        <v>0</v>
      </c>
      <c r="CY63" s="84">
        <f t="shared" ca="1" si="637"/>
        <v>0</v>
      </c>
      <c r="CZ63" s="84">
        <f t="shared" ca="1" si="637"/>
        <v>0</v>
      </c>
      <c r="DA63" s="84">
        <f t="shared" ca="1" si="637"/>
        <v>0</v>
      </c>
      <c r="DB63" s="84">
        <f t="shared" ca="1" si="637"/>
        <v>0</v>
      </c>
      <c r="DC63" s="84">
        <f t="shared" ca="1" si="637"/>
        <v>0</v>
      </c>
      <c r="DD63" s="84">
        <f t="shared" ca="1" si="637"/>
        <v>0</v>
      </c>
      <c r="DE63" s="84">
        <f t="shared" ca="1" si="637"/>
        <v>0</v>
      </c>
      <c r="DF63" s="84">
        <f t="shared" ca="1" si="637"/>
        <v>0</v>
      </c>
      <c r="DG63" s="84">
        <f t="shared" ca="1" si="637"/>
        <v>0</v>
      </c>
      <c r="DH63" s="84">
        <f t="shared" ca="1" si="637"/>
        <v>0</v>
      </c>
      <c r="DI63" s="84">
        <f t="shared" ca="1" si="637"/>
        <v>0</v>
      </c>
      <c r="DJ63" s="84">
        <f t="shared" ca="1" si="637"/>
        <v>0</v>
      </c>
      <c r="DK63" s="84">
        <f t="shared" ca="1" si="637"/>
        <v>0</v>
      </c>
      <c r="DL63" s="84">
        <f t="shared" ca="1" si="637"/>
        <v>0</v>
      </c>
      <c r="DM63" s="84">
        <f t="shared" ca="1" si="637"/>
        <v>0</v>
      </c>
      <c r="DN63" s="84">
        <f t="shared" ca="1" si="637"/>
        <v>0</v>
      </c>
      <c r="DO63" s="84">
        <f t="shared" ca="1" si="637"/>
        <v>0</v>
      </c>
      <c r="DP63" s="84">
        <f t="shared" ca="1" si="637"/>
        <v>0</v>
      </c>
      <c r="DQ63" s="84">
        <f t="shared" ca="1" si="637"/>
        <v>0</v>
      </c>
      <c r="DR63" s="84">
        <f t="shared" ca="1" si="637"/>
        <v>0</v>
      </c>
      <c r="DS63" s="84">
        <f t="shared" ca="1" si="637"/>
        <v>0</v>
      </c>
      <c r="DT63" s="84">
        <f t="shared" ca="1" si="637"/>
        <v>0</v>
      </c>
      <c r="DU63" s="84">
        <f t="shared" ca="1" si="637"/>
        <v>0</v>
      </c>
      <c r="DV63" s="84">
        <f t="shared" ca="1" si="637"/>
        <v>0</v>
      </c>
      <c r="DW63" s="84">
        <f t="shared" ca="1" si="637"/>
        <v>0</v>
      </c>
      <c r="DX63" s="84">
        <f t="shared" ca="1" si="637"/>
        <v>0</v>
      </c>
      <c r="DY63" s="84">
        <f t="shared" ca="1" si="637"/>
        <v>0</v>
      </c>
      <c r="DZ63" s="84">
        <f t="shared" ca="1" si="637"/>
        <v>0</v>
      </c>
      <c r="EA63" s="84">
        <f t="shared" ca="1" si="637"/>
        <v>0</v>
      </c>
      <c r="EB63" s="84">
        <f t="shared" ca="1" si="637"/>
        <v>0</v>
      </c>
      <c r="EC63" s="84">
        <f t="shared" ca="1" si="637"/>
        <v>0</v>
      </c>
      <c r="ED63" s="84">
        <f t="shared" ca="1" si="637"/>
        <v>0</v>
      </c>
      <c r="EE63" s="84">
        <f t="shared" ca="1" si="637"/>
        <v>0</v>
      </c>
      <c r="EF63" s="84">
        <f t="shared" ref="EF63:GQ63" ca="1" si="638">SUM(EF60:EF62)</f>
        <v>0</v>
      </c>
      <c r="EG63" s="84">
        <f t="shared" ca="1" si="638"/>
        <v>0</v>
      </c>
      <c r="EH63" s="84">
        <f t="shared" ca="1" si="638"/>
        <v>0</v>
      </c>
      <c r="EI63" s="84">
        <f t="shared" ca="1" si="638"/>
        <v>0</v>
      </c>
      <c r="EJ63" s="84">
        <f t="shared" ca="1" si="638"/>
        <v>0</v>
      </c>
      <c r="EK63" s="84">
        <f t="shared" ca="1" si="638"/>
        <v>0</v>
      </c>
      <c r="EL63" s="84">
        <f t="shared" ca="1" si="638"/>
        <v>0</v>
      </c>
      <c r="EM63" s="84">
        <f t="shared" ca="1" si="638"/>
        <v>0</v>
      </c>
      <c r="EN63" s="84">
        <f t="shared" ca="1" si="638"/>
        <v>0</v>
      </c>
      <c r="EO63" s="84">
        <f t="shared" ca="1" si="638"/>
        <v>0</v>
      </c>
      <c r="EP63" s="84">
        <f t="shared" ca="1" si="638"/>
        <v>0</v>
      </c>
      <c r="EQ63" s="84">
        <f t="shared" ca="1" si="638"/>
        <v>0</v>
      </c>
      <c r="ER63" s="84">
        <f t="shared" ca="1" si="638"/>
        <v>0</v>
      </c>
      <c r="ES63" s="84">
        <f t="shared" ca="1" si="638"/>
        <v>0</v>
      </c>
      <c r="ET63" s="84">
        <f t="shared" ca="1" si="638"/>
        <v>0</v>
      </c>
      <c r="EU63" s="84">
        <f t="shared" ca="1" si="638"/>
        <v>0</v>
      </c>
      <c r="EV63" s="84">
        <f t="shared" ca="1" si="638"/>
        <v>0</v>
      </c>
      <c r="EW63" s="84">
        <f t="shared" ca="1" si="638"/>
        <v>0</v>
      </c>
      <c r="EX63" s="84">
        <f t="shared" ca="1" si="638"/>
        <v>0</v>
      </c>
      <c r="EY63" s="84">
        <f t="shared" ca="1" si="638"/>
        <v>0</v>
      </c>
      <c r="EZ63" s="84">
        <f t="shared" ca="1" si="638"/>
        <v>0</v>
      </c>
      <c r="FA63" s="84">
        <f t="shared" ca="1" si="638"/>
        <v>0</v>
      </c>
      <c r="FB63" s="84">
        <f t="shared" ca="1" si="638"/>
        <v>0</v>
      </c>
      <c r="FC63" s="84">
        <f t="shared" ca="1" si="638"/>
        <v>0</v>
      </c>
      <c r="FD63" s="84">
        <f t="shared" ca="1" si="638"/>
        <v>0</v>
      </c>
      <c r="FE63" s="84">
        <f t="shared" ca="1" si="638"/>
        <v>0</v>
      </c>
      <c r="FF63" s="84">
        <f t="shared" ca="1" si="638"/>
        <v>0</v>
      </c>
      <c r="FG63" s="84">
        <f t="shared" ca="1" si="638"/>
        <v>0</v>
      </c>
      <c r="FH63" s="84">
        <f t="shared" ca="1" si="638"/>
        <v>0</v>
      </c>
      <c r="FI63" s="84">
        <f t="shared" ca="1" si="638"/>
        <v>0</v>
      </c>
      <c r="FJ63" s="84">
        <f t="shared" ca="1" si="638"/>
        <v>0</v>
      </c>
      <c r="FK63" s="84">
        <f t="shared" ca="1" si="638"/>
        <v>0</v>
      </c>
      <c r="FL63" s="84">
        <f t="shared" ca="1" si="638"/>
        <v>0</v>
      </c>
      <c r="FM63" s="84">
        <f t="shared" ca="1" si="638"/>
        <v>0</v>
      </c>
      <c r="FN63" s="84">
        <f t="shared" ca="1" si="638"/>
        <v>0</v>
      </c>
      <c r="FO63" s="84">
        <f t="shared" ca="1" si="638"/>
        <v>0</v>
      </c>
      <c r="FP63" s="84">
        <f t="shared" ca="1" si="638"/>
        <v>0</v>
      </c>
      <c r="FQ63" s="84">
        <f t="shared" ca="1" si="638"/>
        <v>0</v>
      </c>
      <c r="FR63" s="84">
        <f t="shared" ca="1" si="638"/>
        <v>0</v>
      </c>
      <c r="FS63" s="84">
        <f t="shared" ca="1" si="638"/>
        <v>0</v>
      </c>
      <c r="FT63" s="84">
        <f t="shared" ca="1" si="638"/>
        <v>0</v>
      </c>
      <c r="FU63" s="84">
        <f t="shared" ca="1" si="638"/>
        <v>0</v>
      </c>
      <c r="FV63" s="84">
        <f t="shared" ca="1" si="638"/>
        <v>0</v>
      </c>
      <c r="FW63" s="84">
        <f t="shared" ca="1" si="638"/>
        <v>0</v>
      </c>
      <c r="FX63" s="84">
        <f t="shared" ca="1" si="638"/>
        <v>0</v>
      </c>
      <c r="FY63" s="84">
        <f t="shared" ca="1" si="638"/>
        <v>0</v>
      </c>
      <c r="FZ63" s="84">
        <f t="shared" ca="1" si="638"/>
        <v>0</v>
      </c>
      <c r="GA63" s="84">
        <f t="shared" ca="1" si="638"/>
        <v>0</v>
      </c>
      <c r="GB63" s="84">
        <f t="shared" ca="1" si="638"/>
        <v>0</v>
      </c>
      <c r="GC63" s="84">
        <f t="shared" ca="1" si="638"/>
        <v>0</v>
      </c>
      <c r="GD63" s="84">
        <f t="shared" ca="1" si="638"/>
        <v>0</v>
      </c>
      <c r="GE63" s="84">
        <f t="shared" ca="1" si="638"/>
        <v>0</v>
      </c>
      <c r="GF63" s="84">
        <f t="shared" ca="1" si="638"/>
        <v>0</v>
      </c>
      <c r="GG63" s="84">
        <f t="shared" ca="1" si="638"/>
        <v>0</v>
      </c>
      <c r="GH63" s="84">
        <f t="shared" ca="1" si="638"/>
        <v>0</v>
      </c>
      <c r="GI63" s="84">
        <f t="shared" ca="1" si="638"/>
        <v>0</v>
      </c>
      <c r="GJ63" s="84">
        <f t="shared" ca="1" si="638"/>
        <v>0</v>
      </c>
      <c r="GK63" s="84">
        <f t="shared" ca="1" si="638"/>
        <v>0</v>
      </c>
      <c r="GL63" s="84">
        <f t="shared" ca="1" si="638"/>
        <v>0</v>
      </c>
      <c r="GM63" s="84">
        <f t="shared" ca="1" si="638"/>
        <v>0</v>
      </c>
      <c r="GN63" s="84">
        <f t="shared" ca="1" si="638"/>
        <v>0</v>
      </c>
      <c r="GO63" s="84">
        <f t="shared" ca="1" si="638"/>
        <v>0</v>
      </c>
      <c r="GP63" s="84">
        <f t="shared" ca="1" si="638"/>
        <v>0</v>
      </c>
      <c r="GQ63" s="84">
        <f t="shared" ca="1" si="638"/>
        <v>0</v>
      </c>
      <c r="GR63" s="84">
        <f t="shared" ref="GR63:JC63" ca="1" si="639">SUM(GR60:GR62)</f>
        <v>0</v>
      </c>
      <c r="GS63" s="84">
        <f t="shared" ca="1" si="639"/>
        <v>0</v>
      </c>
      <c r="GT63" s="84">
        <f t="shared" ca="1" si="639"/>
        <v>0</v>
      </c>
      <c r="GU63" s="84">
        <f t="shared" ca="1" si="639"/>
        <v>0</v>
      </c>
      <c r="GV63" s="84">
        <f t="shared" ca="1" si="639"/>
        <v>0</v>
      </c>
      <c r="GW63" s="84">
        <f t="shared" ca="1" si="639"/>
        <v>0</v>
      </c>
      <c r="GX63" s="84">
        <f t="shared" ca="1" si="639"/>
        <v>0</v>
      </c>
      <c r="GY63" s="84">
        <f t="shared" ca="1" si="639"/>
        <v>0</v>
      </c>
      <c r="GZ63" s="84">
        <f t="shared" ca="1" si="639"/>
        <v>0</v>
      </c>
      <c r="HA63" s="84">
        <f t="shared" ca="1" si="639"/>
        <v>0</v>
      </c>
      <c r="HB63" s="84">
        <f t="shared" ca="1" si="639"/>
        <v>0</v>
      </c>
      <c r="HC63" s="84">
        <f t="shared" ca="1" si="639"/>
        <v>0</v>
      </c>
      <c r="HD63" s="84">
        <f t="shared" ca="1" si="639"/>
        <v>0</v>
      </c>
      <c r="HE63" s="84">
        <f t="shared" ca="1" si="639"/>
        <v>0</v>
      </c>
      <c r="HF63" s="84">
        <f t="shared" ca="1" si="639"/>
        <v>0</v>
      </c>
      <c r="HG63" s="84">
        <f t="shared" ca="1" si="639"/>
        <v>0</v>
      </c>
      <c r="HH63" s="84">
        <f t="shared" ca="1" si="639"/>
        <v>0</v>
      </c>
      <c r="HI63" s="84">
        <f t="shared" ca="1" si="639"/>
        <v>0</v>
      </c>
      <c r="HJ63" s="84">
        <f t="shared" ca="1" si="639"/>
        <v>0</v>
      </c>
      <c r="HK63" s="84">
        <f t="shared" ca="1" si="639"/>
        <v>0</v>
      </c>
      <c r="HL63" s="84">
        <f t="shared" ca="1" si="639"/>
        <v>0</v>
      </c>
      <c r="HM63" s="84">
        <f t="shared" ca="1" si="639"/>
        <v>0</v>
      </c>
      <c r="HN63" s="84">
        <f t="shared" ca="1" si="639"/>
        <v>0</v>
      </c>
      <c r="HO63" s="84">
        <f t="shared" ca="1" si="639"/>
        <v>0</v>
      </c>
      <c r="HP63" s="84">
        <f t="shared" ca="1" si="639"/>
        <v>0</v>
      </c>
      <c r="HQ63" s="84">
        <f t="shared" ca="1" si="639"/>
        <v>0</v>
      </c>
      <c r="HR63" s="84">
        <f t="shared" ca="1" si="639"/>
        <v>0</v>
      </c>
      <c r="HS63" s="84">
        <f t="shared" ca="1" si="639"/>
        <v>0</v>
      </c>
      <c r="HT63" s="84">
        <f t="shared" ca="1" si="639"/>
        <v>0</v>
      </c>
      <c r="HU63" s="84">
        <f t="shared" ca="1" si="639"/>
        <v>0</v>
      </c>
      <c r="HV63" s="84">
        <f t="shared" ca="1" si="639"/>
        <v>0</v>
      </c>
      <c r="HW63" s="84">
        <f t="shared" ca="1" si="639"/>
        <v>0</v>
      </c>
      <c r="HX63" s="84">
        <f t="shared" ca="1" si="639"/>
        <v>0</v>
      </c>
      <c r="HY63" s="84">
        <f t="shared" ca="1" si="639"/>
        <v>0</v>
      </c>
      <c r="HZ63" s="84">
        <f t="shared" ca="1" si="639"/>
        <v>0</v>
      </c>
      <c r="IA63" s="84">
        <f t="shared" ca="1" si="639"/>
        <v>0</v>
      </c>
      <c r="IB63" s="84">
        <f t="shared" ca="1" si="639"/>
        <v>0</v>
      </c>
      <c r="IC63" s="84">
        <f t="shared" ca="1" si="639"/>
        <v>0</v>
      </c>
      <c r="ID63" s="84">
        <f t="shared" ca="1" si="639"/>
        <v>0</v>
      </c>
      <c r="IE63" s="84">
        <f t="shared" ca="1" si="639"/>
        <v>0</v>
      </c>
      <c r="IF63" s="84">
        <f t="shared" ca="1" si="639"/>
        <v>0</v>
      </c>
      <c r="IG63" s="84">
        <f t="shared" ca="1" si="639"/>
        <v>0</v>
      </c>
      <c r="IH63" s="84">
        <f t="shared" ca="1" si="639"/>
        <v>0</v>
      </c>
      <c r="II63" s="84">
        <f t="shared" ca="1" si="639"/>
        <v>0</v>
      </c>
      <c r="IJ63" s="84">
        <f t="shared" ca="1" si="639"/>
        <v>0</v>
      </c>
      <c r="IK63" s="84">
        <f t="shared" ca="1" si="639"/>
        <v>0</v>
      </c>
      <c r="IL63" s="84">
        <f t="shared" ca="1" si="639"/>
        <v>0</v>
      </c>
      <c r="IM63" s="84">
        <f t="shared" ca="1" si="639"/>
        <v>0</v>
      </c>
      <c r="IN63" s="84">
        <f t="shared" ca="1" si="639"/>
        <v>0</v>
      </c>
      <c r="IO63" s="84">
        <f t="shared" ca="1" si="639"/>
        <v>0</v>
      </c>
      <c r="IP63" s="84">
        <f t="shared" ca="1" si="639"/>
        <v>0</v>
      </c>
      <c r="IQ63" s="84">
        <f t="shared" ca="1" si="639"/>
        <v>0</v>
      </c>
      <c r="IR63" s="84">
        <f t="shared" ca="1" si="639"/>
        <v>0</v>
      </c>
      <c r="IS63" s="84">
        <f t="shared" ca="1" si="639"/>
        <v>0</v>
      </c>
      <c r="IT63" s="84">
        <f t="shared" ca="1" si="639"/>
        <v>0</v>
      </c>
      <c r="IU63" s="84">
        <f t="shared" ca="1" si="639"/>
        <v>0</v>
      </c>
      <c r="IV63" s="84">
        <f t="shared" ca="1" si="639"/>
        <v>0</v>
      </c>
      <c r="IW63" s="84">
        <f t="shared" ca="1" si="639"/>
        <v>0</v>
      </c>
      <c r="IX63" s="84">
        <f t="shared" si="639"/>
        <v>0</v>
      </c>
      <c r="IY63" s="84">
        <f t="shared" si="639"/>
        <v>0</v>
      </c>
      <c r="IZ63" s="84">
        <f t="shared" si="639"/>
        <v>0</v>
      </c>
      <c r="JA63" s="84">
        <f t="shared" si="639"/>
        <v>0</v>
      </c>
      <c r="JB63" s="84">
        <f t="shared" si="639"/>
        <v>0</v>
      </c>
      <c r="JC63" s="84">
        <f t="shared" si="639"/>
        <v>0</v>
      </c>
      <c r="JD63" s="84">
        <f t="shared" ref="JD63:JG63" si="640">SUM(JD60:JD62)</f>
        <v>0</v>
      </c>
      <c r="JE63" s="84">
        <f t="shared" si="640"/>
        <v>0</v>
      </c>
      <c r="JF63" s="84">
        <f t="shared" si="640"/>
        <v>0</v>
      </c>
      <c r="JG63" s="84">
        <f t="shared" si="640"/>
        <v>0</v>
      </c>
    </row>
    <row r="64" spans="2:267" ht="15.75" thickTop="1" x14ac:dyDescent="0.25">
      <c r="B64"/>
      <c r="C64"/>
      <c r="E64"/>
      <c r="G64"/>
      <c r="H64"/>
    </row>
    <row r="65" spans="2:257" x14ac:dyDescent="0.25">
      <c r="B65"/>
      <c r="C65"/>
      <c r="E65"/>
      <c r="G65" cm="1" vm="649">
        <f t="array" aca="1" ref="G65:IW66" ca="1">TRANSPOSE(_xlfn.STOCKHISTORY(D67,TODAY()-365,TODAY(),0,0,0,5))</f>
        <v>45768</v>
      </c>
      <c r="H65" vm="650">
        <f ca="1"/>
        <v>45769</v>
      </c>
      <c r="I65" vm="651">
        <f ca="1"/>
        <v>45770</v>
      </c>
      <c r="J65" vm="652">
        <f ca="1"/>
        <v>45771</v>
      </c>
      <c r="K65" vm="653">
        <f ca="1"/>
        <v>45772</v>
      </c>
      <c r="L65" vm="654">
        <f ca="1"/>
        <v>45775</v>
      </c>
      <c r="M65" vm="655">
        <f ca="1"/>
        <v>45776</v>
      </c>
      <c r="N65" vm="656">
        <f ca="1"/>
        <v>45777</v>
      </c>
      <c r="O65" vm="657">
        <f ca="1"/>
        <v>45778</v>
      </c>
      <c r="P65" vm="658">
        <f ca="1"/>
        <v>45779</v>
      </c>
      <c r="Q65" vm="659">
        <f ca="1"/>
        <v>45782</v>
      </c>
      <c r="R65" vm="660">
        <f ca="1"/>
        <v>45783</v>
      </c>
      <c r="S65" vm="661">
        <f ca="1"/>
        <v>45784</v>
      </c>
      <c r="T65" vm="662">
        <f ca="1"/>
        <v>45785</v>
      </c>
      <c r="U65" vm="663">
        <f ca="1"/>
        <v>45786</v>
      </c>
      <c r="V65" vm="664">
        <f ca="1"/>
        <v>45789</v>
      </c>
      <c r="W65" vm="665">
        <f ca="1"/>
        <v>45790</v>
      </c>
      <c r="X65" vm="666">
        <f ca="1"/>
        <v>45791</v>
      </c>
      <c r="Y65" vm="667">
        <f ca="1"/>
        <v>45792</v>
      </c>
      <c r="Z65" vm="668">
        <f ca="1"/>
        <v>45793</v>
      </c>
      <c r="AA65" vm="1404">
        <f ca="1"/>
        <v>45796</v>
      </c>
      <c r="AB65" vm="669">
        <f ca="1"/>
        <v>45797</v>
      </c>
      <c r="AC65" vm="670">
        <f ca="1"/>
        <v>45798</v>
      </c>
      <c r="AD65" vm="671">
        <f ca="1"/>
        <v>45799</v>
      </c>
      <c r="AE65" vm="672">
        <f ca="1"/>
        <v>45800</v>
      </c>
      <c r="AF65" vm="674">
        <f ca="1"/>
        <v>45804</v>
      </c>
      <c r="AG65" vm="675">
        <f ca="1"/>
        <v>45805</v>
      </c>
      <c r="AH65" vm="676">
        <f ca="1"/>
        <v>45806</v>
      </c>
      <c r="AI65" vm="677">
        <f ca="1"/>
        <v>45807</v>
      </c>
      <c r="AJ65" vm="678">
        <f ca="1"/>
        <v>45810</v>
      </c>
      <c r="AK65" vm="679">
        <f ca="1"/>
        <v>45811</v>
      </c>
      <c r="AL65" vm="680">
        <f ca="1"/>
        <v>45812</v>
      </c>
      <c r="AM65" vm="681">
        <f ca="1"/>
        <v>45813</v>
      </c>
      <c r="AN65" vm="682">
        <f ca="1"/>
        <v>45814</v>
      </c>
      <c r="AO65" vm="683">
        <f ca="1"/>
        <v>45817</v>
      </c>
      <c r="AP65" vm="684">
        <f ca="1"/>
        <v>45818</v>
      </c>
      <c r="AQ65" vm="685">
        <f ca="1"/>
        <v>45819</v>
      </c>
      <c r="AR65" vm="686">
        <f ca="1"/>
        <v>45820</v>
      </c>
      <c r="AS65" vm="687">
        <f ca="1"/>
        <v>45821</v>
      </c>
      <c r="AT65" vm="688">
        <f ca="1"/>
        <v>45824</v>
      </c>
      <c r="AU65" vm="689">
        <f ca="1"/>
        <v>45825</v>
      </c>
      <c r="AV65" vm="690">
        <f ca="1"/>
        <v>45826</v>
      </c>
      <c r="AW65" vm="692">
        <f ca="1"/>
        <v>45828</v>
      </c>
      <c r="AX65" vm="693">
        <f ca="1"/>
        <v>45831</v>
      </c>
      <c r="AY65" vm="694">
        <f ca="1"/>
        <v>45832</v>
      </c>
      <c r="AZ65" vm="695">
        <f ca="1"/>
        <v>45833</v>
      </c>
      <c r="BA65" vm="696">
        <f ca="1"/>
        <v>45834</v>
      </c>
      <c r="BB65" vm="697">
        <f ca="1"/>
        <v>45835</v>
      </c>
      <c r="BC65" vm="698">
        <f ca="1"/>
        <v>45838</v>
      </c>
      <c r="BD65" vm="1405">
        <f ca="1"/>
        <v>45839</v>
      </c>
      <c r="BE65" vm="699">
        <f ca="1"/>
        <v>45840</v>
      </c>
      <c r="BF65" vm="700">
        <f ca="1"/>
        <v>45841</v>
      </c>
      <c r="BG65" vm="702">
        <f ca="1"/>
        <v>45845</v>
      </c>
      <c r="BH65" vm="703">
        <f ca="1"/>
        <v>45846</v>
      </c>
      <c r="BI65" vm="704">
        <f ca="1"/>
        <v>45847</v>
      </c>
      <c r="BJ65" vm="705">
        <f ca="1"/>
        <v>45848</v>
      </c>
      <c r="BK65" vm="706">
        <f ca="1"/>
        <v>45849</v>
      </c>
      <c r="BL65" vm="707">
        <f ca="1"/>
        <v>45852</v>
      </c>
      <c r="BM65" vm="708">
        <f ca="1"/>
        <v>45853</v>
      </c>
      <c r="BN65" vm="709">
        <f ca="1"/>
        <v>45854</v>
      </c>
      <c r="BO65" vm="710">
        <f ca="1"/>
        <v>45855</v>
      </c>
      <c r="BP65" vm="711">
        <f ca="1"/>
        <v>45856</v>
      </c>
      <c r="BQ65" vm="712">
        <f ca="1"/>
        <v>45859</v>
      </c>
      <c r="BR65" vm="713">
        <f ca="1"/>
        <v>45860</v>
      </c>
      <c r="BS65" vm="714">
        <f ca="1"/>
        <v>45861</v>
      </c>
      <c r="BT65" vm="715">
        <f ca="1"/>
        <v>45862</v>
      </c>
      <c r="BU65" vm="716">
        <f ca="1"/>
        <v>45863</v>
      </c>
      <c r="BV65" vm="717">
        <f ca="1"/>
        <v>45866</v>
      </c>
      <c r="BW65" vm="718">
        <f ca="1"/>
        <v>45867</v>
      </c>
      <c r="BX65" vm="719">
        <f ca="1"/>
        <v>45868</v>
      </c>
      <c r="BY65" vm="720">
        <f ca="1"/>
        <v>45869</v>
      </c>
      <c r="BZ65" vm="721">
        <f ca="1"/>
        <v>45870</v>
      </c>
      <c r="CA65" vm="1406">
        <f ca="1"/>
        <v>45873</v>
      </c>
      <c r="CB65" vm="722">
        <f ca="1"/>
        <v>45874</v>
      </c>
      <c r="CC65" vm="723">
        <f ca="1"/>
        <v>45875</v>
      </c>
      <c r="CD65" vm="724">
        <f ca="1"/>
        <v>45876</v>
      </c>
      <c r="CE65" vm="725">
        <f ca="1"/>
        <v>45877</v>
      </c>
      <c r="CF65" vm="726">
        <f ca="1"/>
        <v>45880</v>
      </c>
      <c r="CG65" vm="727">
        <f ca="1"/>
        <v>45881</v>
      </c>
      <c r="CH65" vm="728">
        <f ca="1"/>
        <v>45882</v>
      </c>
      <c r="CI65" vm="729">
        <f ca="1"/>
        <v>45883</v>
      </c>
      <c r="CJ65" vm="730">
        <f ca="1"/>
        <v>45884</v>
      </c>
      <c r="CK65" vm="731">
        <f ca="1"/>
        <v>45887</v>
      </c>
      <c r="CL65" vm="732">
        <f ca="1"/>
        <v>45888</v>
      </c>
      <c r="CM65" vm="733">
        <f ca="1"/>
        <v>45889</v>
      </c>
      <c r="CN65" vm="734">
        <f ca="1"/>
        <v>45890</v>
      </c>
      <c r="CO65" vm="735">
        <f ca="1"/>
        <v>45891</v>
      </c>
      <c r="CP65" vm="736">
        <f ca="1"/>
        <v>45894</v>
      </c>
      <c r="CQ65" vm="737">
        <f ca="1"/>
        <v>45895</v>
      </c>
      <c r="CR65" vm="738">
        <f ca="1"/>
        <v>45896</v>
      </c>
      <c r="CS65" vm="739">
        <f ca="1"/>
        <v>45897</v>
      </c>
      <c r="CT65" vm="740">
        <f ca="1"/>
        <v>45898</v>
      </c>
      <c r="CU65" vm="741">
        <f ca="1"/>
        <v>45902</v>
      </c>
      <c r="CV65" vm="742">
        <f ca="1"/>
        <v>45903</v>
      </c>
      <c r="CW65" vm="743">
        <f ca="1"/>
        <v>45904</v>
      </c>
      <c r="CX65" vm="744">
        <f ca="1"/>
        <v>45905</v>
      </c>
      <c r="CY65" vm="745">
        <f ca="1"/>
        <v>45908</v>
      </c>
      <c r="CZ65" vm="746">
        <f ca="1"/>
        <v>45909</v>
      </c>
      <c r="DA65" vm="747">
        <f ca="1"/>
        <v>45910</v>
      </c>
      <c r="DB65" vm="748">
        <f ca="1"/>
        <v>45911</v>
      </c>
      <c r="DC65" vm="749">
        <f ca="1"/>
        <v>45912</v>
      </c>
      <c r="DD65" vm="750">
        <f ca="1"/>
        <v>45915</v>
      </c>
      <c r="DE65" vm="751">
        <f ca="1"/>
        <v>45916</v>
      </c>
      <c r="DF65" vm="752">
        <f ca="1"/>
        <v>45917</v>
      </c>
      <c r="DG65" vm="753">
        <f ca="1"/>
        <v>45918</v>
      </c>
      <c r="DH65" vm="754">
        <f ca="1"/>
        <v>45919</v>
      </c>
      <c r="DI65" vm="755">
        <f ca="1"/>
        <v>45922</v>
      </c>
      <c r="DJ65" vm="756">
        <f ca="1"/>
        <v>45923</v>
      </c>
      <c r="DK65" vm="757">
        <f ca="1"/>
        <v>45924</v>
      </c>
      <c r="DL65" vm="758">
        <f ca="1"/>
        <v>45925</v>
      </c>
      <c r="DM65" vm="759">
        <f ca="1"/>
        <v>45926</v>
      </c>
      <c r="DN65" vm="760">
        <f ca="1"/>
        <v>45929</v>
      </c>
      <c r="DO65" vm="761">
        <f ca="1"/>
        <v>45930</v>
      </c>
      <c r="DP65" vm="762">
        <f ca="1"/>
        <v>45931</v>
      </c>
      <c r="DQ65" vm="763">
        <f ca="1"/>
        <v>45932</v>
      </c>
      <c r="DR65" vm="764">
        <f ca="1"/>
        <v>45933</v>
      </c>
      <c r="DS65" vm="765">
        <f ca="1"/>
        <v>45936</v>
      </c>
      <c r="DT65" vm="766">
        <f ca="1"/>
        <v>45937</v>
      </c>
      <c r="DU65" vm="767">
        <f ca="1"/>
        <v>45938</v>
      </c>
      <c r="DV65" vm="768">
        <f ca="1"/>
        <v>45939</v>
      </c>
      <c r="DW65" vm="769">
        <f ca="1"/>
        <v>45940</v>
      </c>
      <c r="DX65" vm="1407">
        <f ca="1"/>
        <v>45943</v>
      </c>
      <c r="DY65" vm="770">
        <f ca="1"/>
        <v>45944</v>
      </c>
      <c r="DZ65" vm="771">
        <f ca="1"/>
        <v>45945</v>
      </c>
      <c r="EA65" vm="772">
        <f ca="1"/>
        <v>45946</v>
      </c>
      <c r="EB65" vm="773">
        <f ca="1"/>
        <v>45947</v>
      </c>
      <c r="EC65" vm="774">
        <f ca="1"/>
        <v>45950</v>
      </c>
      <c r="ED65" vm="775">
        <f ca="1"/>
        <v>45951</v>
      </c>
      <c r="EE65" vm="776">
        <f ca="1"/>
        <v>45952</v>
      </c>
      <c r="EF65" vm="777">
        <f ca="1"/>
        <v>45953</v>
      </c>
      <c r="EG65" vm="778">
        <f ca="1"/>
        <v>45954</v>
      </c>
      <c r="EH65" vm="779">
        <f ca="1"/>
        <v>45957</v>
      </c>
      <c r="EI65" vm="780">
        <f ca="1"/>
        <v>45958</v>
      </c>
      <c r="EJ65" vm="781">
        <f ca="1"/>
        <v>45959</v>
      </c>
      <c r="EK65" vm="782">
        <f ca="1"/>
        <v>45960</v>
      </c>
      <c r="EL65" vm="783">
        <f ca="1"/>
        <v>45961</v>
      </c>
      <c r="EM65" vm="784">
        <f ca="1"/>
        <v>45964</v>
      </c>
      <c r="EN65" vm="785">
        <f ca="1"/>
        <v>45965</v>
      </c>
      <c r="EO65" vm="786">
        <f ca="1"/>
        <v>45966</v>
      </c>
      <c r="EP65" vm="787">
        <f ca="1"/>
        <v>45967</v>
      </c>
      <c r="EQ65" vm="788">
        <f ca="1"/>
        <v>45968</v>
      </c>
      <c r="ER65" vm="789">
        <f ca="1"/>
        <v>45971</v>
      </c>
      <c r="ES65" vm="790">
        <f ca="1"/>
        <v>45972</v>
      </c>
      <c r="ET65" vm="791">
        <f ca="1"/>
        <v>45973</v>
      </c>
      <c r="EU65" vm="792">
        <f ca="1"/>
        <v>45974</v>
      </c>
      <c r="EV65" vm="793">
        <f ca="1"/>
        <v>45975</v>
      </c>
      <c r="EW65" vm="794">
        <f ca="1"/>
        <v>45978</v>
      </c>
      <c r="EX65" vm="795">
        <f ca="1"/>
        <v>45979</v>
      </c>
      <c r="EY65" vm="796">
        <f ca="1"/>
        <v>45980</v>
      </c>
      <c r="EZ65" vm="797">
        <f ca="1"/>
        <v>45981</v>
      </c>
      <c r="FA65" vm="798">
        <f ca="1"/>
        <v>45982</v>
      </c>
      <c r="FB65" vm="799">
        <f ca="1"/>
        <v>45985</v>
      </c>
      <c r="FC65" vm="800">
        <f ca="1"/>
        <v>45986</v>
      </c>
      <c r="FD65" vm="801">
        <f ca="1"/>
        <v>45987</v>
      </c>
      <c r="FE65" vm="803">
        <f ca="1"/>
        <v>45989</v>
      </c>
      <c r="FF65" vm="804">
        <f ca="1"/>
        <v>45992</v>
      </c>
      <c r="FG65" vm="805">
        <f ca="1"/>
        <v>45993</v>
      </c>
      <c r="FH65" vm="806">
        <f ca="1"/>
        <v>45994</v>
      </c>
      <c r="FI65" vm="807">
        <f ca="1"/>
        <v>45995</v>
      </c>
      <c r="FJ65" vm="808">
        <f ca="1"/>
        <v>45996</v>
      </c>
      <c r="FK65" vm="809">
        <f ca="1"/>
        <v>45999</v>
      </c>
      <c r="FL65" vm="810">
        <f ca="1"/>
        <v>46000</v>
      </c>
      <c r="FM65" vm="811">
        <f ca="1"/>
        <v>46001</v>
      </c>
      <c r="FN65" vm="812">
        <f ca="1"/>
        <v>46002</v>
      </c>
      <c r="FO65" vm="813">
        <f ca="1"/>
        <v>46003</v>
      </c>
      <c r="FP65" vm="814">
        <f ca="1"/>
        <v>46006</v>
      </c>
      <c r="FQ65" vm="815">
        <f ca="1"/>
        <v>46007</v>
      </c>
      <c r="FR65" vm="816">
        <f ca="1"/>
        <v>46008</v>
      </c>
      <c r="FS65" vm="817">
        <f ca="1"/>
        <v>46009</v>
      </c>
      <c r="FT65" vm="818">
        <f ca="1"/>
        <v>46010</v>
      </c>
      <c r="FU65" vm="819">
        <f ca="1"/>
        <v>46013</v>
      </c>
      <c r="FV65" vm="820">
        <f ca="1"/>
        <v>46014</v>
      </c>
      <c r="FW65" vm="821">
        <f ca="1"/>
        <v>46015</v>
      </c>
      <c r="FX65" vm="1408">
        <f ca="1"/>
        <v>46017</v>
      </c>
      <c r="FY65" vm="822">
        <f ca="1"/>
        <v>46020</v>
      </c>
      <c r="FZ65" vm="823">
        <f ca="1"/>
        <v>46021</v>
      </c>
      <c r="GA65" vm="824">
        <f ca="1"/>
        <v>46022</v>
      </c>
      <c r="GB65" vm="825">
        <f ca="1"/>
        <v>46024</v>
      </c>
      <c r="GC65" vm="826">
        <f ca="1"/>
        <v>46027</v>
      </c>
      <c r="GD65" vm="827">
        <f ca="1"/>
        <v>46028</v>
      </c>
      <c r="GE65" vm="828">
        <f ca="1"/>
        <v>46029</v>
      </c>
      <c r="GF65" vm="829">
        <f ca="1"/>
        <v>46030</v>
      </c>
      <c r="GG65" vm="830">
        <f ca="1"/>
        <v>46031</v>
      </c>
      <c r="GH65" vm="831">
        <f ca="1"/>
        <v>46034</v>
      </c>
      <c r="GI65" vm="832">
        <f ca="1"/>
        <v>46035</v>
      </c>
      <c r="GJ65" vm="833">
        <f ca="1"/>
        <v>46036</v>
      </c>
      <c r="GK65" vm="834">
        <f ca="1"/>
        <v>46037</v>
      </c>
      <c r="GL65" vm="835">
        <f ca="1"/>
        <v>46038</v>
      </c>
      <c r="GM65" vm="837">
        <f ca="1"/>
        <v>46042</v>
      </c>
      <c r="GN65" vm="838">
        <f ca="1"/>
        <v>46043</v>
      </c>
      <c r="GO65" vm="839">
        <f ca="1"/>
        <v>46044</v>
      </c>
      <c r="GP65" vm="840">
        <f ca="1"/>
        <v>46045</v>
      </c>
      <c r="GQ65" vm="841">
        <f ca="1"/>
        <v>46048</v>
      </c>
      <c r="GR65" vm="842">
        <f ca="1"/>
        <v>46049</v>
      </c>
      <c r="GS65" vm="843">
        <f ca="1"/>
        <v>46050</v>
      </c>
      <c r="GT65" vm="844">
        <f ca="1"/>
        <v>46051</v>
      </c>
      <c r="GU65" vm="845">
        <f ca="1"/>
        <v>46052</v>
      </c>
      <c r="GV65" vm="846">
        <f ca="1"/>
        <v>46055</v>
      </c>
      <c r="GW65" vm="847">
        <f ca="1"/>
        <v>46056</v>
      </c>
      <c r="GX65" vm="848">
        <f ca="1"/>
        <v>46057</v>
      </c>
      <c r="GY65" vm="849">
        <f ca="1"/>
        <v>46058</v>
      </c>
      <c r="GZ65" vm="850">
        <f ca="1"/>
        <v>46059</v>
      </c>
      <c r="HA65" vm="851">
        <f ca="1"/>
        <v>46062</v>
      </c>
      <c r="HB65" vm="852">
        <f ca="1"/>
        <v>46063</v>
      </c>
      <c r="HC65" vm="853">
        <f ca="1"/>
        <v>46064</v>
      </c>
      <c r="HD65" vm="854">
        <f ca="1"/>
        <v>46065</v>
      </c>
      <c r="HE65" vm="855">
        <f ca="1"/>
        <v>46066</v>
      </c>
      <c r="HF65" vm="856">
        <f ca="1"/>
        <v>46070</v>
      </c>
      <c r="HG65" vm="857">
        <f ca="1"/>
        <v>46071</v>
      </c>
      <c r="HH65" vm="858">
        <f ca="1"/>
        <v>46072</v>
      </c>
      <c r="HI65" vm="859">
        <f ca="1"/>
        <v>46073</v>
      </c>
      <c r="HJ65" vm="860">
        <f ca="1"/>
        <v>46076</v>
      </c>
      <c r="HK65" vm="861">
        <f ca="1"/>
        <v>46077</v>
      </c>
      <c r="HL65" vm="862">
        <f ca="1"/>
        <v>46078</v>
      </c>
      <c r="HM65" vm="863">
        <f ca="1"/>
        <v>46079</v>
      </c>
      <c r="HN65" vm="864">
        <f ca="1"/>
        <v>46080</v>
      </c>
      <c r="HO65" vm="865">
        <f ca="1"/>
        <v>46083</v>
      </c>
      <c r="HP65" vm="866">
        <f ca="1"/>
        <v>46084</v>
      </c>
      <c r="HQ65" vm="867">
        <f ca="1"/>
        <v>46085</v>
      </c>
      <c r="HR65" vm="868">
        <f ca="1"/>
        <v>46086</v>
      </c>
      <c r="HS65" vm="869">
        <f ca="1"/>
        <v>46087</v>
      </c>
      <c r="HT65" vm="870">
        <f ca="1"/>
        <v>46090</v>
      </c>
      <c r="HU65" vm="871">
        <f ca="1"/>
        <v>46091</v>
      </c>
      <c r="HV65" vm="872">
        <f ca="1"/>
        <v>46092</v>
      </c>
      <c r="HW65" vm="873">
        <f ca="1"/>
        <v>46093</v>
      </c>
      <c r="HX65" vm="874">
        <f ca="1"/>
        <v>46094</v>
      </c>
      <c r="HY65" vm="875">
        <f ca="1"/>
        <v>46097</v>
      </c>
      <c r="HZ65" vm="876">
        <f ca="1"/>
        <v>46098</v>
      </c>
      <c r="IA65" vm="877">
        <f ca="1"/>
        <v>46099</v>
      </c>
      <c r="IB65" vm="878">
        <f ca="1"/>
        <v>46100</v>
      </c>
      <c r="IC65" vm="879">
        <f ca="1"/>
        <v>46101</v>
      </c>
      <c r="ID65" vm="880">
        <f ca="1"/>
        <v>46104</v>
      </c>
      <c r="IE65" vm="881">
        <f ca="1"/>
        <v>46105</v>
      </c>
      <c r="IF65" vm="882">
        <f ca="1"/>
        <v>46106</v>
      </c>
      <c r="IG65" vm="883">
        <f ca="1"/>
        <v>46107</v>
      </c>
      <c r="IH65" vm="884">
        <f ca="1"/>
        <v>46108</v>
      </c>
      <c r="II65" vm="885">
        <f ca="1"/>
        <v>46111</v>
      </c>
      <c r="IJ65" vm="886">
        <f ca="1"/>
        <v>46112</v>
      </c>
      <c r="IK65" vm="887">
        <f ca="1"/>
        <v>46113</v>
      </c>
      <c r="IL65" vm="888">
        <f ca="1"/>
        <v>46114</v>
      </c>
      <c r="IM65" vm="889">
        <f ca="1"/>
        <v>46118</v>
      </c>
      <c r="IN65" vm="890">
        <f ca="1"/>
        <v>46119</v>
      </c>
      <c r="IO65" vm="891">
        <f ca="1"/>
        <v>46120</v>
      </c>
      <c r="IP65" vm="892">
        <f ca="1"/>
        <v>46121</v>
      </c>
      <c r="IQ65" vm="893">
        <f ca="1"/>
        <v>46122</v>
      </c>
      <c r="IR65" vm="894">
        <f ca="1"/>
        <v>46125</v>
      </c>
      <c r="IS65" vm="895">
        <f ca="1"/>
        <v>46126</v>
      </c>
      <c r="IT65" vm="896">
        <f ca="1"/>
        <v>46127</v>
      </c>
      <c r="IU65" vm="897">
        <f ca="1"/>
        <v>46128</v>
      </c>
      <c r="IV65" vm="898">
        <f ca="1"/>
        <v>46129</v>
      </c>
      <c r="IW65" vm="899">
        <f ca="1"/>
        <v>46132</v>
      </c>
    </row>
    <row r="66" spans="2:257" x14ac:dyDescent="0.25">
      <c r="B66" t="s">
        <v>153</v>
      </c>
      <c r="C66" t="s">
        <v>0</v>
      </c>
      <c r="D66" t="s">
        <v>8</v>
      </c>
      <c r="E66" t="s">
        <v>1</v>
      </c>
      <c r="F66" s="12" t="s">
        <v>197</v>
      </c>
      <c r="G66" s="51" vm="1660">
        <f ca="1"/>
        <v>34928346</v>
      </c>
      <c r="H66" vm="1661">
        <f ca="1"/>
        <v>42288918</v>
      </c>
      <c r="I66" vm="1662">
        <f ca="1"/>
        <v>54428408</v>
      </c>
      <c r="J66" vm="1663">
        <f ca="1"/>
        <v>42457109</v>
      </c>
      <c r="K66" vm="1664">
        <f ca="1"/>
        <v>32694154</v>
      </c>
      <c r="L66" vm="1665">
        <f ca="1"/>
        <v>37428007</v>
      </c>
      <c r="M66" vm="1666">
        <f ca="1"/>
        <v>33792544</v>
      </c>
      <c r="N66" vm="1667">
        <f ca="1"/>
        <v>40994596</v>
      </c>
      <c r="O66" vm="1668">
        <f ca="1"/>
        <v>33569144</v>
      </c>
      <c r="P66" vm="1669">
        <f ca="1"/>
        <v>41613021</v>
      </c>
      <c r="Q66" vm="1670">
        <f ca="1"/>
        <v>32829236</v>
      </c>
      <c r="R66" vm="1671">
        <f ca="1"/>
        <v>29541838</v>
      </c>
      <c r="S66" vm="1672">
        <f ca="1"/>
        <v>30928612</v>
      </c>
      <c r="T66" vm="1673">
        <f ca="1"/>
        <v>41861747</v>
      </c>
      <c r="U66" vm="1674">
        <f ca="1"/>
        <v>27222761</v>
      </c>
      <c r="V66" vm="1675">
        <f ca="1"/>
        <v>44875064</v>
      </c>
      <c r="W66" vm="1676">
        <f ca="1"/>
        <v>43232541</v>
      </c>
      <c r="X66" vm="1677">
        <f ca="1"/>
        <v>42419547</v>
      </c>
      <c r="Y66" vm="1678">
        <f ca="1"/>
        <v>47379372</v>
      </c>
      <c r="Z66" vm="1679">
        <f ca="1"/>
        <v>49488135</v>
      </c>
      <c r="AA66" vm="1680">
        <f ca="1"/>
        <v>37915717</v>
      </c>
      <c r="AB66" vm="1681">
        <f ca="1"/>
        <v>33424251</v>
      </c>
      <c r="AC66" vm="1682">
        <f ca="1"/>
        <v>55594058</v>
      </c>
      <c r="AD66" vm="1683">
        <f ca="1"/>
        <v>29026187</v>
      </c>
      <c r="AE66" vm="1684">
        <f ca="1"/>
        <v>34875060</v>
      </c>
      <c r="AF66" vm="1685">
        <f ca="1"/>
        <v>36322007</v>
      </c>
      <c r="AG66" vm="1686">
        <f ca="1"/>
        <v>35673753</v>
      </c>
      <c r="AH66" vm="1687">
        <f ca="1"/>
        <v>28553008</v>
      </c>
      <c r="AI66" vm="1688">
        <f ca="1"/>
        <v>66537474</v>
      </c>
      <c r="AJ66" vm="1689">
        <f ca="1"/>
        <v>28582598</v>
      </c>
      <c r="AK66" vm="1690">
        <f ca="1"/>
        <v>31320154</v>
      </c>
      <c r="AL66" vm="1691">
        <f ca="1"/>
        <v>30591708</v>
      </c>
      <c r="AM66" vm="1692">
        <f ca="1"/>
        <v>32036157</v>
      </c>
      <c r="AN66" vm="1693">
        <f ca="1"/>
        <v>37013001</v>
      </c>
      <c r="AO66" vm="1694">
        <f ca="1"/>
        <v>32414025</v>
      </c>
      <c r="AP66" vm="1695">
        <f ca="1"/>
        <v>32229081</v>
      </c>
      <c r="AQ66" vm="1696">
        <f ca="1"/>
        <v>47873455</v>
      </c>
      <c r="AR66" vm="1697">
        <f ca="1"/>
        <v>30165422</v>
      </c>
      <c r="AS66" vm="1698">
        <f ca="1"/>
        <v>43281740</v>
      </c>
      <c r="AT66" vm="1699">
        <f ca="1"/>
        <v>34103646</v>
      </c>
      <c r="AU66" vm="1700">
        <f ca="1"/>
        <v>27489633</v>
      </c>
      <c r="AV66" vm="1701">
        <f ca="1"/>
        <v>37684730</v>
      </c>
      <c r="AW66" vm="1702">
        <f ca="1"/>
        <v>64591572</v>
      </c>
      <c r="AX66" vm="1703">
        <f ca="1"/>
        <v>42683615</v>
      </c>
      <c r="AY66" vm="1704">
        <f ca="1"/>
        <v>45437593</v>
      </c>
      <c r="AZ66" vm="1705">
        <f ca="1"/>
        <v>33532391</v>
      </c>
      <c r="BA66" vm="1706">
        <f ca="1"/>
        <v>40127021</v>
      </c>
      <c r="BB66" vm="1707">
        <f ca="1"/>
        <v>56705021</v>
      </c>
      <c r="BC66" vm="1708">
        <f ca="1"/>
        <v>47921177</v>
      </c>
      <c r="BD66" vm="1709">
        <f ca="1"/>
        <v>48540877</v>
      </c>
      <c r="BE66" vm="1710">
        <f ca="1"/>
        <v>48003612</v>
      </c>
      <c r="BF66" vm="1711">
        <f ca="1"/>
        <v>21620278</v>
      </c>
      <c r="BG66" vm="1712">
        <f ca="1"/>
        <v>35567880</v>
      </c>
      <c r="BH66" vm="1713">
        <f ca="1"/>
        <v>88086497</v>
      </c>
      <c r="BI66" vm="1714">
        <f ca="1"/>
        <v>46227855</v>
      </c>
      <c r="BJ66" vm="1715">
        <f ca="1"/>
        <v>44224992</v>
      </c>
      <c r="BK66" vm="1716">
        <f ca="1"/>
        <v>31653005</v>
      </c>
      <c r="BL66" vm="1717">
        <f ca="1"/>
        <v>36381172</v>
      </c>
      <c r="BM66" vm="1718">
        <f ca="1"/>
        <v>55144992</v>
      </c>
      <c r="BN66" vm="1719">
        <f ca="1"/>
        <v>61296628</v>
      </c>
      <c r="BO66" vm="1720">
        <f ca="1"/>
        <v>56480729</v>
      </c>
      <c r="BP66" vm="1721">
        <f ca="1"/>
        <v>48314188</v>
      </c>
      <c r="BQ66" vm="1722">
        <f ca="1"/>
        <v>32199673</v>
      </c>
      <c r="BR66" vm="1723">
        <f ca="1"/>
        <v>34749381</v>
      </c>
      <c r="BS66" vm="1724">
        <f ca="1"/>
        <v>31380097</v>
      </c>
      <c r="BT66" vm="1725">
        <f ca="1"/>
        <v>42967619</v>
      </c>
      <c r="BU66" vm="1726">
        <f ca="1"/>
        <v>24461228</v>
      </c>
      <c r="BV66" vm="1727">
        <f ca="1"/>
        <v>20590380</v>
      </c>
      <c r="BW66" vm="1728">
        <f ca="1"/>
        <v>26216484</v>
      </c>
      <c r="BX66" vm="1729">
        <f ca="1"/>
        <v>32265850</v>
      </c>
      <c r="BY66" vm="1730">
        <f ca="1"/>
        <v>40016313</v>
      </c>
      <c r="BZ66" vm="1731">
        <f ca="1"/>
        <v>52310438</v>
      </c>
      <c r="CA66" vm="1732">
        <f ca="1"/>
        <v>31038904</v>
      </c>
      <c r="CB66" vm="1733">
        <f ca="1"/>
        <v>36798320</v>
      </c>
      <c r="CC66" vm="1734">
        <f ca="1"/>
        <v>27916767</v>
      </c>
      <c r="CD66" vm="1735">
        <f ca="1"/>
        <v>30609882</v>
      </c>
      <c r="CE66" vm="1736">
        <f ca="1"/>
        <v>37131557</v>
      </c>
      <c r="CF66" vm="1737">
        <f ca="1"/>
        <v>35559383</v>
      </c>
      <c r="CG66" vm="1738">
        <f ca="1"/>
        <v>35484466</v>
      </c>
      <c r="CH66" vm="1739">
        <f ca="1"/>
        <v>29465062</v>
      </c>
      <c r="CI66" vm="1740">
        <f ca="1"/>
        <v>21073786</v>
      </c>
      <c r="CJ66" vm="1741">
        <f ca="1"/>
        <v>26276902</v>
      </c>
      <c r="CK66" vm="1742">
        <f ca="1"/>
        <v>43125120</v>
      </c>
      <c r="CL66" vm="1743">
        <f ca="1"/>
        <v>33783443</v>
      </c>
      <c r="CM66" vm="1744">
        <f ca="1"/>
        <v>30822222</v>
      </c>
      <c r="CN66" vm="1745">
        <f ca="1"/>
        <v>28713163</v>
      </c>
      <c r="CO66" vm="1746">
        <f ca="1"/>
        <v>45078911</v>
      </c>
      <c r="CP66" vm="1747">
        <f ca="1"/>
        <v>34715749</v>
      </c>
      <c r="CQ66" vm="1748">
        <f ca="1"/>
        <v>40609302</v>
      </c>
      <c r="CR66" vm="1749">
        <f ca="1"/>
        <v>42428187</v>
      </c>
      <c r="CS66" vm="1750">
        <f ca="1"/>
        <v>32949399</v>
      </c>
      <c r="CT66" vm="1751">
        <f ca="1"/>
        <v>32496470</v>
      </c>
      <c r="CU66" vm="1752">
        <f ca="1"/>
        <v>52719782</v>
      </c>
      <c r="CV66" vm="1753">
        <f ca="1"/>
        <v>38344193</v>
      </c>
      <c r="CW66" vm="1754">
        <f ca="1"/>
        <v>34796896</v>
      </c>
      <c r="CX66" vm="1755">
        <f ca="1"/>
        <v>40063322</v>
      </c>
      <c r="CY66" vm="1756">
        <f ca="1"/>
        <v>48033135</v>
      </c>
      <c r="CZ66" vm="1757">
        <f ca="1"/>
        <v>40060147</v>
      </c>
      <c r="DA66" vm="1758">
        <f ca="1"/>
        <v>31706338</v>
      </c>
      <c r="DB66" vm="1759">
        <f ca="1"/>
        <v>28055187</v>
      </c>
      <c r="DC66" vm="1760">
        <f ca="1"/>
        <v>27851108</v>
      </c>
      <c r="DD66" vm="1761">
        <f ca="1"/>
        <v>29043572</v>
      </c>
      <c r="DE66" vm="1762">
        <f ca="1"/>
        <v>31624444</v>
      </c>
      <c r="DF66" vm="1763">
        <f ca="1"/>
        <v>38337889</v>
      </c>
      <c r="DG66" vm="1764">
        <f ca="1"/>
        <v>35246871</v>
      </c>
      <c r="DH66" vm="1765">
        <f ca="1"/>
        <v>98970669</v>
      </c>
      <c r="DI66" vm="1766">
        <f ca="1"/>
        <v>27467951</v>
      </c>
      <c r="DJ66" vm="1767">
        <f ca="1"/>
        <v>28278182</v>
      </c>
      <c r="DK66" vm="1768">
        <f ca="1"/>
        <v>27010386</v>
      </c>
      <c r="DL66" vm="1769">
        <f ca="1"/>
        <v>22957932</v>
      </c>
      <c r="DM66" vm="1770">
        <f ca="1"/>
        <v>20025763</v>
      </c>
      <c r="DN66" vm="1771">
        <f ca="1"/>
        <v>23700991</v>
      </c>
      <c r="DO66" vm="1772">
        <f ca="1"/>
        <v>29944960</v>
      </c>
      <c r="DP66" vm="1773">
        <f ca="1"/>
        <v>27709125</v>
      </c>
      <c r="DQ66" vm="1774">
        <f ca="1"/>
        <v>22757213</v>
      </c>
      <c r="DR66" vm="1775">
        <f ca="1"/>
        <v>24565717</v>
      </c>
      <c r="DS66" vm="1776">
        <f ca="1"/>
        <v>25386321</v>
      </c>
      <c r="DT66" vm="1777">
        <f ca="1"/>
        <v>24107321</v>
      </c>
      <c r="DU66" vm="1778">
        <f ca="1"/>
        <v>24014168</v>
      </c>
      <c r="DV66" vm="1779">
        <f ca="1"/>
        <v>21816912</v>
      </c>
      <c r="DW66" vm="1780">
        <f ca="1"/>
        <v>31831921</v>
      </c>
      <c r="DX66" vm="1781">
        <f ca="1"/>
        <v>34462800</v>
      </c>
      <c r="DY66" vm="1782">
        <f ca="1"/>
        <v>42462595</v>
      </c>
      <c r="DZ66" vm="1783">
        <f ca="1"/>
        <v>69992192</v>
      </c>
      <c r="EA66" vm="1784">
        <f ca="1"/>
        <v>49027707</v>
      </c>
      <c r="EB66" vm="1785">
        <f ca="1"/>
        <v>48915375</v>
      </c>
      <c r="EC66" vm="1786">
        <f ca="1"/>
        <v>25785985</v>
      </c>
      <c r="ED66" vm="1787">
        <f ca="1"/>
        <v>27303428</v>
      </c>
      <c r="EE66" vm="1788">
        <f ca="1"/>
        <v>34954973</v>
      </c>
      <c r="EF66" vm="1789">
        <f ca="1"/>
        <v>26028810</v>
      </c>
      <c r="EG66" vm="1790">
        <f ca="1"/>
        <v>38923897</v>
      </c>
      <c r="EH66" vm="1791">
        <f ca="1"/>
        <v>27345801</v>
      </c>
      <c r="EI66" vm="1792">
        <f ca="1"/>
        <v>29575215</v>
      </c>
      <c r="EJ66" vm="1793">
        <f ca="1"/>
        <v>29158770</v>
      </c>
      <c r="EK66" vm="1794">
        <f ca="1"/>
        <v>37548588</v>
      </c>
      <c r="EL66" vm="1795">
        <f ca="1"/>
        <v>39295717</v>
      </c>
      <c r="EM66" vm="1796">
        <f ca="1"/>
        <v>31252323</v>
      </c>
      <c r="EN66" vm="1797">
        <f ca="1"/>
        <v>47226578</v>
      </c>
      <c r="EO66" vm="1798">
        <f ca="1"/>
        <v>54353588</v>
      </c>
      <c r="EP66" vm="1799">
        <f ca="1"/>
        <v>55296039</v>
      </c>
      <c r="EQ66" vm="1800">
        <f ca="1"/>
        <v>40537658</v>
      </c>
      <c r="ER66" vm="1801">
        <f ca="1"/>
        <v>26094576</v>
      </c>
      <c r="ES66" vm="1802">
        <f ca="1"/>
        <v>22244345</v>
      </c>
      <c r="ET66" vm="1803">
        <f ca="1"/>
        <v>40536695</v>
      </c>
      <c r="EU66" vm="1804">
        <f ca="1"/>
        <v>37716055</v>
      </c>
      <c r="EV66" vm="1805">
        <f ca="1"/>
        <v>32363064</v>
      </c>
      <c r="EW66" vm="1806">
        <f ca="1"/>
        <v>35546828</v>
      </c>
      <c r="EX66" vm="1807">
        <f ca="1"/>
        <v>35189535</v>
      </c>
      <c r="EY66" vm="1808">
        <f ca="1"/>
        <v>28112345</v>
      </c>
      <c r="EZ66" vm="1809">
        <f ca="1"/>
        <v>36661608</v>
      </c>
      <c r="FA66" vm="1810">
        <f ca="1"/>
        <v>43867164</v>
      </c>
      <c r="FB66" vm="1811">
        <f ca="1"/>
        <v>52852083</v>
      </c>
      <c r="FC66" vm="1812">
        <f ca="1"/>
        <v>41310130</v>
      </c>
      <c r="FD66" vm="1813">
        <f ca="1"/>
        <v>32045585</v>
      </c>
      <c r="FE66" vm="1814">
        <f ca="1"/>
        <v>18920782</v>
      </c>
      <c r="FF66" vm="1815">
        <f ca="1"/>
        <v>30536532</v>
      </c>
      <c r="FG66" vm="1816">
        <f ca="1"/>
        <v>46073513</v>
      </c>
      <c r="FH66" vm="1817">
        <f ca="1"/>
        <v>37134402</v>
      </c>
      <c r="FI66" vm="1818">
        <f ca="1"/>
        <v>38529590</v>
      </c>
      <c r="FJ66" vm="1819">
        <f ca="1"/>
        <v>33986515</v>
      </c>
      <c r="FK66" vm="1820">
        <f ca="1"/>
        <v>34386644</v>
      </c>
      <c r="FL66" vm="1821">
        <f ca="1"/>
        <v>47189323</v>
      </c>
      <c r="FM66" vm="1822">
        <f ca="1"/>
        <v>54424439</v>
      </c>
      <c r="FN66" vm="1823">
        <f ca="1"/>
        <v>35686915</v>
      </c>
      <c r="FO66" vm="1824">
        <f ca="1"/>
        <v>40539413</v>
      </c>
      <c r="FP66" vm="1825">
        <f ca="1"/>
        <v>32881254</v>
      </c>
      <c r="FQ66" vm="1826">
        <f ca="1"/>
        <v>32931915</v>
      </c>
      <c r="FR66" vm="1827">
        <f ca="1"/>
        <v>35304082</v>
      </c>
      <c r="FS66" vm="1828">
        <f ca="1"/>
        <v>87452699</v>
      </c>
      <c r="FT66" vm="1829">
        <f ca="1"/>
        <v>73001930</v>
      </c>
      <c r="FU66" vm="1830">
        <f ca="1"/>
        <v>33408769</v>
      </c>
      <c r="FV66" vm="1831">
        <f ca="1"/>
        <v>22274605</v>
      </c>
      <c r="FW66" vm="1832">
        <f ca="1"/>
        <v>13634407</v>
      </c>
      <c r="FX66" vm="1833">
        <f ca="1"/>
        <v>15259444</v>
      </c>
      <c r="FY66" vm="1834">
        <f ca="1"/>
        <v>21040098</v>
      </c>
      <c r="FZ66" vm="1835">
        <f ca="1"/>
        <v>17427630</v>
      </c>
      <c r="GA66" vm="1836">
        <f ca="1"/>
        <v>16293026</v>
      </c>
      <c r="GB66" vm="1837">
        <f ca="1"/>
        <v>25503555</v>
      </c>
      <c r="GC66" vm="1838">
        <f ca="1"/>
        <v>36096600</v>
      </c>
      <c r="GD66" vm="1839">
        <f ca="1"/>
        <v>31791923</v>
      </c>
      <c r="GE66" vm="1840">
        <f ca="1"/>
        <v>49695546</v>
      </c>
      <c r="GF66" vm="1841">
        <f ca="1"/>
        <v>30933669</v>
      </c>
      <c r="GG66" vm="1842">
        <f ca="1"/>
        <v>30768757</v>
      </c>
      <c r="GH66" vm="1843">
        <f ca="1"/>
        <v>45860555</v>
      </c>
      <c r="GI66" vm="1844">
        <f ca="1"/>
        <v>43542232</v>
      </c>
      <c r="GJ66" vm="1845">
        <f ca="1"/>
        <v>84750044</v>
      </c>
      <c r="GK66" vm="1846">
        <f ca="1"/>
        <v>51018273</v>
      </c>
      <c r="GL66" vm="1847">
        <f ca="1"/>
        <v>52178429</v>
      </c>
      <c r="GM66" vm="1848">
        <f ca="1"/>
        <v>49172654</v>
      </c>
      <c r="GN66" vm="1849">
        <f ca="1"/>
        <v>36339971</v>
      </c>
      <c r="GO66" vm="1850">
        <f ca="1"/>
        <v>31229211</v>
      </c>
      <c r="GP66" vm="1851">
        <f ca="1"/>
        <v>34553499</v>
      </c>
      <c r="GQ66" vm="1852">
        <f ca="1"/>
        <v>27728400</v>
      </c>
      <c r="GR66" vm="1853">
        <f ca="1"/>
        <v>26494298</v>
      </c>
      <c r="GS66" vm="1854">
        <f ca="1"/>
        <v>35030158</v>
      </c>
      <c r="GT66" vm="1855">
        <f ca="1"/>
        <v>35200456</v>
      </c>
      <c r="GU66" vm="1856">
        <f ca="1"/>
        <v>34549130</v>
      </c>
      <c r="GV66" vm="1857">
        <f ca="1"/>
        <v>34624464</v>
      </c>
      <c r="GW66" vm="1858">
        <f ca="1"/>
        <v>41208444</v>
      </c>
      <c r="GX66" vm="1859">
        <f ca="1"/>
        <v>54522543</v>
      </c>
      <c r="GY66" vm="1860">
        <f ca="1"/>
        <v>32959672</v>
      </c>
      <c r="GZ66" vm="1861">
        <f ca="1"/>
        <v>42467989</v>
      </c>
      <c r="HA66" vm="1862">
        <f ca="1"/>
        <v>31968377</v>
      </c>
      <c r="HB66" vm="1863">
        <f ca="1"/>
        <v>48304748</v>
      </c>
      <c r="HC66" vm="1864">
        <f ca="1"/>
        <v>48973507</v>
      </c>
      <c r="HD66" vm="1865">
        <f ca="1"/>
        <v>55481595</v>
      </c>
      <c r="HE66" vm="1866">
        <f ca="1"/>
        <v>31772096</v>
      </c>
      <c r="HF66" vm="1867">
        <f ca="1"/>
        <v>35542357</v>
      </c>
      <c r="HG66" vm="1868">
        <f ca="1"/>
        <v>30698902</v>
      </c>
      <c r="HH66" vm="1869">
        <f ca="1"/>
        <v>47148587</v>
      </c>
      <c r="HI66" vm="1870">
        <f ca="1"/>
        <v>33552006</v>
      </c>
      <c r="HJ66" vm="1871">
        <f ca="1"/>
        <v>50602478</v>
      </c>
      <c r="HK66" vm="1872">
        <f ca="1"/>
        <v>53062697</v>
      </c>
      <c r="HL66" vm="1873">
        <f ca="1"/>
        <v>41375022</v>
      </c>
      <c r="HM66" vm="1874">
        <f ca="1"/>
        <v>52418498</v>
      </c>
      <c r="HN66" vm="1875">
        <f ca="1"/>
        <v>77728699</v>
      </c>
      <c r="HO66" vm="1876">
        <f ca="1"/>
        <v>40595188</v>
      </c>
      <c r="HP66" vm="1877">
        <f ca="1"/>
        <v>51242938</v>
      </c>
      <c r="HQ66" vm="1878">
        <f ca="1"/>
        <v>34208496</v>
      </c>
      <c r="HR66" vm="1879">
        <f ca="1"/>
        <v>39073943</v>
      </c>
      <c r="HS66" vm="1880">
        <f ca="1"/>
        <v>47015993</v>
      </c>
      <c r="HT66" vm="1881">
        <f ca="1"/>
        <v>62752798</v>
      </c>
      <c r="HU66" vm="1882">
        <f ca="1"/>
        <v>50271136</v>
      </c>
      <c r="HV66" vm="1883">
        <f ca="1"/>
        <v>42185812</v>
      </c>
      <c r="HW66" vm="1884">
        <f ca="1"/>
        <v>58354534</v>
      </c>
      <c r="HX66" vm="1885">
        <f ca="1"/>
        <v>45473073</v>
      </c>
      <c r="HY66" vm="1886">
        <f ca="1"/>
        <v>38055608</v>
      </c>
      <c r="HZ66" vm="1887">
        <f ca="1"/>
        <v>33427815</v>
      </c>
      <c r="IA66" vm="1888">
        <f ca="1"/>
        <v>40251811</v>
      </c>
      <c r="IB66" vm="1889">
        <f ca="1"/>
        <v>38601377</v>
      </c>
      <c r="IC66" vm="1890">
        <f ca="1"/>
        <v>78060881</v>
      </c>
      <c r="ID66" vm="1891">
        <f ca="1"/>
        <v>42333241</v>
      </c>
      <c r="IE66" vm="1892">
        <f ca="1"/>
        <v>39804103</v>
      </c>
      <c r="IF66" vm="1893">
        <f ca="1"/>
        <v>29988292</v>
      </c>
      <c r="IG66" vm="1894">
        <f ca="1"/>
        <v>32502597</v>
      </c>
      <c r="IH66" vm="1895">
        <f ca="1"/>
        <v>36781861</v>
      </c>
      <c r="II66" vm="1896">
        <f ca="1"/>
        <v>43375850</v>
      </c>
      <c r="IJ66" vm="1897">
        <f ca="1"/>
        <v>49060591</v>
      </c>
      <c r="IK66" vm="1898">
        <f ca="1"/>
        <v>32947016</v>
      </c>
      <c r="IL66" vm="1899">
        <f ca="1"/>
        <v>27548242</v>
      </c>
      <c r="IM66" vm="1900">
        <f ca="1"/>
        <v>28507199</v>
      </c>
      <c r="IN66" vm="1901">
        <f ca="1"/>
        <v>28473178</v>
      </c>
      <c r="IO66" vm="1902">
        <f ca="1"/>
        <v>36473548</v>
      </c>
      <c r="IP66" vm="1903">
        <f ca="1"/>
        <v>32007987</v>
      </c>
      <c r="IQ66" vm="1904">
        <f ca="1"/>
        <v>25225326</v>
      </c>
      <c r="IR66" vm="1905">
        <f ca="1"/>
        <v>27835292</v>
      </c>
      <c r="IS66" vm="1906">
        <f ca="1"/>
        <v>40178472</v>
      </c>
      <c r="IT66" vm="1907">
        <f ca="1"/>
        <v>63838206</v>
      </c>
      <c r="IU66" vm="1908">
        <f ca="1"/>
        <v>35206733</v>
      </c>
      <c r="IV66" vm="1909">
        <f ca="1"/>
        <v>43484724</v>
      </c>
      <c r="IW66" vm="1910">
        <f ca="1"/>
        <v>43999191</v>
      </c>
    </row>
    <row r="67" spans="2:257" x14ac:dyDescent="0.25">
      <c r="B67" t="str">
        <f t="shared" ref="B67:B87" si="641">IF(C67="","",_xlfn.XLOOKUP(C67,Type_Compte,Num_Compte))</f>
        <v>20K6HU7</v>
      </c>
      <c r="C67" t="s">
        <v>162</v>
      </c>
      <c r="D67" t="e" vm="513">
        <v>#VALUE!</v>
      </c>
      <c r="E67" t="str" cm="1">
        <f t="array" aca="1" ref="E67" ca="1">_FV(D67,"Code mnémonique",TRUE)</f>
        <v>BAC</v>
      </c>
      <c r="F67" s="12">
        <f>_xlfn.XLOOKUP(D67,Titres[Action],Titres[Nb d''actions])</f>
        <v>150</v>
      </c>
      <c r="G67" cm="1">
        <f t="array" aca="1" ref="G67:IW67" ca="1">IFERROR(TRANSPOSE(_xlfn.STOCKHISTORY(D67,TODAY()-365,TODAY(),0,0,1))*F67,"")</f>
        <v>5538</v>
      </c>
      <c r="H67">
        <f ca="1"/>
        <v>5748</v>
      </c>
      <c r="I67">
        <f ca="1"/>
        <v>5812.5</v>
      </c>
      <c r="J67">
        <f ca="1"/>
        <v>5937</v>
      </c>
      <c r="K67">
        <f ca="1"/>
        <v>5953.5</v>
      </c>
      <c r="L67">
        <f ca="1"/>
        <v>5967</v>
      </c>
      <c r="M67">
        <f ca="1"/>
        <v>5998.5</v>
      </c>
      <c r="N67">
        <f ca="1"/>
        <v>5982</v>
      </c>
      <c r="O67">
        <f ca="1"/>
        <v>6025.5</v>
      </c>
      <c r="P67">
        <f ca="1"/>
        <v>6160.5</v>
      </c>
      <c r="Q67">
        <f ca="1"/>
        <v>6168</v>
      </c>
      <c r="R67">
        <f ca="1"/>
        <v>6126.0000000000009</v>
      </c>
      <c r="S67">
        <f ca="1"/>
        <v>6139.5</v>
      </c>
      <c r="T67">
        <f ca="1"/>
        <v>6240</v>
      </c>
      <c r="U67">
        <f ca="1"/>
        <v>6268.5</v>
      </c>
      <c r="V67">
        <f ca="1"/>
        <v>6504</v>
      </c>
      <c r="W67">
        <f ca="1"/>
        <v>6642</v>
      </c>
      <c r="X67">
        <f ca="1"/>
        <v>6711</v>
      </c>
      <c r="Y67">
        <f ca="1"/>
        <v>6657</v>
      </c>
      <c r="Z67">
        <f ca="1"/>
        <v>6703.5</v>
      </c>
      <c r="AA67">
        <f ca="1"/>
        <v>6715.5000000000009</v>
      </c>
      <c r="AB67">
        <f ca="1"/>
        <v>6703.5</v>
      </c>
      <c r="AC67">
        <f ca="1"/>
        <v>6487.5</v>
      </c>
      <c r="AD67">
        <f ca="1"/>
        <v>6496.5</v>
      </c>
      <c r="AE67">
        <f ca="1"/>
        <v>6480</v>
      </c>
      <c r="AF67">
        <f ca="1"/>
        <v>6633</v>
      </c>
      <c r="AG67">
        <f ca="1"/>
        <v>6609</v>
      </c>
      <c r="AH67">
        <f ca="1"/>
        <v>6636</v>
      </c>
      <c r="AI67">
        <f ca="1"/>
        <v>6619.5</v>
      </c>
      <c r="AJ67">
        <f ca="1"/>
        <v>6612</v>
      </c>
      <c r="AK67">
        <f ca="1"/>
        <v>6697.5</v>
      </c>
      <c r="AL67">
        <f ca="1"/>
        <v>6654</v>
      </c>
      <c r="AM67">
        <f ca="1"/>
        <v>6657</v>
      </c>
      <c r="AN67">
        <f ca="1"/>
        <v>6745.5</v>
      </c>
      <c r="AO67">
        <f ca="1"/>
        <v>6730.5</v>
      </c>
      <c r="AP67">
        <f ca="1"/>
        <v>6763.5000000000009</v>
      </c>
      <c r="AQ67">
        <f ca="1"/>
        <v>6709.4999999999991</v>
      </c>
      <c r="AR67">
        <f ca="1"/>
        <v>6693</v>
      </c>
      <c r="AS67">
        <f ca="1"/>
        <v>6613.5000000000009</v>
      </c>
      <c r="AT67">
        <f ca="1"/>
        <v>6661.4999999999991</v>
      </c>
      <c r="AU67">
        <f ca="1"/>
        <v>6634.4999999999991</v>
      </c>
      <c r="AV67">
        <f ca="1"/>
        <v>6759</v>
      </c>
      <c r="AW67">
        <f ca="1"/>
        <v>6825</v>
      </c>
      <c r="AX67">
        <f ca="1"/>
        <v>6945</v>
      </c>
      <c r="AY67">
        <f ca="1"/>
        <v>6998.9999999999991</v>
      </c>
      <c r="AZ67">
        <f ca="1"/>
        <v>7027.5</v>
      </c>
      <c r="BA67">
        <f ca="1"/>
        <v>7119</v>
      </c>
      <c r="BB67">
        <f ca="1"/>
        <v>7068</v>
      </c>
      <c r="BC67">
        <f ca="1"/>
        <v>7098</v>
      </c>
      <c r="BD67">
        <f ca="1"/>
        <v>7222.5</v>
      </c>
      <c r="BE67">
        <f ca="1"/>
        <v>7306.5</v>
      </c>
      <c r="BF67">
        <f ca="1"/>
        <v>7339.5</v>
      </c>
      <c r="BG67">
        <f ca="1"/>
        <v>7298.9999999999991</v>
      </c>
      <c r="BH67">
        <f ca="1"/>
        <v>7072.5</v>
      </c>
      <c r="BI67">
        <f ca="1"/>
        <v>7026.0000000000009</v>
      </c>
      <c r="BJ67">
        <f ca="1"/>
        <v>7045.5</v>
      </c>
      <c r="BK67">
        <f ca="1"/>
        <v>7009.4999999999991</v>
      </c>
      <c r="BL67">
        <f ca="1"/>
        <v>7060.5</v>
      </c>
      <c r="BM67">
        <f ca="1"/>
        <v>6922.5</v>
      </c>
      <c r="BN67">
        <f ca="1"/>
        <v>6904.5</v>
      </c>
      <c r="BO67">
        <f ca="1"/>
        <v>7053.0000000000009</v>
      </c>
      <c r="BP67">
        <f ca="1"/>
        <v>7098</v>
      </c>
      <c r="BQ67">
        <f ca="1"/>
        <v>7121.9999999999991</v>
      </c>
      <c r="BR67">
        <f ca="1"/>
        <v>7165.5000000000009</v>
      </c>
      <c r="BS67">
        <f ca="1"/>
        <v>7221</v>
      </c>
      <c r="BT67">
        <f ca="1"/>
        <v>7258.5</v>
      </c>
      <c r="BU67">
        <f ca="1"/>
        <v>7267.5</v>
      </c>
      <c r="BV67">
        <f ca="1"/>
        <v>7234.4999999999991</v>
      </c>
      <c r="BW67">
        <f ca="1"/>
        <v>7192.5</v>
      </c>
      <c r="BX67">
        <f ca="1"/>
        <v>7194</v>
      </c>
      <c r="BY67">
        <f ca="1"/>
        <v>7090.5000000000009</v>
      </c>
      <c r="BZ67">
        <f ca="1"/>
        <v>6848.9999999999991</v>
      </c>
      <c r="CA67">
        <f ca="1"/>
        <v>6877.5</v>
      </c>
      <c r="CB67">
        <f ca="1"/>
        <v>6834</v>
      </c>
      <c r="CC67">
        <f ca="1"/>
        <v>6813</v>
      </c>
      <c r="CD67">
        <f ca="1"/>
        <v>6738</v>
      </c>
      <c r="CE67">
        <f ca="1"/>
        <v>6901.5</v>
      </c>
      <c r="CF67">
        <f ca="1"/>
        <v>6923.9999999999991</v>
      </c>
      <c r="CG67">
        <f ca="1"/>
        <v>7125</v>
      </c>
      <c r="CH67">
        <f ca="1"/>
        <v>7086</v>
      </c>
      <c r="CI67">
        <f ca="1"/>
        <v>7156.5</v>
      </c>
      <c r="CJ67">
        <f ca="1"/>
        <v>7041</v>
      </c>
      <c r="CK67">
        <f ca="1"/>
        <v>7188</v>
      </c>
      <c r="CL67">
        <f ca="1"/>
        <v>7212</v>
      </c>
      <c r="CM67">
        <f ca="1"/>
        <v>7252.5</v>
      </c>
      <c r="CN67">
        <f ca="1"/>
        <v>7239</v>
      </c>
      <c r="CO67">
        <f ca="1"/>
        <v>7421.9999999999991</v>
      </c>
      <c r="CP67">
        <f ca="1"/>
        <v>7421.9999999999991</v>
      </c>
      <c r="CQ67">
        <f ca="1"/>
        <v>7537.5</v>
      </c>
      <c r="CR67">
        <f ca="1"/>
        <v>7557</v>
      </c>
      <c r="CS67">
        <f ca="1"/>
        <v>7573.5</v>
      </c>
      <c r="CT67">
        <f ca="1"/>
        <v>7611</v>
      </c>
      <c r="CU67">
        <f ca="1"/>
        <v>7563</v>
      </c>
      <c r="CV67">
        <f ca="1"/>
        <v>7509</v>
      </c>
      <c r="CW67">
        <f ca="1"/>
        <v>7593</v>
      </c>
      <c r="CX67">
        <f ca="1"/>
        <v>7465.5000000000009</v>
      </c>
      <c r="CY67">
        <f ca="1"/>
        <v>7419</v>
      </c>
      <c r="CZ67">
        <f ca="1"/>
        <v>7543.5</v>
      </c>
      <c r="DA67">
        <f ca="1"/>
        <v>7519.5</v>
      </c>
      <c r="DB67">
        <f ca="1"/>
        <v>7612.5</v>
      </c>
      <c r="DC67">
        <f ca="1"/>
        <v>7587</v>
      </c>
      <c r="DD67">
        <f ca="1"/>
        <v>7588.5000000000009</v>
      </c>
      <c r="DE67">
        <f ca="1"/>
        <v>7598.9999999999991</v>
      </c>
      <c r="DF67">
        <f ca="1"/>
        <v>7710</v>
      </c>
      <c r="DG67">
        <f ca="1"/>
        <v>7819.5</v>
      </c>
      <c r="DH67">
        <f ca="1"/>
        <v>7837.5</v>
      </c>
      <c r="DI67">
        <f ca="1"/>
        <v>7788</v>
      </c>
      <c r="DJ67">
        <f ca="1"/>
        <v>7755</v>
      </c>
      <c r="DK67">
        <f ca="1"/>
        <v>7755</v>
      </c>
      <c r="DL67">
        <f ca="1"/>
        <v>7777.5</v>
      </c>
      <c r="DM67">
        <f ca="1"/>
        <v>7831.5</v>
      </c>
      <c r="DN67">
        <f ca="1"/>
        <v>7863</v>
      </c>
      <c r="DO67">
        <f ca="1"/>
        <v>7738.5000000000009</v>
      </c>
      <c r="DP67">
        <f ca="1"/>
        <v>7602</v>
      </c>
      <c r="DQ67">
        <f ca="1"/>
        <v>7571.9999999999991</v>
      </c>
      <c r="DR67">
        <f ca="1"/>
        <v>7596</v>
      </c>
      <c r="DS67">
        <f ca="1"/>
        <v>7558.5</v>
      </c>
      <c r="DT67">
        <f ca="1"/>
        <v>7543.5</v>
      </c>
      <c r="DU67">
        <f ca="1"/>
        <v>7476.0000000000009</v>
      </c>
      <c r="DV67">
        <f ca="1"/>
        <v>7468.5</v>
      </c>
      <c r="DW67">
        <f ca="1"/>
        <v>7297.5</v>
      </c>
      <c r="DX67">
        <f ca="1"/>
        <v>7329</v>
      </c>
      <c r="DY67">
        <f ca="1"/>
        <v>7513.5000000000009</v>
      </c>
      <c r="DZ67">
        <f ca="1"/>
        <v>7842</v>
      </c>
      <c r="EA67">
        <f ca="1"/>
        <v>7566</v>
      </c>
      <c r="EB67">
        <f ca="1"/>
        <v>7692</v>
      </c>
      <c r="EC67">
        <f ca="1"/>
        <v>7806</v>
      </c>
      <c r="ED67">
        <f ca="1"/>
        <v>7728.0000000000009</v>
      </c>
      <c r="EE67">
        <f ca="1"/>
        <v>7665</v>
      </c>
      <c r="EF67">
        <f ca="1"/>
        <v>7764</v>
      </c>
      <c r="EG67">
        <f ca="1"/>
        <v>7885.5</v>
      </c>
      <c r="EH67">
        <f ca="1"/>
        <v>7953.0000000000009</v>
      </c>
      <c r="EI67">
        <f ca="1"/>
        <v>7930.5</v>
      </c>
      <c r="EJ67">
        <f ca="1"/>
        <v>7887</v>
      </c>
      <c r="EK67">
        <f ca="1"/>
        <v>7954.5</v>
      </c>
      <c r="EL67">
        <f ca="1"/>
        <v>8017.5</v>
      </c>
      <c r="EM67">
        <f ca="1"/>
        <v>8034</v>
      </c>
      <c r="EN67">
        <f ca="1"/>
        <v>8031</v>
      </c>
      <c r="EO67">
        <f ca="1"/>
        <v>7867.5</v>
      </c>
      <c r="EP67">
        <f ca="1"/>
        <v>7993.5</v>
      </c>
      <c r="EQ67">
        <f ca="1"/>
        <v>7980</v>
      </c>
      <c r="ER67">
        <f ca="1"/>
        <v>8013</v>
      </c>
      <c r="ES67">
        <f ca="1"/>
        <v>8044.5</v>
      </c>
      <c r="ET67">
        <f ca="1"/>
        <v>8116.5</v>
      </c>
      <c r="EU67">
        <f ca="1"/>
        <v>7930.5</v>
      </c>
      <c r="EV67">
        <f ca="1"/>
        <v>7891.5</v>
      </c>
      <c r="EW67">
        <f ca="1"/>
        <v>7721.9999999999991</v>
      </c>
      <c r="EX67">
        <f ca="1"/>
        <v>7746</v>
      </c>
      <c r="EY67">
        <f ca="1"/>
        <v>7803.0000000000009</v>
      </c>
      <c r="EZ67">
        <f ca="1"/>
        <v>7650</v>
      </c>
      <c r="FA67">
        <f ca="1"/>
        <v>7734</v>
      </c>
      <c r="FB67">
        <f ca="1"/>
        <v>7789.5</v>
      </c>
      <c r="FC67">
        <f ca="1"/>
        <v>7871.9999999999991</v>
      </c>
      <c r="FD67">
        <f ca="1"/>
        <v>7948.5</v>
      </c>
      <c r="FE67">
        <f ca="1"/>
        <v>8047.5</v>
      </c>
      <c r="FF67">
        <f ca="1"/>
        <v>7986</v>
      </c>
      <c r="FG67">
        <f ca="1"/>
        <v>7978.5</v>
      </c>
      <c r="FH67">
        <f ca="1"/>
        <v>8113.5000000000009</v>
      </c>
      <c r="FI67">
        <f ca="1"/>
        <v>8123.9999999999991</v>
      </c>
      <c r="FJ67">
        <f ca="1"/>
        <v>8092.5</v>
      </c>
      <c r="FK67">
        <f ca="1"/>
        <v>8085</v>
      </c>
      <c r="FL67">
        <f ca="1"/>
        <v>8031</v>
      </c>
      <c r="FM67">
        <f ca="1"/>
        <v>8112</v>
      </c>
      <c r="FN67">
        <f ca="1"/>
        <v>8184</v>
      </c>
      <c r="FO67">
        <f ca="1"/>
        <v>8271</v>
      </c>
      <c r="FP67">
        <f ca="1"/>
        <v>8299.5</v>
      </c>
      <c r="FQ67">
        <f ca="1"/>
        <v>8221.5</v>
      </c>
      <c r="FR67">
        <f ca="1"/>
        <v>8182.5</v>
      </c>
      <c r="FS67">
        <f ca="1"/>
        <v>8139</v>
      </c>
      <c r="FT67">
        <f ca="1"/>
        <v>8290.5</v>
      </c>
      <c r="FU67">
        <f ca="1"/>
        <v>8382</v>
      </c>
      <c r="FV67">
        <f ca="1"/>
        <v>8395.5</v>
      </c>
      <c r="FW67">
        <f ca="1"/>
        <v>8437.5</v>
      </c>
      <c r="FX67">
        <f ca="1"/>
        <v>8425.5</v>
      </c>
      <c r="FY67">
        <f ca="1"/>
        <v>8302.5</v>
      </c>
      <c r="FZ67">
        <f ca="1"/>
        <v>8292</v>
      </c>
      <c r="GA67">
        <f ca="1"/>
        <v>8250</v>
      </c>
      <c r="GB67">
        <f ca="1"/>
        <v>8392.5</v>
      </c>
      <c r="GC67">
        <f ca="1"/>
        <v>8533.5</v>
      </c>
      <c r="GD67">
        <f ca="1"/>
        <v>8587.5</v>
      </c>
      <c r="GE67">
        <f ca="1"/>
        <v>8346</v>
      </c>
      <c r="GF67">
        <f ca="1"/>
        <v>8427</v>
      </c>
      <c r="GG67">
        <f ca="1"/>
        <v>8377.5</v>
      </c>
      <c r="GH67">
        <f ca="1"/>
        <v>8278.5</v>
      </c>
      <c r="GI67">
        <f ca="1"/>
        <v>8181</v>
      </c>
      <c r="GJ67">
        <f ca="1"/>
        <v>7871.9999999999991</v>
      </c>
      <c r="GK67">
        <f ca="1"/>
        <v>7888.5000000000009</v>
      </c>
      <c r="GL67">
        <f ca="1"/>
        <v>7945.5</v>
      </c>
      <c r="GM67">
        <f ca="1"/>
        <v>7815</v>
      </c>
      <c r="GN67">
        <f ca="1"/>
        <v>7810.5</v>
      </c>
      <c r="GO67">
        <f ca="1"/>
        <v>7867.5</v>
      </c>
      <c r="GP67">
        <f ca="1"/>
        <v>7758</v>
      </c>
      <c r="GQ67">
        <f ca="1"/>
        <v>7803.0000000000009</v>
      </c>
      <c r="GR67">
        <f ca="1"/>
        <v>7825.5</v>
      </c>
      <c r="GS67">
        <f ca="1"/>
        <v>7771.5</v>
      </c>
      <c r="GT67">
        <f ca="1"/>
        <v>7962</v>
      </c>
      <c r="GU67">
        <f ca="1"/>
        <v>7980</v>
      </c>
      <c r="GV67">
        <f ca="1"/>
        <v>8104.5</v>
      </c>
      <c r="GW67">
        <f ca="1"/>
        <v>8167.5</v>
      </c>
      <c r="GX67">
        <f ca="1"/>
        <v>8307</v>
      </c>
      <c r="GY67">
        <f ca="1"/>
        <v>8241</v>
      </c>
      <c r="GZ67">
        <f ca="1"/>
        <v>8479.5</v>
      </c>
      <c r="HA67">
        <f ca="1"/>
        <v>8461.5</v>
      </c>
      <c r="HB67">
        <f ca="1"/>
        <v>8308.5</v>
      </c>
      <c r="HC67">
        <f ca="1"/>
        <v>8077.5</v>
      </c>
      <c r="HD67">
        <f ca="1"/>
        <v>7878.0000000000009</v>
      </c>
      <c r="HE67">
        <f ca="1"/>
        <v>7882.5</v>
      </c>
      <c r="HF67">
        <f ca="1"/>
        <v>7911</v>
      </c>
      <c r="HG67">
        <f ca="1"/>
        <v>8004</v>
      </c>
      <c r="HH67">
        <f ca="1"/>
        <v>7915.5000000000009</v>
      </c>
      <c r="HI67">
        <f ca="1"/>
        <v>7959</v>
      </c>
      <c r="HJ67">
        <f ca="1"/>
        <v>7660.5</v>
      </c>
      <c r="HK67">
        <f ca="1"/>
        <v>7561.4999999999991</v>
      </c>
      <c r="HL67">
        <f ca="1"/>
        <v>7753.5</v>
      </c>
      <c r="HM67">
        <f ca="1"/>
        <v>7845</v>
      </c>
      <c r="HN67">
        <f ca="1"/>
        <v>7474.5</v>
      </c>
      <c r="HO67">
        <f ca="1"/>
        <v>7471.5</v>
      </c>
      <c r="HP67">
        <f ca="1"/>
        <v>7495.5</v>
      </c>
      <c r="HQ67">
        <f ca="1"/>
        <v>7545</v>
      </c>
      <c r="HR67">
        <f ca="1"/>
        <v>7471.5</v>
      </c>
      <c r="HS67">
        <f ca="1"/>
        <v>7296</v>
      </c>
      <c r="HT67">
        <f ca="1"/>
        <v>7185</v>
      </c>
      <c r="HU67">
        <f ca="1"/>
        <v>7284</v>
      </c>
      <c r="HV67">
        <f ca="1"/>
        <v>7278.0000000000009</v>
      </c>
      <c r="HW67">
        <f ca="1"/>
        <v>7069.5</v>
      </c>
      <c r="HX67">
        <f ca="1"/>
        <v>7008</v>
      </c>
      <c r="HY67">
        <f ca="1"/>
        <v>7059</v>
      </c>
      <c r="HZ67">
        <f ca="1"/>
        <v>7092</v>
      </c>
      <c r="IA67">
        <f ca="1"/>
        <v>7024.5</v>
      </c>
      <c r="IB67">
        <f ca="1"/>
        <v>7051.5</v>
      </c>
      <c r="IC67">
        <f ca="1"/>
        <v>7073.9999999999991</v>
      </c>
      <c r="ID67">
        <f ca="1"/>
        <v>7128.0000000000009</v>
      </c>
      <c r="IE67">
        <f ca="1"/>
        <v>7221</v>
      </c>
      <c r="IF67">
        <f ca="1"/>
        <v>7312.5</v>
      </c>
      <c r="IG67">
        <f ca="1"/>
        <v>7236</v>
      </c>
      <c r="IH67">
        <f ca="1"/>
        <v>7045.5</v>
      </c>
      <c r="II67">
        <f ca="1"/>
        <v>7084.4999999999991</v>
      </c>
      <c r="IJ67">
        <f ca="1"/>
        <v>7312.5</v>
      </c>
      <c r="IK67">
        <f ca="1"/>
        <v>7390.5000000000009</v>
      </c>
      <c r="IL67">
        <f ca="1"/>
        <v>7407</v>
      </c>
      <c r="IM67">
        <f ca="1"/>
        <v>7509</v>
      </c>
      <c r="IN67">
        <f ca="1"/>
        <v>7542</v>
      </c>
      <c r="IO67">
        <f ca="1"/>
        <v>7782</v>
      </c>
      <c r="IP67">
        <f ca="1"/>
        <v>7906.5</v>
      </c>
      <c r="IQ67">
        <f ca="1"/>
        <v>7881</v>
      </c>
      <c r="IR67">
        <f ca="1"/>
        <v>8002.5</v>
      </c>
      <c r="IS67">
        <f ca="1"/>
        <v>8002.5</v>
      </c>
      <c r="IT67">
        <f ca="1"/>
        <v>8148</v>
      </c>
      <c r="IU67">
        <f ca="1"/>
        <v>8026.5</v>
      </c>
      <c r="IV67">
        <f ca="1"/>
        <v>8086.4999999999991</v>
      </c>
      <c r="IW67">
        <f ca="1"/>
        <v>8092.5</v>
      </c>
    </row>
    <row r="68" spans="2:257" x14ac:dyDescent="0.25">
      <c r="B68" t="str">
        <f t="shared" si="641"/>
        <v>20K6HU7</v>
      </c>
      <c r="C68" t="s">
        <v>162</v>
      </c>
      <c r="D68" t="e" vm="520">
        <v>#VALUE!</v>
      </c>
      <c r="E68" t="str" cm="1">
        <f t="array" aca="1" ref="E68" ca="1">_FV(D68,"Code mnémonique",TRUE)</f>
        <v>CL</v>
      </c>
      <c r="F68" s="12">
        <f>_xlfn.XLOOKUP(D68,Titres[Action],Titres[Nb d''actions])</f>
        <v>23</v>
      </c>
      <c r="G68" cm="1">
        <f t="array" aca="1" ref="G68:IW68" ca="1">IFERROR(TRANSPOSE(_xlfn.STOCKHISTORY(D68,TODAY()-365,TODAY(),0,0,1))*F68,"")</f>
        <v>2178.1</v>
      </c>
      <c r="H68">
        <f ca="1"/>
        <v>2203.63</v>
      </c>
      <c r="I68">
        <f ca="1"/>
        <v>2159.4699999999998</v>
      </c>
      <c r="J68">
        <f ca="1"/>
        <v>2132.1</v>
      </c>
      <c r="K68">
        <f ca="1"/>
        <v>2159.9299999999998</v>
      </c>
      <c r="L68">
        <f ca="1"/>
        <v>2092.08</v>
      </c>
      <c r="M68">
        <f ca="1"/>
        <v>2123.59</v>
      </c>
      <c r="N68">
        <f ca="1"/>
        <v>2120.37</v>
      </c>
      <c r="O68">
        <f ca="1"/>
        <v>2085.87</v>
      </c>
      <c r="P68">
        <f ca="1"/>
        <v>2081.04</v>
      </c>
      <c r="Q68">
        <f ca="1"/>
        <v>2087.02</v>
      </c>
      <c r="R68">
        <f ca="1"/>
        <v>2093</v>
      </c>
      <c r="S68">
        <f ca="1"/>
        <v>2090.2399999999998</v>
      </c>
      <c r="T68">
        <f ca="1"/>
        <v>2089.09</v>
      </c>
      <c r="U68">
        <f ca="1"/>
        <v>2065.63</v>
      </c>
      <c r="V68">
        <f ca="1"/>
        <v>2050.2199999999998</v>
      </c>
      <c r="W68">
        <f ca="1"/>
        <v>2021.2399999999998</v>
      </c>
      <c r="X68">
        <f ca="1"/>
        <v>2014.11</v>
      </c>
      <c r="Y68">
        <f ca="1"/>
        <v>2061.4899999999998</v>
      </c>
      <c r="Z68">
        <f ca="1"/>
        <v>2098.29</v>
      </c>
      <c r="AA68">
        <f ca="1"/>
        <v>2110.02</v>
      </c>
      <c r="AB68">
        <f ca="1"/>
        <v>2115.77</v>
      </c>
      <c r="AC68">
        <f ca="1"/>
        <v>2108.41</v>
      </c>
      <c r="AD68">
        <f ca="1"/>
        <v>2090.7000000000003</v>
      </c>
      <c r="AE68">
        <f ca="1"/>
        <v>2129.5700000000002</v>
      </c>
      <c r="AF68">
        <f ca="1"/>
        <v>2125.8900000000003</v>
      </c>
      <c r="AG68">
        <f ca="1"/>
        <v>2110.48</v>
      </c>
      <c r="AH68">
        <f ca="1"/>
        <v>2122.9</v>
      </c>
      <c r="AI68">
        <f ca="1"/>
        <v>2137.62</v>
      </c>
      <c r="AJ68">
        <f ca="1"/>
        <v>2114.3900000000003</v>
      </c>
      <c r="AK68">
        <f ca="1"/>
        <v>2084.2600000000002</v>
      </c>
      <c r="AL68">
        <f ca="1"/>
        <v>2074.6</v>
      </c>
      <c r="AM68">
        <f ca="1"/>
        <v>2073.4500000000003</v>
      </c>
      <c r="AN68">
        <f ca="1"/>
        <v>2075.52</v>
      </c>
      <c r="AO68">
        <f ca="1"/>
        <v>2090.0100000000002</v>
      </c>
      <c r="AP68">
        <f ca="1"/>
        <v>2114.62</v>
      </c>
      <c r="AQ68">
        <f ca="1"/>
        <v>2118.5300000000002</v>
      </c>
      <c r="AR68">
        <f ca="1"/>
        <v>2142.2199999999998</v>
      </c>
      <c r="AS68">
        <f ca="1"/>
        <v>2075.98</v>
      </c>
      <c r="AT68">
        <f ca="1"/>
        <v>2072.5300000000002</v>
      </c>
      <c r="AU68">
        <f ca="1"/>
        <v>2038.4899999999998</v>
      </c>
      <c r="AV68">
        <f ca="1"/>
        <v>2028.37</v>
      </c>
      <c r="AW68">
        <f ca="1"/>
        <v>2018.94</v>
      </c>
      <c r="AX68">
        <f ca="1"/>
        <v>2039.41</v>
      </c>
      <c r="AY68">
        <f ca="1"/>
        <v>2028.14</v>
      </c>
      <c r="AZ68">
        <f ca="1"/>
        <v>2019.3999999999999</v>
      </c>
      <c r="BA68">
        <f ca="1"/>
        <v>2019.17</v>
      </c>
      <c r="BB68">
        <f ca="1"/>
        <v>2040.33</v>
      </c>
      <c r="BC68">
        <f ca="1"/>
        <v>2090.7000000000003</v>
      </c>
      <c r="BD68">
        <f ca="1"/>
        <v>2116.92</v>
      </c>
      <c r="BE68">
        <f ca="1"/>
        <v>2125.2000000000003</v>
      </c>
      <c r="BF68">
        <f ca="1"/>
        <v>2133.94</v>
      </c>
      <c r="BG68">
        <f ca="1"/>
        <v>2146.59</v>
      </c>
      <c r="BH68">
        <f ca="1"/>
        <v>2119.2199999999998</v>
      </c>
      <c r="BI68">
        <f ca="1"/>
        <v>2106.34</v>
      </c>
      <c r="BJ68">
        <f ca="1"/>
        <v>2084.2600000000002</v>
      </c>
      <c r="BK68">
        <f ca="1"/>
        <v>2060.34</v>
      </c>
      <c r="BL68">
        <f ca="1"/>
        <v>2043.55</v>
      </c>
      <c r="BM68">
        <f ca="1"/>
        <v>2027.45</v>
      </c>
      <c r="BN68">
        <f ca="1"/>
        <v>2016.1799999999998</v>
      </c>
      <c r="BO68">
        <f ca="1"/>
        <v>2006.52</v>
      </c>
      <c r="BP68">
        <f ca="1"/>
        <v>1997.3200000000002</v>
      </c>
      <c r="BQ68">
        <f ca="1"/>
        <v>1992.72</v>
      </c>
      <c r="BR68">
        <f ca="1"/>
        <v>2040.1000000000001</v>
      </c>
      <c r="BS68">
        <f ca="1"/>
        <v>2042.17</v>
      </c>
      <c r="BT68">
        <f ca="1"/>
        <v>2034.3500000000001</v>
      </c>
      <c r="BU68">
        <f ca="1"/>
        <v>2022.39</v>
      </c>
      <c r="BV68">
        <f ca="1"/>
        <v>1988.81</v>
      </c>
      <c r="BW68">
        <f ca="1"/>
        <v>1997.78</v>
      </c>
      <c r="BX68">
        <f ca="1"/>
        <v>1973.3999999999999</v>
      </c>
      <c r="BY68">
        <f ca="1"/>
        <v>1928.55</v>
      </c>
      <c r="BZ68">
        <f ca="1"/>
        <v>1920.73</v>
      </c>
      <c r="CA68">
        <f ca="1"/>
        <v>1917.28</v>
      </c>
      <c r="CB68">
        <f ca="1"/>
        <v>1910.38</v>
      </c>
      <c r="CC68">
        <f ca="1"/>
        <v>1946.03</v>
      </c>
      <c r="CD68">
        <f ca="1"/>
        <v>1948.33</v>
      </c>
      <c r="CE68">
        <f ca="1"/>
        <v>1947.87</v>
      </c>
      <c r="CF68">
        <f ca="1"/>
        <v>1942.3500000000001</v>
      </c>
      <c r="CG68">
        <f ca="1"/>
        <v>1954.31</v>
      </c>
      <c r="CH68">
        <f ca="1"/>
        <v>1985.8200000000002</v>
      </c>
      <c r="CI68">
        <f ca="1"/>
        <v>1946.95</v>
      </c>
      <c r="CJ68">
        <f ca="1"/>
        <v>1956.61</v>
      </c>
      <c r="CK68">
        <f ca="1"/>
        <v>1937.98</v>
      </c>
      <c r="CL68">
        <f ca="1"/>
        <v>1974.55</v>
      </c>
      <c r="CM68">
        <f ca="1"/>
        <v>1979.1499999999999</v>
      </c>
      <c r="CN68">
        <f ca="1"/>
        <v>1984.44</v>
      </c>
      <c r="CO68">
        <f ca="1"/>
        <v>1976.62</v>
      </c>
      <c r="CP68">
        <f ca="1"/>
        <v>1933.38</v>
      </c>
      <c r="CQ68">
        <f ca="1"/>
        <v>1935.22</v>
      </c>
      <c r="CR68">
        <f ca="1"/>
        <v>1942.3500000000001</v>
      </c>
      <c r="CS68">
        <f ca="1"/>
        <v>1918.66</v>
      </c>
      <c r="CT68">
        <f ca="1"/>
        <v>1933.61</v>
      </c>
      <c r="CU68">
        <f ca="1"/>
        <v>1940.97</v>
      </c>
      <c r="CV68">
        <f ca="1"/>
        <v>1927.63</v>
      </c>
      <c r="CW68">
        <f ca="1"/>
        <v>1924.41</v>
      </c>
      <c r="CX68">
        <f ca="1"/>
        <v>1957.9899999999998</v>
      </c>
      <c r="CY68">
        <f ca="1"/>
        <v>1936.37</v>
      </c>
      <c r="CZ68">
        <f ca="1"/>
        <v>1938.44</v>
      </c>
      <c r="DA68">
        <f ca="1"/>
        <v>1913.6000000000001</v>
      </c>
      <c r="DB68">
        <f ca="1"/>
        <v>1933.38</v>
      </c>
      <c r="DC68">
        <f ca="1"/>
        <v>1915.44</v>
      </c>
      <c r="DD68">
        <f ca="1"/>
        <v>1888.9899999999998</v>
      </c>
      <c r="DE68">
        <f ca="1"/>
        <v>1874.0400000000002</v>
      </c>
      <c r="DF68">
        <f ca="1"/>
        <v>1891.06</v>
      </c>
      <c r="DG68">
        <f ca="1"/>
        <v>1875.19</v>
      </c>
      <c r="DH68">
        <f ca="1"/>
        <v>1866.91</v>
      </c>
      <c r="DI68">
        <f ca="1"/>
        <v>1825.28</v>
      </c>
      <c r="DJ68">
        <f ca="1"/>
        <v>1843.45</v>
      </c>
      <c r="DK68">
        <f ca="1"/>
        <v>1865.9899999999998</v>
      </c>
      <c r="DL68">
        <f ca="1"/>
        <v>1833.1000000000001</v>
      </c>
      <c r="DM68">
        <f ca="1"/>
        <v>1830.5700000000002</v>
      </c>
      <c r="DN68">
        <f ca="1"/>
        <v>1849.2</v>
      </c>
      <c r="DO68">
        <f ca="1"/>
        <v>1838.62</v>
      </c>
      <c r="DP68">
        <f ca="1"/>
        <v>1817.23</v>
      </c>
      <c r="DQ68">
        <f ca="1"/>
        <v>1801.13</v>
      </c>
      <c r="DR68">
        <f ca="1"/>
        <v>1794</v>
      </c>
      <c r="DS68">
        <f ca="1"/>
        <v>1781.3500000000001</v>
      </c>
      <c r="DT68">
        <f ca="1"/>
        <v>1819.53</v>
      </c>
      <c r="DU68">
        <f ca="1"/>
        <v>1794</v>
      </c>
      <c r="DV68">
        <f ca="1"/>
        <v>1789.63</v>
      </c>
      <c r="DW68">
        <f ca="1"/>
        <v>1793.08</v>
      </c>
      <c r="DX68">
        <f ca="1"/>
        <v>1770.5400000000002</v>
      </c>
      <c r="DY68">
        <f ca="1"/>
        <v>1803.2</v>
      </c>
      <c r="DZ68">
        <f ca="1"/>
        <v>1785.4899999999998</v>
      </c>
      <c r="EA68">
        <f ca="1"/>
        <v>1795.84</v>
      </c>
      <c r="EB68">
        <f ca="1"/>
        <v>1819.7600000000002</v>
      </c>
      <c r="EC68">
        <f ca="1"/>
        <v>1811.25</v>
      </c>
      <c r="ED68">
        <f ca="1"/>
        <v>1808.2600000000002</v>
      </c>
      <c r="EE68">
        <f ca="1"/>
        <v>1836.78</v>
      </c>
      <c r="EF68">
        <f ca="1"/>
        <v>1804.12</v>
      </c>
      <c r="EG68">
        <f ca="1"/>
        <v>1794</v>
      </c>
      <c r="EH68">
        <f ca="1"/>
        <v>1790.09</v>
      </c>
      <c r="EI68">
        <f ca="1"/>
        <v>1774.22</v>
      </c>
      <c r="EJ68">
        <f ca="1"/>
        <v>1741.7900000000002</v>
      </c>
      <c r="EK68">
        <f ca="1"/>
        <v>1759.73</v>
      </c>
      <c r="EL68">
        <f ca="1"/>
        <v>1772.1499999999999</v>
      </c>
      <c r="EM68">
        <f ca="1"/>
        <v>1724.5400000000002</v>
      </c>
      <c r="EN68">
        <f ca="1"/>
        <v>1760.6499999999999</v>
      </c>
      <c r="EO68">
        <f ca="1"/>
        <v>1768.9299999999998</v>
      </c>
      <c r="EP68">
        <f ca="1"/>
        <v>1777.2099999999998</v>
      </c>
      <c r="EQ68">
        <f ca="1"/>
        <v>1811.48</v>
      </c>
      <c r="ER68">
        <f ca="1"/>
        <v>1804.81</v>
      </c>
      <c r="ES68">
        <f ca="1"/>
        <v>1827.81</v>
      </c>
      <c r="ET68">
        <f ca="1"/>
        <v>1806.88</v>
      </c>
      <c r="EU68">
        <f ca="1"/>
        <v>1812.17</v>
      </c>
      <c r="EV68">
        <f ca="1"/>
        <v>1795.1499999999999</v>
      </c>
      <c r="EW68">
        <f ca="1"/>
        <v>1812.63</v>
      </c>
      <c r="EX68">
        <f ca="1"/>
        <v>1824.59</v>
      </c>
      <c r="EY68">
        <f ca="1"/>
        <v>1804.81</v>
      </c>
      <c r="EZ68">
        <f ca="1"/>
        <v>1813.78</v>
      </c>
      <c r="FA68">
        <f ca="1"/>
        <v>1861.39</v>
      </c>
      <c r="FB68">
        <f ca="1"/>
        <v>1821.14</v>
      </c>
      <c r="FC68">
        <f ca="1"/>
        <v>1835.86</v>
      </c>
      <c r="FD68">
        <f ca="1"/>
        <v>1840.92</v>
      </c>
      <c r="FE68">
        <f ca="1"/>
        <v>1848.97</v>
      </c>
      <c r="FF68">
        <f ca="1"/>
        <v>1838.62</v>
      </c>
      <c r="FG68">
        <f ca="1"/>
        <v>1812.86</v>
      </c>
      <c r="FH68">
        <f ca="1"/>
        <v>1798.6000000000001</v>
      </c>
      <c r="FI68">
        <f ca="1"/>
        <v>1784.8</v>
      </c>
      <c r="FJ68">
        <f ca="1"/>
        <v>1795.61</v>
      </c>
      <c r="FK68">
        <f ca="1"/>
        <v>1750.53</v>
      </c>
      <c r="FL68">
        <f ca="1"/>
        <v>1770.5400000000002</v>
      </c>
      <c r="FM68">
        <f ca="1"/>
        <v>1788.48</v>
      </c>
      <c r="FN68">
        <f ca="1"/>
        <v>1776.75</v>
      </c>
      <c r="FO68">
        <f ca="1"/>
        <v>1801.8200000000002</v>
      </c>
      <c r="FP68">
        <f ca="1"/>
        <v>1826.89</v>
      </c>
      <c r="FQ68">
        <f ca="1"/>
        <v>1815.8500000000001</v>
      </c>
      <c r="FR68">
        <f ca="1"/>
        <v>1833.7900000000002</v>
      </c>
      <c r="FS68">
        <f ca="1"/>
        <v>1787.7900000000002</v>
      </c>
      <c r="FT68">
        <f ca="1"/>
        <v>1802.28</v>
      </c>
      <c r="FU68">
        <f ca="1"/>
        <v>1817.92</v>
      </c>
      <c r="FV68">
        <f ca="1"/>
        <v>1838.39</v>
      </c>
      <c r="FW68">
        <f ca="1"/>
        <v>1845.75</v>
      </c>
      <c r="FX68">
        <f ca="1"/>
        <v>1833.7900000000002</v>
      </c>
      <c r="FY68">
        <f ca="1"/>
        <v>1832.87</v>
      </c>
      <c r="FZ68">
        <f ca="1"/>
        <v>1828.73</v>
      </c>
      <c r="GA68">
        <f ca="1"/>
        <v>1817.4599999999998</v>
      </c>
      <c r="GB68">
        <f ca="1"/>
        <v>1786.87</v>
      </c>
      <c r="GC68">
        <f ca="1"/>
        <v>1769.39</v>
      </c>
      <c r="GD68">
        <f ca="1"/>
        <v>1775.6000000000001</v>
      </c>
      <c r="GE68">
        <f ca="1"/>
        <v>1773.0700000000002</v>
      </c>
      <c r="GF68">
        <f ca="1"/>
        <v>1860.0100000000002</v>
      </c>
      <c r="GG68">
        <f ca="1"/>
        <v>1874.0400000000002</v>
      </c>
      <c r="GH68">
        <f ca="1"/>
        <v>1884.39</v>
      </c>
      <c r="GI68">
        <f ca="1"/>
        <v>1908.08</v>
      </c>
      <c r="GJ68">
        <f ca="1"/>
        <v>1944.6499999999999</v>
      </c>
      <c r="GK68">
        <f ca="1"/>
        <v>1939.8200000000002</v>
      </c>
      <c r="GL68">
        <f ca="1"/>
        <v>1943.9599999999998</v>
      </c>
      <c r="GM68">
        <f ca="1"/>
        <v>1965.12</v>
      </c>
      <c r="GN68">
        <f ca="1"/>
        <v>1948.7900000000002</v>
      </c>
      <c r="GO68">
        <f ca="1"/>
        <v>1973.63</v>
      </c>
      <c r="GP68">
        <f ca="1"/>
        <v>1993.1799999999998</v>
      </c>
      <c r="GQ68">
        <f ca="1"/>
        <v>1959.6000000000001</v>
      </c>
      <c r="GR68">
        <f ca="1"/>
        <v>1972.48</v>
      </c>
      <c r="GS68">
        <f ca="1"/>
        <v>1955</v>
      </c>
      <c r="GT68">
        <f ca="1"/>
        <v>1960.52</v>
      </c>
      <c r="GU68">
        <f ca="1"/>
        <v>2076.67</v>
      </c>
      <c r="GV68">
        <f ca="1"/>
        <v>2113.4699999999998</v>
      </c>
      <c r="GW68">
        <f ca="1"/>
        <v>2142.4500000000003</v>
      </c>
      <c r="GX68">
        <f ca="1"/>
        <v>2170.5100000000002</v>
      </c>
      <c r="GY68">
        <f ca="1"/>
        <v>2182.2399999999998</v>
      </c>
      <c r="GZ68">
        <f ca="1"/>
        <v>2171.4299999999998</v>
      </c>
      <c r="HA68">
        <f ca="1"/>
        <v>2165.6799999999998</v>
      </c>
      <c r="HB68">
        <f ca="1"/>
        <v>2160.3900000000003</v>
      </c>
      <c r="HC68">
        <f ca="1"/>
        <v>2192.13</v>
      </c>
      <c r="HD68">
        <f ca="1"/>
        <v>2211.91</v>
      </c>
      <c r="HE68">
        <f ca="1"/>
        <v>2223.41</v>
      </c>
      <c r="HF68">
        <f ca="1"/>
        <v>2199.9500000000003</v>
      </c>
      <c r="HG68">
        <f ca="1"/>
        <v>2198.34</v>
      </c>
      <c r="HH68">
        <f ca="1"/>
        <v>2161.54</v>
      </c>
      <c r="HI68">
        <f ca="1"/>
        <v>2187.0700000000002</v>
      </c>
      <c r="HJ68">
        <f ca="1"/>
        <v>2233.2999999999997</v>
      </c>
      <c r="HK68">
        <f ca="1"/>
        <v>2256.5300000000002</v>
      </c>
      <c r="HL68">
        <f ca="1"/>
        <v>2223.41</v>
      </c>
      <c r="HM68">
        <f ca="1"/>
        <v>2243.65</v>
      </c>
      <c r="HN68">
        <f ca="1"/>
        <v>2280.2199999999998</v>
      </c>
      <c r="HO68">
        <f ca="1"/>
        <v>2237.9</v>
      </c>
      <c r="HP68">
        <f ca="1"/>
        <v>2196.73</v>
      </c>
      <c r="HQ68">
        <f ca="1"/>
        <v>2191.44</v>
      </c>
      <c r="HR68">
        <f ca="1"/>
        <v>2131.41</v>
      </c>
      <c r="HS68">
        <f ca="1"/>
        <v>2151.88</v>
      </c>
      <c r="HT68">
        <f ca="1"/>
        <v>2139</v>
      </c>
      <c r="HU68">
        <f ca="1"/>
        <v>2127.27</v>
      </c>
      <c r="HV68">
        <f ca="1"/>
        <v>2061.0300000000002</v>
      </c>
      <c r="HW68">
        <f ca="1"/>
        <v>2022.8500000000001</v>
      </c>
      <c r="HX68">
        <f ca="1"/>
        <v>2043.3200000000002</v>
      </c>
      <c r="HY68">
        <f ca="1"/>
        <v>2076.9</v>
      </c>
      <c r="HZ68">
        <f ca="1"/>
        <v>2068.62</v>
      </c>
      <c r="IA68">
        <f ca="1"/>
        <v>2012.9599999999998</v>
      </c>
      <c r="IB68">
        <f ca="1"/>
        <v>1966.5</v>
      </c>
      <c r="IC68">
        <f ca="1"/>
        <v>1957.7600000000002</v>
      </c>
      <c r="ID68">
        <f ca="1"/>
        <v>1958.45</v>
      </c>
      <c r="IE68">
        <f ca="1"/>
        <v>1944.19</v>
      </c>
      <c r="IF68">
        <f ca="1"/>
        <v>1966.27</v>
      </c>
      <c r="IG68">
        <f ca="1"/>
        <v>1935.22</v>
      </c>
      <c r="IH68">
        <f ca="1"/>
        <v>1938.67</v>
      </c>
      <c r="II68">
        <f ca="1"/>
        <v>1971.7900000000002</v>
      </c>
      <c r="IJ68">
        <f ca="1"/>
        <v>1960.2900000000002</v>
      </c>
      <c r="IK68">
        <f ca="1"/>
        <v>1964.4299999999998</v>
      </c>
      <c r="IL68">
        <f ca="1"/>
        <v>1958.22</v>
      </c>
      <c r="IM68">
        <f ca="1"/>
        <v>1944.19</v>
      </c>
      <c r="IN68">
        <f ca="1"/>
        <v>1911.9899999999998</v>
      </c>
      <c r="IO68">
        <f ca="1"/>
        <v>1967.6499999999999</v>
      </c>
      <c r="IP68">
        <f ca="1"/>
        <v>1978.92</v>
      </c>
      <c r="IQ68">
        <f ca="1"/>
        <v>1939.8200000000002</v>
      </c>
      <c r="IR68">
        <f ca="1"/>
        <v>1931.5400000000002</v>
      </c>
      <c r="IS68">
        <f ca="1"/>
        <v>1935.6799999999998</v>
      </c>
      <c r="IT68">
        <f ca="1"/>
        <v>1920.27</v>
      </c>
      <c r="IU68">
        <f ca="1"/>
        <v>1923.2600000000002</v>
      </c>
      <c r="IV68">
        <f ca="1"/>
        <v>1973.63</v>
      </c>
      <c r="IW68">
        <f ca="1"/>
        <v>1921.19</v>
      </c>
    </row>
    <row r="69" spans="2:257" x14ac:dyDescent="0.25">
      <c r="B69" t="str">
        <f t="shared" si="641"/>
        <v>20K6HU7</v>
      </c>
      <c r="C69" t="s">
        <v>162</v>
      </c>
      <c r="D69" t="e" vm="519">
        <v>#VALUE!</v>
      </c>
      <c r="E69" t="str" cm="1">
        <f t="array" aca="1" ref="E69" ca="1">_FV(D69,"Code mnémonique",TRUE)</f>
        <v>CVX</v>
      </c>
      <c r="F69" s="12">
        <f>_xlfn.XLOOKUP(D69,Titres[Action],Titres[Nb d''actions])</f>
        <v>12</v>
      </c>
      <c r="G69" cm="1">
        <f t="array" aca="1" ref="G69:IW69" ca="1">IFERROR(TRANSPOSE(_xlfn.STOCKHISTORY(D69,TODAY()-365,TODAY(),0,0,1))*F69,"")</f>
        <v>1604.7599999999998</v>
      </c>
      <c r="H69">
        <f ca="1"/>
        <v>1647.6000000000001</v>
      </c>
      <c r="I69">
        <f ca="1"/>
        <v>1640.16</v>
      </c>
      <c r="J69">
        <f ca="1"/>
        <v>1668.84</v>
      </c>
      <c r="K69">
        <f ca="1"/>
        <v>1664.7599999999998</v>
      </c>
      <c r="L69">
        <f ca="1"/>
        <v>1681.1999999999998</v>
      </c>
      <c r="M69">
        <f ca="1"/>
        <v>1671.6000000000001</v>
      </c>
      <c r="N69">
        <f ca="1"/>
        <v>1632.72</v>
      </c>
      <c r="O69">
        <f ca="1"/>
        <v>1635.12</v>
      </c>
      <c r="P69">
        <f ca="1"/>
        <v>1662</v>
      </c>
      <c r="Q69">
        <f ca="1"/>
        <v>1626</v>
      </c>
      <c r="R69">
        <f ca="1"/>
        <v>1627.1999999999998</v>
      </c>
      <c r="S69">
        <f ca="1"/>
        <v>1629.48</v>
      </c>
      <c r="T69">
        <f ca="1"/>
        <v>1644.48</v>
      </c>
      <c r="U69">
        <f ca="1"/>
        <v>1661.88</v>
      </c>
      <c r="V69">
        <f ca="1"/>
        <v>1699.44</v>
      </c>
      <c r="W69">
        <f ca="1"/>
        <v>1708.1999999999998</v>
      </c>
      <c r="X69">
        <f ca="1"/>
        <v>1700.04</v>
      </c>
      <c r="Y69">
        <f ca="1"/>
        <v>1707.12</v>
      </c>
      <c r="Z69">
        <f ca="1"/>
        <v>1705.1999999999998</v>
      </c>
      <c r="AA69">
        <f ca="1"/>
        <v>1661.88</v>
      </c>
      <c r="AB69">
        <f ca="1"/>
        <v>1647.2400000000002</v>
      </c>
      <c r="AC69">
        <f ca="1"/>
        <v>1626.72</v>
      </c>
      <c r="AD69">
        <f ca="1"/>
        <v>1623.48</v>
      </c>
      <c r="AE69">
        <f ca="1"/>
        <v>1638.48</v>
      </c>
      <c r="AF69">
        <f ca="1"/>
        <v>1653.96</v>
      </c>
      <c r="AG69">
        <f ca="1"/>
        <v>1632.2400000000002</v>
      </c>
      <c r="AH69">
        <f ca="1"/>
        <v>1654.92</v>
      </c>
      <c r="AI69">
        <f ca="1"/>
        <v>1640.3999999999999</v>
      </c>
      <c r="AJ69">
        <f ca="1"/>
        <v>1654.08</v>
      </c>
      <c r="AK69">
        <f ca="1"/>
        <v>1674.6000000000001</v>
      </c>
      <c r="AL69">
        <f ca="1"/>
        <v>1648.44</v>
      </c>
      <c r="AM69">
        <f ca="1"/>
        <v>1642.8000000000002</v>
      </c>
      <c r="AN69">
        <f ca="1"/>
        <v>1682.52</v>
      </c>
      <c r="AO69">
        <f ca="1"/>
        <v>1689.12</v>
      </c>
      <c r="AP69">
        <f ca="1"/>
        <v>1720.1999999999998</v>
      </c>
      <c r="AQ69">
        <f ca="1"/>
        <v>1737.3600000000001</v>
      </c>
      <c r="AR69">
        <f ca="1"/>
        <v>1739.6399999999999</v>
      </c>
      <c r="AS69">
        <f ca="1"/>
        <v>1750.92</v>
      </c>
      <c r="AT69">
        <f ca="1"/>
        <v>1752.3600000000001</v>
      </c>
      <c r="AU69">
        <f ca="1"/>
        <v>1786.1999999999998</v>
      </c>
      <c r="AV69">
        <f ca="1"/>
        <v>1778.28</v>
      </c>
      <c r="AW69">
        <f ca="1"/>
        <v>1794.6000000000001</v>
      </c>
      <c r="AX69">
        <f ca="1"/>
        <v>1762.3200000000002</v>
      </c>
      <c r="AY69">
        <f ca="1"/>
        <v>1722.6000000000001</v>
      </c>
      <c r="AZ69">
        <f ca="1"/>
        <v>1718.7599999999998</v>
      </c>
      <c r="BA69">
        <f ca="1"/>
        <v>1733.28</v>
      </c>
      <c r="BB69">
        <f ca="1"/>
        <v>1725.48</v>
      </c>
      <c r="BC69">
        <f ca="1"/>
        <v>1718.28</v>
      </c>
      <c r="BD69">
        <f ca="1"/>
        <v>1746.84</v>
      </c>
      <c r="BE69">
        <f ca="1"/>
        <v>1775.7599999999998</v>
      </c>
      <c r="BF69">
        <f ca="1"/>
        <v>1780.44</v>
      </c>
      <c r="BG69">
        <f ca="1"/>
        <v>1768.8000000000002</v>
      </c>
      <c r="BH69">
        <f ca="1"/>
        <v>1838.88</v>
      </c>
      <c r="BI69">
        <f ca="1"/>
        <v>1836.2400000000002</v>
      </c>
      <c r="BJ69">
        <f ca="1"/>
        <v>1850.04</v>
      </c>
      <c r="BK69">
        <f ca="1"/>
        <v>1863.72</v>
      </c>
      <c r="BL69">
        <f ca="1"/>
        <v>1819.8000000000002</v>
      </c>
      <c r="BM69">
        <f ca="1"/>
        <v>1808.28</v>
      </c>
      <c r="BN69">
        <f ca="1"/>
        <v>1799.04</v>
      </c>
      <c r="BO69">
        <f ca="1"/>
        <v>1816.56</v>
      </c>
      <c r="BP69">
        <f ca="1"/>
        <v>1800.48</v>
      </c>
      <c r="BQ69">
        <f ca="1"/>
        <v>1796.16</v>
      </c>
      <c r="BR69">
        <f ca="1"/>
        <v>1800.48</v>
      </c>
      <c r="BS69">
        <f ca="1"/>
        <v>1837.44</v>
      </c>
      <c r="BT69">
        <f ca="1"/>
        <v>1869.96</v>
      </c>
      <c r="BU69">
        <f ca="1"/>
        <v>1858.08</v>
      </c>
      <c r="BV69">
        <f ca="1"/>
        <v>1875.3600000000001</v>
      </c>
      <c r="BW69">
        <f ca="1"/>
        <v>1884.3600000000001</v>
      </c>
      <c r="BX69">
        <f ca="1"/>
        <v>1842.72</v>
      </c>
      <c r="BY69">
        <f ca="1"/>
        <v>1819.6799999999998</v>
      </c>
      <c r="BZ69">
        <f ca="1"/>
        <v>1816.8000000000002</v>
      </c>
      <c r="CA69">
        <f ca="1"/>
        <v>1812.48</v>
      </c>
      <c r="CB69">
        <f ca="1"/>
        <v>1836.48</v>
      </c>
      <c r="CC69">
        <f ca="1"/>
        <v>1833.3600000000001</v>
      </c>
      <c r="CD69">
        <f ca="1"/>
        <v>1837.92</v>
      </c>
      <c r="CE69">
        <f ca="1"/>
        <v>1860.12</v>
      </c>
      <c r="CF69">
        <f ca="1"/>
        <v>1841.3999999999999</v>
      </c>
      <c r="CG69">
        <f ca="1"/>
        <v>1853.28</v>
      </c>
      <c r="CH69">
        <f ca="1"/>
        <v>1870.44</v>
      </c>
      <c r="CI69">
        <f ca="1"/>
        <v>1861.92</v>
      </c>
      <c r="CJ69">
        <f ca="1"/>
        <v>1878.6000000000001</v>
      </c>
      <c r="CK69">
        <f ca="1"/>
        <v>1863.84</v>
      </c>
      <c r="CL69">
        <f ca="1"/>
        <v>1824</v>
      </c>
      <c r="CM69">
        <f ca="1"/>
        <v>1838.6399999999999</v>
      </c>
      <c r="CN69">
        <f ca="1"/>
        <v>1866.6000000000001</v>
      </c>
      <c r="CO69">
        <f ca="1"/>
        <v>1898.16</v>
      </c>
      <c r="CP69">
        <f ca="1"/>
        <v>1898.3999999999999</v>
      </c>
      <c r="CQ69">
        <f ca="1"/>
        <v>1888.3200000000002</v>
      </c>
      <c r="CR69">
        <f ca="1"/>
        <v>1910.88</v>
      </c>
      <c r="CS69">
        <f ca="1"/>
        <v>1911.84</v>
      </c>
      <c r="CT69">
        <f ca="1"/>
        <v>1927.1999999999998</v>
      </c>
      <c r="CU69">
        <f ca="1"/>
        <v>1941.96</v>
      </c>
      <c r="CV69">
        <f ca="1"/>
        <v>1896.72</v>
      </c>
      <c r="CW69">
        <f ca="1"/>
        <v>1892.28</v>
      </c>
      <c r="CX69">
        <f ca="1"/>
        <v>1843.92</v>
      </c>
      <c r="CY69">
        <f ca="1"/>
        <v>1848</v>
      </c>
      <c r="CZ69">
        <f ca="1"/>
        <v>1858.1999999999998</v>
      </c>
      <c r="DA69">
        <f ca="1"/>
        <v>1893.48</v>
      </c>
      <c r="DB69">
        <f ca="1"/>
        <v>1899</v>
      </c>
      <c r="DC69">
        <f ca="1"/>
        <v>1885.3200000000002</v>
      </c>
      <c r="DD69">
        <f ca="1"/>
        <v>1887.72</v>
      </c>
      <c r="DE69">
        <f ca="1"/>
        <v>1914.48</v>
      </c>
      <c r="DF69">
        <f ca="1"/>
        <v>1921.08</v>
      </c>
      <c r="DG69">
        <f ca="1"/>
        <v>1906.08</v>
      </c>
      <c r="DH69">
        <f ca="1"/>
        <v>1874.52</v>
      </c>
      <c r="DI69">
        <f ca="1"/>
        <v>1872.6000000000001</v>
      </c>
      <c r="DJ69">
        <f ca="1"/>
        <v>1889.04</v>
      </c>
      <c r="DK69">
        <f ca="1"/>
        <v>1910.16</v>
      </c>
      <c r="DL69">
        <f ca="1"/>
        <v>1928.6399999999999</v>
      </c>
      <c r="DM69">
        <f ca="1"/>
        <v>1921.92</v>
      </c>
      <c r="DN69">
        <f ca="1"/>
        <v>1873.1999999999998</v>
      </c>
      <c r="DO69">
        <f ca="1"/>
        <v>1863.48</v>
      </c>
      <c r="DP69">
        <f ca="1"/>
        <v>1854.96</v>
      </c>
      <c r="DQ69">
        <f ca="1"/>
        <v>1840.44</v>
      </c>
      <c r="DR69">
        <f ca="1"/>
        <v>1842.6000000000001</v>
      </c>
      <c r="DS69">
        <f ca="1"/>
        <v>1848.2400000000002</v>
      </c>
      <c r="DT69">
        <f ca="1"/>
        <v>1858.92</v>
      </c>
      <c r="DU69">
        <f ca="1"/>
        <v>1844.88</v>
      </c>
      <c r="DV69">
        <f ca="1"/>
        <v>1819.6799999999998</v>
      </c>
      <c r="DW69">
        <f ca="1"/>
        <v>1786.8000000000002</v>
      </c>
      <c r="DX69">
        <f ca="1"/>
        <v>1823.28</v>
      </c>
      <c r="DY69">
        <f ca="1"/>
        <v>1828.6799999999998</v>
      </c>
      <c r="DZ69">
        <f ca="1"/>
        <v>1825.3200000000002</v>
      </c>
      <c r="EA69">
        <f ca="1"/>
        <v>1820.52</v>
      </c>
      <c r="EB69">
        <f ca="1"/>
        <v>1836.96</v>
      </c>
      <c r="EC69">
        <f ca="1"/>
        <v>1853.7599999999998</v>
      </c>
      <c r="ED69">
        <f ca="1"/>
        <v>1845.48</v>
      </c>
      <c r="EE69">
        <f ca="1"/>
        <v>1866.84</v>
      </c>
      <c r="EF69">
        <f ca="1"/>
        <v>1878.72</v>
      </c>
      <c r="EG69">
        <f ca="1"/>
        <v>1866.72</v>
      </c>
      <c r="EH69">
        <f ca="1"/>
        <v>1863.3600000000001</v>
      </c>
      <c r="EI69">
        <f ca="1"/>
        <v>1849.56</v>
      </c>
      <c r="EJ69">
        <f ca="1"/>
        <v>1861.1999999999998</v>
      </c>
      <c r="EK69">
        <f ca="1"/>
        <v>1842.2400000000002</v>
      </c>
      <c r="EL69">
        <f ca="1"/>
        <v>1892.6399999999999</v>
      </c>
      <c r="EM69">
        <f ca="1"/>
        <v>1848.48</v>
      </c>
      <c r="EN69">
        <f ca="1"/>
        <v>1840.6799999999998</v>
      </c>
      <c r="EO69">
        <f ca="1"/>
        <v>1831.92</v>
      </c>
      <c r="EP69">
        <f ca="1"/>
        <v>1835.28</v>
      </c>
      <c r="EQ69">
        <f ca="1"/>
        <v>1860.2400000000002</v>
      </c>
      <c r="ER69">
        <f ca="1"/>
        <v>1867.8000000000002</v>
      </c>
      <c r="ES69">
        <f ca="1"/>
        <v>1874.88</v>
      </c>
      <c r="ET69">
        <f ca="1"/>
        <v>1839.84</v>
      </c>
      <c r="EU69">
        <f ca="1"/>
        <v>1866.96</v>
      </c>
      <c r="EV69">
        <f ca="1"/>
        <v>1891.44</v>
      </c>
      <c r="EW69">
        <f ca="1"/>
        <v>1857.84</v>
      </c>
      <c r="EX69">
        <f ca="1"/>
        <v>1843.44</v>
      </c>
      <c r="EY69">
        <f ca="1"/>
        <v>1820.3999999999999</v>
      </c>
      <c r="EZ69">
        <f ca="1"/>
        <v>1803.72</v>
      </c>
      <c r="FA69">
        <f ca="1"/>
        <v>1799.7599999999998</v>
      </c>
      <c r="FB69">
        <f ca="1"/>
        <v>1797</v>
      </c>
      <c r="FC69">
        <f ca="1"/>
        <v>1782.3600000000001</v>
      </c>
      <c r="FD69">
        <f ca="1"/>
        <v>1794.12</v>
      </c>
      <c r="FE69">
        <f ca="1"/>
        <v>1813.56</v>
      </c>
      <c r="FF69">
        <f ca="1"/>
        <v>1830.48</v>
      </c>
      <c r="FG69">
        <f ca="1"/>
        <v>1803</v>
      </c>
      <c r="FH69">
        <f ca="1"/>
        <v>1819.08</v>
      </c>
      <c r="FI69">
        <f ca="1"/>
        <v>1827.12</v>
      </c>
      <c r="FJ69">
        <f ca="1"/>
        <v>1800</v>
      </c>
      <c r="FK69">
        <f ca="1"/>
        <v>1784.52</v>
      </c>
      <c r="FL69">
        <f ca="1"/>
        <v>1781.88</v>
      </c>
      <c r="FM69">
        <f ca="1"/>
        <v>1816.92</v>
      </c>
      <c r="FN69">
        <f ca="1"/>
        <v>1808.6399999999999</v>
      </c>
      <c r="FO69">
        <f ca="1"/>
        <v>1799.88</v>
      </c>
      <c r="FP69">
        <f ca="1"/>
        <v>1797.6000000000001</v>
      </c>
      <c r="FQ69">
        <f ca="1"/>
        <v>1761</v>
      </c>
      <c r="FR69">
        <f ca="1"/>
        <v>1794.2400000000002</v>
      </c>
      <c r="FS69">
        <f ca="1"/>
        <v>1772.28</v>
      </c>
      <c r="FT69">
        <f ca="1"/>
        <v>1773</v>
      </c>
      <c r="FU69">
        <f ca="1"/>
        <v>1797.6000000000001</v>
      </c>
      <c r="FV69">
        <f ca="1"/>
        <v>1806.12</v>
      </c>
      <c r="FW69">
        <f ca="1"/>
        <v>1806</v>
      </c>
      <c r="FX69">
        <f ca="1"/>
        <v>1800.2400000000002</v>
      </c>
      <c r="FY69">
        <f ca="1"/>
        <v>1811.88</v>
      </c>
      <c r="FZ69">
        <f ca="1"/>
        <v>1827.72</v>
      </c>
      <c r="GA69">
        <f ca="1"/>
        <v>1828.92</v>
      </c>
      <c r="GB69">
        <f ca="1"/>
        <v>1870.8000000000002</v>
      </c>
      <c r="GC69">
        <f ca="1"/>
        <v>1966.1999999999998</v>
      </c>
      <c r="GD69">
        <f ca="1"/>
        <v>1878.48</v>
      </c>
      <c r="GE69">
        <f ca="1"/>
        <v>1862.3999999999999</v>
      </c>
      <c r="GF69">
        <f ca="1"/>
        <v>1911</v>
      </c>
      <c r="GG69">
        <f ca="1"/>
        <v>1945.3200000000002</v>
      </c>
      <c r="GH69">
        <f ca="1"/>
        <v>1948.08</v>
      </c>
      <c r="GI69">
        <f ca="1"/>
        <v>1966.44</v>
      </c>
      <c r="GJ69">
        <f ca="1"/>
        <v>2006.88</v>
      </c>
      <c r="GK69">
        <f ca="1"/>
        <v>1993.92</v>
      </c>
      <c r="GL69">
        <f ca="1"/>
        <v>1995.12</v>
      </c>
      <c r="GM69">
        <f ca="1"/>
        <v>1983.6000000000001</v>
      </c>
      <c r="GN69">
        <f ca="1"/>
        <v>2000.7599999999998</v>
      </c>
      <c r="GO69">
        <f ca="1"/>
        <v>1999.92</v>
      </c>
      <c r="GP69">
        <f ca="1"/>
        <v>2000.6399999999999</v>
      </c>
      <c r="GQ69">
        <f ca="1"/>
        <v>2010</v>
      </c>
      <c r="GR69">
        <f ca="1"/>
        <v>2028.6000000000001</v>
      </c>
      <c r="GS69">
        <f ca="1"/>
        <v>2039.16</v>
      </c>
      <c r="GT69">
        <f ca="1"/>
        <v>2054.2799999999997</v>
      </c>
      <c r="GU69">
        <f ca="1"/>
        <v>2122.8000000000002</v>
      </c>
      <c r="GV69">
        <f ca="1"/>
        <v>2088.36</v>
      </c>
      <c r="GW69">
        <f ca="1"/>
        <v>2136.48</v>
      </c>
      <c r="GX69">
        <f ca="1"/>
        <v>2174.7599999999998</v>
      </c>
      <c r="GY69">
        <f ca="1"/>
        <v>2150.7599999999998</v>
      </c>
      <c r="GZ69">
        <f ca="1"/>
        <v>2170.3200000000002</v>
      </c>
      <c r="HA69">
        <f ca="1"/>
        <v>2191.1999999999998</v>
      </c>
      <c r="HB69">
        <f ca="1"/>
        <v>2187.12</v>
      </c>
      <c r="HC69">
        <f ca="1"/>
        <v>2229.84</v>
      </c>
      <c r="HD69">
        <f ca="1"/>
        <v>2188.8000000000002</v>
      </c>
      <c r="HE69">
        <f ca="1"/>
        <v>2204.88</v>
      </c>
      <c r="HF69">
        <f ca="1"/>
        <v>2166.6000000000004</v>
      </c>
      <c r="HG69">
        <f ca="1"/>
        <v>2206.44</v>
      </c>
      <c r="HH69">
        <f ca="1"/>
        <v>2217.36</v>
      </c>
      <c r="HI69">
        <f ca="1"/>
        <v>2207.16</v>
      </c>
      <c r="HJ69">
        <f ca="1"/>
        <v>2218.92</v>
      </c>
      <c r="HK69">
        <f ca="1"/>
        <v>2224.08</v>
      </c>
      <c r="HL69">
        <f ca="1"/>
        <v>2210.64</v>
      </c>
      <c r="HM69">
        <f ca="1"/>
        <v>2209.92</v>
      </c>
      <c r="HN69">
        <f ca="1"/>
        <v>2241.12</v>
      </c>
      <c r="HO69">
        <f ca="1"/>
        <v>2275.1999999999998</v>
      </c>
      <c r="HP69">
        <f ca="1"/>
        <v>2265.2400000000002</v>
      </c>
      <c r="HQ69">
        <f ca="1"/>
        <v>2232.36</v>
      </c>
      <c r="HR69">
        <f ca="1"/>
        <v>2278.8000000000002</v>
      </c>
      <c r="HS69">
        <f ca="1"/>
        <v>2279.2799999999997</v>
      </c>
      <c r="HT69">
        <f ca="1"/>
        <v>2273.2799999999997</v>
      </c>
      <c r="HU69">
        <f ca="1"/>
        <v>2235.48</v>
      </c>
      <c r="HV69">
        <f ca="1"/>
        <v>2301.48</v>
      </c>
      <c r="HW69">
        <f ca="1"/>
        <v>2363.64</v>
      </c>
      <c r="HX69">
        <f ca="1"/>
        <v>2361.84</v>
      </c>
      <c r="HY69">
        <f ca="1"/>
        <v>2362.08</v>
      </c>
      <c r="HZ69">
        <f ca="1"/>
        <v>2375.64</v>
      </c>
      <c r="IA69">
        <f ca="1"/>
        <v>2383.3200000000002</v>
      </c>
      <c r="IB69">
        <f ca="1"/>
        <v>2417.2799999999997</v>
      </c>
      <c r="IC69">
        <f ca="1"/>
        <v>2420.7599999999998</v>
      </c>
      <c r="ID69">
        <f ca="1"/>
        <v>2462.52</v>
      </c>
      <c r="IE69">
        <f ca="1"/>
        <v>2481.48</v>
      </c>
      <c r="IF69">
        <f ca="1"/>
        <v>2461.8000000000002</v>
      </c>
      <c r="IG69">
        <f ca="1"/>
        <v>2493.48</v>
      </c>
      <c r="IH69">
        <f ca="1"/>
        <v>2533.8000000000002</v>
      </c>
      <c r="II69">
        <f ca="1"/>
        <v>2528.52</v>
      </c>
      <c r="IJ69">
        <f ca="1"/>
        <v>2482.8000000000002</v>
      </c>
      <c r="IK69">
        <f ca="1"/>
        <v>2368.92</v>
      </c>
      <c r="IL69">
        <f ca="1"/>
        <v>2387.64</v>
      </c>
      <c r="IM69">
        <f ca="1"/>
        <v>2386.3200000000002</v>
      </c>
      <c r="IN69">
        <f ca="1"/>
        <v>2418.48</v>
      </c>
      <c r="IO69">
        <f ca="1"/>
        <v>2314.6799999999998</v>
      </c>
      <c r="IP69">
        <f ca="1"/>
        <v>2284.3200000000002</v>
      </c>
      <c r="IQ69">
        <f ca="1"/>
        <v>2262.6000000000004</v>
      </c>
      <c r="IR69">
        <f ca="1"/>
        <v>2301.36</v>
      </c>
      <c r="IS69">
        <f ca="1"/>
        <v>2244.2400000000002</v>
      </c>
      <c r="IT69">
        <f ca="1"/>
        <v>2218.92</v>
      </c>
      <c r="IU69">
        <f ca="1"/>
        <v>2257.8000000000002</v>
      </c>
      <c r="IV69">
        <f ca="1"/>
        <v>2207.88</v>
      </c>
      <c r="IW69">
        <f ca="1"/>
        <v>2199</v>
      </c>
    </row>
    <row r="70" spans="2:257" x14ac:dyDescent="0.25">
      <c r="B70" t="str">
        <f t="shared" si="641"/>
        <v>20K6HU7</v>
      </c>
      <c r="C70" t="s">
        <v>162</v>
      </c>
      <c r="D70" t="e" vm="528">
        <v>#VALUE!</v>
      </c>
      <c r="E70" t="str" cm="1">
        <f t="array" aca="1" ref="E70" ca="1">_FV(D70,"Code mnémonique",TRUE)</f>
        <v>GE</v>
      </c>
      <c r="F70" s="12">
        <f>_xlfn.XLOOKUP(D70,Titres[Action],Titres[Nb d''actions])</f>
        <v>6</v>
      </c>
      <c r="G70" cm="1">
        <f t="array" aca="1" ref="G70:IW70" ca="1">IFERROR(TRANSPOSE(_xlfn.STOCKHISTORY(D70,TODAY()-365,TODAY(),0,0,1))*F70,"")</f>
        <v>1070.0999999999999</v>
      </c>
      <c r="H70">
        <f ca="1"/>
        <v>1135.08</v>
      </c>
      <c r="I70">
        <f ca="1"/>
        <v>1162.08</v>
      </c>
      <c r="J70">
        <f ca="1"/>
        <v>1184.46</v>
      </c>
      <c r="K70">
        <f ca="1"/>
        <v>1190.58</v>
      </c>
      <c r="L70">
        <f ca="1"/>
        <v>1205.1600000000001</v>
      </c>
      <c r="M70">
        <f ca="1"/>
        <v>1203</v>
      </c>
      <c r="N70">
        <f ca="1"/>
        <v>1209.24</v>
      </c>
      <c r="O70">
        <f ca="1"/>
        <v>1221.6600000000001</v>
      </c>
      <c r="P70">
        <f ca="1"/>
        <v>1246.1999999999998</v>
      </c>
      <c r="Q70">
        <f ca="1"/>
        <v>1253.6399999999999</v>
      </c>
      <c r="R70">
        <f ca="1"/>
        <v>1251.5999999999999</v>
      </c>
      <c r="S70">
        <f ca="1"/>
        <v>1259.52</v>
      </c>
      <c r="T70">
        <f ca="1"/>
        <v>1286.94</v>
      </c>
      <c r="U70">
        <f ca="1"/>
        <v>1289.76</v>
      </c>
      <c r="V70">
        <f ca="1"/>
        <v>1313.6999999999998</v>
      </c>
      <c r="W70">
        <f ca="1"/>
        <v>1329.48</v>
      </c>
      <c r="X70">
        <f ca="1"/>
        <v>1339.44</v>
      </c>
      <c r="Y70">
        <f ca="1"/>
        <v>1376.28</v>
      </c>
      <c r="Z70">
        <f ca="1"/>
        <v>1390.68</v>
      </c>
      <c r="AA70">
        <f ca="1"/>
        <v>1411.74</v>
      </c>
      <c r="AB70">
        <f ca="1"/>
        <v>1411.56</v>
      </c>
      <c r="AC70">
        <f ca="1"/>
        <v>1401.24</v>
      </c>
      <c r="AD70">
        <f ca="1"/>
        <v>1381.6200000000001</v>
      </c>
      <c r="AE70">
        <f ca="1"/>
        <v>1396.74</v>
      </c>
      <c r="AF70">
        <f ca="1"/>
        <v>1450.68</v>
      </c>
      <c r="AG70">
        <f ca="1"/>
        <v>1462.02</v>
      </c>
      <c r="AH70">
        <f ca="1"/>
        <v>1464.96</v>
      </c>
      <c r="AI70">
        <f ca="1"/>
        <v>1475.46</v>
      </c>
      <c r="AJ70">
        <f ca="1"/>
        <v>1484.8799999999999</v>
      </c>
      <c r="AK70">
        <f ca="1"/>
        <v>1493.22</v>
      </c>
      <c r="AL70">
        <f ca="1"/>
        <v>1505.28</v>
      </c>
      <c r="AM70">
        <f ca="1"/>
        <v>1511.52</v>
      </c>
      <c r="AN70">
        <f ca="1"/>
        <v>1533.78</v>
      </c>
      <c r="AO70">
        <f ca="1"/>
        <v>1508.46</v>
      </c>
      <c r="AP70">
        <f ca="1"/>
        <v>1452</v>
      </c>
      <c r="AQ70">
        <f ca="1"/>
        <v>1473.1200000000001</v>
      </c>
      <c r="AR70">
        <f ca="1"/>
        <v>1439.94</v>
      </c>
      <c r="AS70">
        <f ca="1"/>
        <v>1419.6</v>
      </c>
      <c r="AT70">
        <f ca="1"/>
        <v>1419.24</v>
      </c>
      <c r="AU70">
        <f ca="1"/>
        <v>1414.5</v>
      </c>
      <c r="AV70">
        <f ca="1"/>
        <v>1415.34</v>
      </c>
      <c r="AW70">
        <f ca="1"/>
        <v>1436.22</v>
      </c>
      <c r="AX70">
        <f ca="1"/>
        <v>1486.8600000000001</v>
      </c>
      <c r="AY70">
        <f ca="1"/>
        <v>1492.5</v>
      </c>
      <c r="AZ70">
        <f ca="1"/>
        <v>1499.4</v>
      </c>
      <c r="BA70">
        <f ca="1"/>
        <v>1506</v>
      </c>
      <c r="BB70">
        <f ca="1"/>
        <v>1527.06</v>
      </c>
      <c r="BC70">
        <f ca="1"/>
        <v>1544.34</v>
      </c>
      <c r="BD70">
        <f ca="1"/>
        <v>1494.1200000000001</v>
      </c>
      <c r="BE70">
        <f ca="1"/>
        <v>1468.5</v>
      </c>
      <c r="BF70">
        <f ca="1"/>
        <v>1481.28</v>
      </c>
      <c r="BG70">
        <f ca="1"/>
        <v>1491.9</v>
      </c>
      <c r="BH70">
        <f ca="1"/>
        <v>1482.3000000000002</v>
      </c>
      <c r="BI70">
        <f ca="1"/>
        <v>1501.98</v>
      </c>
      <c r="BJ70">
        <f ca="1"/>
        <v>1515.42</v>
      </c>
      <c r="BK70">
        <f ca="1"/>
        <v>1532.52</v>
      </c>
      <c r="BL70">
        <f ca="1"/>
        <v>1574.04</v>
      </c>
      <c r="BM70">
        <f ca="1"/>
        <v>1588.02</v>
      </c>
      <c r="BN70">
        <f ca="1"/>
        <v>1597.08</v>
      </c>
      <c r="BO70">
        <f ca="1"/>
        <v>1561.6799999999998</v>
      </c>
      <c r="BP70">
        <f ca="1"/>
        <v>1579.62</v>
      </c>
      <c r="BQ70">
        <f ca="1"/>
        <v>1577.16</v>
      </c>
      <c r="BR70">
        <f ca="1"/>
        <v>1554</v>
      </c>
      <c r="BS70">
        <f ca="1"/>
        <v>1579.08</v>
      </c>
      <c r="BT70">
        <f ca="1"/>
        <v>1608.06</v>
      </c>
      <c r="BU70">
        <f ca="1"/>
        <v>1629.54</v>
      </c>
      <c r="BV70">
        <f ca="1"/>
        <v>1623.66</v>
      </c>
      <c r="BW70">
        <f ca="1"/>
        <v>1621.8600000000001</v>
      </c>
      <c r="BX70">
        <f ca="1"/>
        <v>1641.3000000000002</v>
      </c>
      <c r="BY70">
        <f ca="1"/>
        <v>1626.48</v>
      </c>
      <c r="BZ70">
        <f ca="1"/>
        <v>1616.28</v>
      </c>
      <c r="CA70">
        <f ca="1"/>
        <v>1657.38</v>
      </c>
      <c r="CB70">
        <f ca="1"/>
        <v>1632.72</v>
      </c>
      <c r="CC70">
        <f ca="1"/>
        <v>1633.6799999999998</v>
      </c>
      <c r="CD70">
        <f ca="1"/>
        <v>1632.12</v>
      </c>
      <c r="CE70">
        <f ca="1"/>
        <v>1650.06</v>
      </c>
      <c r="CF70">
        <f ca="1"/>
        <v>1651.1999999999998</v>
      </c>
      <c r="CG70">
        <f ca="1"/>
        <v>1677.78</v>
      </c>
      <c r="CH70">
        <f ca="1"/>
        <v>1613.16</v>
      </c>
      <c r="CI70">
        <f ca="1"/>
        <v>1618.1999999999998</v>
      </c>
      <c r="CJ70">
        <f ca="1"/>
        <v>1607.1000000000001</v>
      </c>
      <c r="CK70">
        <f ca="1"/>
        <v>1610.6999999999998</v>
      </c>
      <c r="CL70">
        <f ca="1"/>
        <v>1595.58</v>
      </c>
      <c r="CM70">
        <f ca="1"/>
        <v>1598.6399999999999</v>
      </c>
      <c r="CN70">
        <f ca="1"/>
        <v>1612.2599999999998</v>
      </c>
      <c r="CO70">
        <f ca="1"/>
        <v>1599.1799999999998</v>
      </c>
      <c r="CP70">
        <f ca="1"/>
        <v>1599.66</v>
      </c>
      <c r="CQ70">
        <f ca="1"/>
        <v>1643.6399999999999</v>
      </c>
      <c r="CR70">
        <f ca="1"/>
        <v>1640.1000000000001</v>
      </c>
      <c r="CS70">
        <f ca="1"/>
        <v>1656</v>
      </c>
      <c r="CT70">
        <f ca="1"/>
        <v>1651.1999999999998</v>
      </c>
      <c r="CU70">
        <f ca="1"/>
        <v>1652.34</v>
      </c>
      <c r="CV70">
        <f ca="1"/>
        <v>1655.58</v>
      </c>
      <c r="CW70">
        <f ca="1"/>
        <v>1693.62</v>
      </c>
      <c r="CX70">
        <f ca="1"/>
        <v>1675.38</v>
      </c>
      <c r="CY70">
        <f ca="1"/>
        <v>1656.3000000000002</v>
      </c>
      <c r="CZ70">
        <f ca="1"/>
        <v>1657.44</v>
      </c>
      <c r="DA70">
        <f ca="1"/>
        <v>1700.46</v>
      </c>
      <c r="DB70">
        <f ca="1"/>
        <v>1689.3600000000001</v>
      </c>
      <c r="DC70">
        <f ca="1"/>
        <v>1690.1399999999999</v>
      </c>
      <c r="DD70">
        <f ca="1"/>
        <v>1720.6799999999998</v>
      </c>
      <c r="DE70">
        <f ca="1"/>
        <v>1757.8200000000002</v>
      </c>
      <c r="DF70">
        <f ca="1"/>
        <v>1737</v>
      </c>
      <c r="DG70">
        <f ca="1"/>
        <v>1782.54</v>
      </c>
      <c r="DH70">
        <f ca="1"/>
        <v>1806.84</v>
      </c>
      <c r="DI70">
        <f ca="1"/>
        <v>1806.12</v>
      </c>
      <c r="DJ70">
        <f ca="1"/>
        <v>1833.78</v>
      </c>
      <c r="DK70">
        <f ca="1"/>
        <v>1801.8000000000002</v>
      </c>
      <c r="DL70">
        <f ca="1"/>
        <v>1783.08</v>
      </c>
      <c r="DM70">
        <f ca="1"/>
        <v>1769.88</v>
      </c>
      <c r="DN70">
        <f ca="1"/>
        <v>1761.78</v>
      </c>
      <c r="DO70">
        <f ca="1"/>
        <v>1804.92</v>
      </c>
      <c r="DP70">
        <f ca="1"/>
        <v>1805.28</v>
      </c>
      <c r="DQ70">
        <f ca="1"/>
        <v>1796.6999999999998</v>
      </c>
      <c r="DR70">
        <f ca="1"/>
        <v>1782</v>
      </c>
      <c r="DS70">
        <f ca="1"/>
        <v>1789.3200000000002</v>
      </c>
      <c r="DT70">
        <f ca="1"/>
        <v>1810.44</v>
      </c>
      <c r="DU70">
        <f ca="1"/>
        <v>1815.3600000000001</v>
      </c>
      <c r="DV70">
        <f ca="1"/>
        <v>1796.1000000000001</v>
      </c>
      <c r="DW70">
        <f ca="1"/>
        <v>1748.94</v>
      </c>
      <c r="DX70">
        <f ca="1"/>
        <v>1785.1799999999998</v>
      </c>
      <c r="DY70">
        <f ca="1"/>
        <v>1800.48</v>
      </c>
      <c r="DZ70">
        <f ca="1"/>
        <v>1800.72</v>
      </c>
      <c r="EA70">
        <f ca="1"/>
        <v>1799.04</v>
      </c>
      <c r="EB70">
        <f ca="1"/>
        <v>1800.84</v>
      </c>
      <c r="EC70">
        <f ca="1"/>
        <v>1816.08</v>
      </c>
      <c r="ED70">
        <f ca="1"/>
        <v>1839.78</v>
      </c>
      <c r="EE70">
        <f ca="1"/>
        <v>1787.34</v>
      </c>
      <c r="EF70">
        <f ca="1"/>
        <v>1838.34</v>
      </c>
      <c r="EG70">
        <f ca="1"/>
        <v>1823.22</v>
      </c>
      <c r="EH70">
        <f ca="1"/>
        <v>1877.04</v>
      </c>
      <c r="EI70">
        <f ca="1"/>
        <v>1858.7400000000002</v>
      </c>
      <c r="EJ70">
        <f ca="1"/>
        <v>1885.6799999999998</v>
      </c>
      <c r="EK70">
        <f ca="1"/>
        <v>1864.5</v>
      </c>
      <c r="EL70">
        <f ca="1"/>
        <v>1853.6999999999998</v>
      </c>
      <c r="EM70">
        <f ca="1"/>
        <v>1851.72</v>
      </c>
      <c r="EN70">
        <f ca="1"/>
        <v>1825.1999999999998</v>
      </c>
      <c r="EO70">
        <f ca="1"/>
        <v>1830.66</v>
      </c>
      <c r="EP70">
        <f ca="1"/>
        <v>1831.62</v>
      </c>
      <c r="EQ70">
        <f ca="1"/>
        <v>1843.62</v>
      </c>
      <c r="ER70">
        <f ca="1"/>
        <v>1871.6399999999999</v>
      </c>
      <c r="ES70">
        <f ca="1"/>
        <v>1864.3200000000002</v>
      </c>
      <c r="ET70">
        <f ca="1"/>
        <v>1854.12</v>
      </c>
      <c r="EU70">
        <f ca="1"/>
        <v>1825.02</v>
      </c>
      <c r="EV70">
        <f ca="1"/>
        <v>1828.92</v>
      </c>
      <c r="EW70">
        <f ca="1"/>
        <v>1800.78</v>
      </c>
      <c r="EX70">
        <f ca="1"/>
        <v>1776.06</v>
      </c>
      <c r="EY70">
        <f ca="1"/>
        <v>1804.92</v>
      </c>
      <c r="EZ70">
        <f ca="1"/>
        <v>1743.72</v>
      </c>
      <c r="FA70">
        <f ca="1"/>
        <v>1724.6399999999999</v>
      </c>
      <c r="FB70">
        <f ca="1"/>
        <v>1764.3000000000002</v>
      </c>
      <c r="FC70">
        <f ca="1"/>
        <v>1760.6399999999999</v>
      </c>
      <c r="FD70">
        <f ca="1"/>
        <v>1779.72</v>
      </c>
      <c r="FE70">
        <f ca="1"/>
        <v>1790.6999999999998</v>
      </c>
      <c r="FF70">
        <f ca="1"/>
        <v>1730.6999999999998</v>
      </c>
      <c r="FG70">
        <f ca="1"/>
        <v>1735.92</v>
      </c>
      <c r="FH70">
        <f ca="1"/>
        <v>1730.94</v>
      </c>
      <c r="FI70">
        <f ca="1"/>
        <v>1751.16</v>
      </c>
      <c r="FJ70">
        <f ca="1"/>
        <v>1703.6399999999999</v>
      </c>
      <c r="FK70">
        <f ca="1"/>
        <v>1723.1399999999999</v>
      </c>
      <c r="FL70">
        <f ca="1"/>
        <v>1711.8600000000001</v>
      </c>
      <c r="FM70">
        <f ca="1"/>
        <v>1701.6000000000001</v>
      </c>
      <c r="FN70">
        <f ca="1"/>
        <v>1730.52</v>
      </c>
      <c r="FO70">
        <f ca="1"/>
        <v>1798.8600000000001</v>
      </c>
      <c r="FP70">
        <f ca="1"/>
        <v>1805.88</v>
      </c>
      <c r="FQ70">
        <f ca="1"/>
        <v>1792.38</v>
      </c>
      <c r="FR70">
        <f ca="1"/>
        <v>1753.08</v>
      </c>
      <c r="FS70">
        <f ca="1"/>
        <v>1810.1399999999999</v>
      </c>
      <c r="FT70">
        <f ca="1"/>
        <v>1843.2599999999998</v>
      </c>
      <c r="FU70">
        <f ca="1"/>
        <v>1888.38</v>
      </c>
      <c r="FV70">
        <f ca="1"/>
        <v>1893.1799999999998</v>
      </c>
      <c r="FW70">
        <f ca="1"/>
        <v>1900.5</v>
      </c>
      <c r="FX70">
        <f ca="1"/>
        <v>1890.84</v>
      </c>
      <c r="FY70">
        <f ca="1"/>
        <v>1869.48</v>
      </c>
      <c r="FZ70">
        <f ca="1"/>
        <v>1870.7400000000002</v>
      </c>
      <c r="GA70">
        <f ca="1"/>
        <v>1848.1799999999998</v>
      </c>
      <c r="GB70">
        <f ca="1"/>
        <v>1924.5</v>
      </c>
      <c r="GC70">
        <f ca="1"/>
        <v>1945.92</v>
      </c>
      <c r="GD70">
        <f ca="1"/>
        <v>1965.2400000000002</v>
      </c>
      <c r="GE70">
        <f ca="1"/>
        <v>1941.84</v>
      </c>
      <c r="GF70">
        <f ca="1"/>
        <v>1886.6399999999999</v>
      </c>
      <c r="GG70">
        <f ca="1"/>
        <v>1929.54</v>
      </c>
      <c r="GH70">
        <f ca="1"/>
        <v>1945.02</v>
      </c>
      <c r="GI70">
        <f ca="1"/>
        <v>1963.38</v>
      </c>
      <c r="GJ70">
        <f ca="1"/>
        <v>1913.28</v>
      </c>
      <c r="GK70">
        <f ca="1"/>
        <v>1919.6399999999999</v>
      </c>
      <c r="GL70">
        <f ca="1"/>
        <v>1950.72</v>
      </c>
      <c r="GM70">
        <f ca="1"/>
        <v>1874.04</v>
      </c>
      <c r="GN70">
        <f ca="1"/>
        <v>1911</v>
      </c>
      <c r="GO70">
        <f ca="1"/>
        <v>1770</v>
      </c>
      <c r="GP70">
        <f ca="1"/>
        <v>1763.22</v>
      </c>
      <c r="GQ70">
        <f ca="1"/>
        <v>1770.3600000000001</v>
      </c>
      <c r="GR70">
        <f ca="1"/>
        <v>1784.8200000000002</v>
      </c>
      <c r="GS70">
        <f ca="1"/>
        <v>1754.88</v>
      </c>
      <c r="GT70">
        <f ca="1"/>
        <v>1793.16</v>
      </c>
      <c r="GU70">
        <f ca="1"/>
        <v>1840.7400000000002</v>
      </c>
      <c r="GV70">
        <f ca="1"/>
        <v>1852.2599999999998</v>
      </c>
      <c r="GW70">
        <f ca="1"/>
        <v>1859.58</v>
      </c>
      <c r="GX70">
        <f ca="1"/>
        <v>1850.04</v>
      </c>
      <c r="GY70">
        <f ca="1"/>
        <v>1838.22</v>
      </c>
      <c r="GZ70">
        <f ca="1"/>
        <v>1926</v>
      </c>
      <c r="HA70">
        <f ca="1"/>
        <v>1900.44</v>
      </c>
      <c r="HB70">
        <f ca="1"/>
        <v>1897.98</v>
      </c>
      <c r="HC70">
        <f ca="1"/>
        <v>1882.38</v>
      </c>
      <c r="HD70">
        <f ca="1"/>
        <v>1877.34</v>
      </c>
      <c r="HE70">
        <f ca="1"/>
        <v>1892.46</v>
      </c>
      <c r="HF70">
        <f ca="1"/>
        <v>1962.48</v>
      </c>
      <c r="HG70">
        <f ca="1"/>
        <v>1977.48</v>
      </c>
      <c r="HH70">
        <f ca="1"/>
        <v>2008.44</v>
      </c>
      <c r="HI70">
        <f ca="1"/>
        <v>2059.3200000000002</v>
      </c>
      <c r="HJ70">
        <f ca="1"/>
        <v>2033.94</v>
      </c>
      <c r="HK70">
        <f ca="1"/>
        <v>2073.84</v>
      </c>
      <c r="HL70">
        <f ca="1"/>
        <v>2057.34</v>
      </c>
      <c r="HM70">
        <f ca="1"/>
        <v>2045.04</v>
      </c>
      <c r="HN70">
        <f ca="1"/>
        <v>2053.56</v>
      </c>
      <c r="HO70">
        <f ca="1"/>
        <v>2074.44</v>
      </c>
      <c r="HP70">
        <f ca="1"/>
        <v>2004.84</v>
      </c>
      <c r="HQ70">
        <f ca="1"/>
        <v>2038.8600000000001</v>
      </c>
      <c r="HR70">
        <f ca="1"/>
        <v>1961.94</v>
      </c>
      <c r="HS70">
        <f ca="1"/>
        <v>1938.66</v>
      </c>
      <c r="HT70">
        <f ca="1"/>
        <v>1931.58</v>
      </c>
      <c r="HU70">
        <f ca="1"/>
        <v>1959.12</v>
      </c>
      <c r="HV70">
        <f ca="1"/>
        <v>1950.8999999999999</v>
      </c>
      <c r="HW70">
        <f ca="1"/>
        <v>1840.1999999999998</v>
      </c>
      <c r="HX70">
        <f ca="1"/>
        <v>1798.1399999999999</v>
      </c>
      <c r="HY70">
        <f ca="1"/>
        <v>1824</v>
      </c>
      <c r="HZ70">
        <f ca="1"/>
        <v>1812.54</v>
      </c>
      <c r="IA70">
        <f ca="1"/>
        <v>1805.7599999999998</v>
      </c>
      <c r="IB70">
        <f ca="1"/>
        <v>1749.66</v>
      </c>
      <c r="IC70">
        <f ca="1"/>
        <v>1720.7400000000002</v>
      </c>
      <c r="ID70">
        <f ca="1"/>
        <v>1749.2400000000002</v>
      </c>
      <c r="IE70">
        <f ca="1"/>
        <v>1743.78</v>
      </c>
      <c r="IF70">
        <f ca="1"/>
        <v>1779.3600000000001</v>
      </c>
      <c r="IG70">
        <f ca="1"/>
        <v>1711.44</v>
      </c>
      <c r="IH70">
        <f ca="1"/>
        <v>1696.8600000000001</v>
      </c>
      <c r="II70">
        <f ca="1"/>
        <v>1639.5</v>
      </c>
      <c r="IJ70">
        <f ca="1"/>
        <v>1702.62</v>
      </c>
      <c r="IK70">
        <f ca="1"/>
        <v>1756.08</v>
      </c>
      <c r="IL70">
        <f ca="1"/>
        <v>1686.96</v>
      </c>
      <c r="IM70">
        <f ca="1"/>
        <v>1732.1399999999999</v>
      </c>
      <c r="IN70">
        <f ca="1"/>
        <v>1731.6000000000001</v>
      </c>
      <c r="IO70">
        <f ca="1"/>
        <v>1848.3600000000001</v>
      </c>
      <c r="IP70">
        <f ca="1"/>
        <v>1878.12</v>
      </c>
      <c r="IQ70">
        <f ca="1"/>
        <v>1850.1000000000001</v>
      </c>
      <c r="IR70">
        <f ca="1"/>
        <v>1871.3999999999999</v>
      </c>
      <c r="IS70">
        <f ca="1"/>
        <v>1908</v>
      </c>
      <c r="IT70">
        <f ca="1"/>
        <v>1883.58</v>
      </c>
      <c r="IU70">
        <f ca="1"/>
        <v>1789.7400000000002</v>
      </c>
      <c r="IV70">
        <f ca="1"/>
        <v>1824.78</v>
      </c>
      <c r="IW70">
        <f ca="1"/>
        <v>1821.6000000000001</v>
      </c>
    </row>
    <row r="71" spans="2:257" x14ac:dyDescent="0.25">
      <c r="B71" t="str">
        <f t="shared" si="641"/>
        <v>20K6HU7</v>
      </c>
      <c r="C71" t="s">
        <v>162</v>
      </c>
      <c r="D71" t="e" vm="526">
        <v>#VALUE!</v>
      </c>
      <c r="E71" t="str" cm="1">
        <f t="array" aca="1" ref="E71" ca="1">_FV(D71,"Code mnémonique",TRUE)</f>
        <v>GEHC</v>
      </c>
      <c r="F71" s="12">
        <f>_xlfn.XLOOKUP(D71,Titres[Action],Titres[Nb d''actions])</f>
        <v>2</v>
      </c>
      <c r="G71" cm="1">
        <f t="array" aca="1" ref="G71:IW71" ca="1">IFERROR(TRANSPOSE(_xlfn.STOCKHISTORY(D71,TODAY()-365,TODAY(),0,0,1))*F71,"")</f>
        <v>120.96</v>
      </c>
      <c r="H71">
        <f ca="1"/>
        <v>123.3</v>
      </c>
      <c r="I71">
        <f ca="1"/>
        <v>129.78</v>
      </c>
      <c r="J71">
        <f ca="1"/>
        <v>134.16</v>
      </c>
      <c r="K71">
        <f ca="1"/>
        <v>136.84</v>
      </c>
      <c r="L71">
        <f ca="1"/>
        <v>136.13999999999999</v>
      </c>
      <c r="M71">
        <f ca="1"/>
        <v>136.18</v>
      </c>
      <c r="N71">
        <f ca="1"/>
        <v>140.66</v>
      </c>
      <c r="O71">
        <f ca="1"/>
        <v>135.34</v>
      </c>
      <c r="P71">
        <f ca="1"/>
        <v>141.06</v>
      </c>
      <c r="Q71">
        <f ca="1"/>
        <v>138.74</v>
      </c>
      <c r="R71">
        <f ca="1"/>
        <v>134.18</v>
      </c>
      <c r="S71">
        <f ca="1"/>
        <v>137.63999999999999</v>
      </c>
      <c r="T71">
        <f ca="1"/>
        <v>141</v>
      </c>
      <c r="U71">
        <f ca="1"/>
        <v>139.74</v>
      </c>
      <c r="V71">
        <f ca="1"/>
        <v>148.22</v>
      </c>
      <c r="W71">
        <f ca="1"/>
        <v>147.66</v>
      </c>
      <c r="X71">
        <f ca="1"/>
        <v>145.68</v>
      </c>
      <c r="Y71">
        <f ca="1"/>
        <v>145.82</v>
      </c>
      <c r="Z71">
        <f ca="1"/>
        <v>146.26</v>
      </c>
      <c r="AA71">
        <f ca="1"/>
        <v>146.19999999999999</v>
      </c>
      <c r="AB71">
        <f ca="1"/>
        <v>143.69999999999999</v>
      </c>
      <c r="AC71">
        <f ca="1"/>
        <v>139.16</v>
      </c>
      <c r="AD71">
        <f ca="1"/>
        <v>138.88</v>
      </c>
      <c r="AE71">
        <f ca="1"/>
        <v>138.32</v>
      </c>
      <c r="AF71">
        <f ca="1"/>
        <v>142.02000000000001</v>
      </c>
      <c r="AG71">
        <f ca="1"/>
        <v>142.30000000000001</v>
      </c>
      <c r="AH71">
        <f ca="1"/>
        <v>143.06</v>
      </c>
      <c r="AI71">
        <f ca="1"/>
        <v>141.08000000000001</v>
      </c>
      <c r="AJ71">
        <f ca="1"/>
        <v>140.30000000000001</v>
      </c>
      <c r="AK71">
        <f ca="1"/>
        <v>142.32</v>
      </c>
      <c r="AL71">
        <f ca="1"/>
        <v>142.26</v>
      </c>
      <c r="AM71">
        <f ca="1"/>
        <v>143.1</v>
      </c>
      <c r="AN71">
        <f ca="1"/>
        <v>143.24</v>
      </c>
      <c r="AO71">
        <f ca="1"/>
        <v>143.34</v>
      </c>
      <c r="AP71">
        <f ca="1"/>
        <v>147.84</v>
      </c>
      <c r="AQ71">
        <f ca="1"/>
        <v>146.80000000000001</v>
      </c>
      <c r="AR71">
        <f ca="1"/>
        <v>146.22</v>
      </c>
      <c r="AS71">
        <f ca="1"/>
        <v>144.5</v>
      </c>
      <c r="AT71">
        <f ca="1"/>
        <v>145.72</v>
      </c>
      <c r="AU71">
        <f ca="1"/>
        <v>142.28</v>
      </c>
      <c r="AV71">
        <f ca="1"/>
        <v>143.78</v>
      </c>
      <c r="AW71">
        <f ca="1"/>
        <v>142.56</v>
      </c>
      <c r="AX71">
        <f ca="1"/>
        <v>142.32</v>
      </c>
      <c r="AY71">
        <f ca="1"/>
        <v>143.96</v>
      </c>
      <c r="AZ71">
        <f ca="1"/>
        <v>145.5</v>
      </c>
      <c r="BA71">
        <f ca="1"/>
        <v>149.72</v>
      </c>
      <c r="BB71">
        <f ca="1"/>
        <v>148.76</v>
      </c>
      <c r="BC71">
        <f ca="1"/>
        <v>148.13999999999999</v>
      </c>
      <c r="BD71">
        <f ca="1"/>
        <v>151.9</v>
      </c>
      <c r="BE71">
        <f ca="1"/>
        <v>152.24</v>
      </c>
      <c r="BF71">
        <f ca="1"/>
        <v>152.13999999999999</v>
      </c>
      <c r="BG71">
        <f ca="1"/>
        <v>149.22</v>
      </c>
      <c r="BH71">
        <f ca="1"/>
        <v>150.4</v>
      </c>
      <c r="BI71">
        <f ca="1"/>
        <v>151.02000000000001</v>
      </c>
      <c r="BJ71">
        <f ca="1"/>
        <v>153</v>
      </c>
      <c r="BK71">
        <f ca="1"/>
        <v>150.26</v>
      </c>
      <c r="BL71">
        <f ca="1"/>
        <v>148.9</v>
      </c>
      <c r="BM71">
        <f ca="1"/>
        <v>148.78</v>
      </c>
      <c r="BN71">
        <f ca="1"/>
        <v>150.9</v>
      </c>
      <c r="BO71">
        <f ca="1"/>
        <v>152.47999999999999</v>
      </c>
      <c r="BP71">
        <f ca="1"/>
        <v>151.91999999999999</v>
      </c>
      <c r="BQ71">
        <f ca="1"/>
        <v>148.32</v>
      </c>
      <c r="BR71">
        <f ca="1"/>
        <v>152.97999999999999</v>
      </c>
      <c r="BS71">
        <f ca="1"/>
        <v>154.5</v>
      </c>
      <c r="BT71">
        <f ca="1"/>
        <v>153.54</v>
      </c>
      <c r="BU71">
        <f ca="1"/>
        <v>155.22</v>
      </c>
      <c r="BV71">
        <f ca="1"/>
        <v>155.47999999999999</v>
      </c>
      <c r="BW71">
        <f ca="1"/>
        <v>155.44</v>
      </c>
      <c r="BX71">
        <f ca="1"/>
        <v>143.28</v>
      </c>
      <c r="BY71">
        <f ca="1"/>
        <v>142.63999999999999</v>
      </c>
      <c r="BZ71">
        <f ca="1"/>
        <v>139.69999999999999</v>
      </c>
      <c r="CA71">
        <f ca="1"/>
        <v>141.28</v>
      </c>
      <c r="CB71">
        <f ca="1"/>
        <v>141.47999999999999</v>
      </c>
      <c r="CC71">
        <f ca="1"/>
        <v>139.91999999999999</v>
      </c>
      <c r="CD71">
        <f ca="1"/>
        <v>142.19999999999999</v>
      </c>
      <c r="CE71">
        <f ca="1"/>
        <v>144</v>
      </c>
      <c r="CF71">
        <f ca="1"/>
        <v>146</v>
      </c>
      <c r="CG71">
        <f ca="1"/>
        <v>148.82</v>
      </c>
      <c r="CH71">
        <f ca="1"/>
        <v>150.66</v>
      </c>
      <c r="CI71">
        <f ca="1"/>
        <v>147.32</v>
      </c>
      <c r="CJ71">
        <f ca="1"/>
        <v>146.80000000000001</v>
      </c>
      <c r="CK71">
        <f ca="1"/>
        <v>146.34</v>
      </c>
      <c r="CL71">
        <f ca="1"/>
        <v>147.94</v>
      </c>
      <c r="CM71">
        <f ca="1"/>
        <v>147.74</v>
      </c>
      <c r="CN71">
        <f ca="1"/>
        <v>146.30000000000001</v>
      </c>
      <c r="CO71">
        <f ca="1"/>
        <v>150.44</v>
      </c>
      <c r="CP71">
        <f ca="1"/>
        <v>149.18</v>
      </c>
      <c r="CQ71">
        <f ca="1"/>
        <v>148.18</v>
      </c>
      <c r="CR71">
        <f ca="1"/>
        <v>148.52000000000001</v>
      </c>
      <c r="CS71">
        <f ca="1"/>
        <v>147.44</v>
      </c>
      <c r="CT71">
        <f ca="1"/>
        <v>147.46</v>
      </c>
      <c r="CU71">
        <f ca="1"/>
        <v>143.19999999999999</v>
      </c>
      <c r="CV71">
        <f ca="1"/>
        <v>144.76</v>
      </c>
      <c r="CW71">
        <f ca="1"/>
        <v>148.24</v>
      </c>
      <c r="CX71">
        <f ca="1"/>
        <v>151.46</v>
      </c>
      <c r="CY71">
        <f ca="1"/>
        <v>156.32</v>
      </c>
      <c r="CZ71">
        <f ca="1"/>
        <v>157.41999999999999</v>
      </c>
      <c r="DA71">
        <f ca="1"/>
        <v>151.97999999999999</v>
      </c>
      <c r="DB71">
        <f ca="1"/>
        <v>155.91999999999999</v>
      </c>
      <c r="DC71">
        <f ca="1"/>
        <v>152.88</v>
      </c>
      <c r="DD71">
        <f ca="1"/>
        <v>155.52000000000001</v>
      </c>
      <c r="DE71">
        <f ca="1"/>
        <v>154.96</v>
      </c>
      <c r="DF71">
        <f ca="1"/>
        <v>153.26</v>
      </c>
      <c r="DG71">
        <f ca="1"/>
        <v>148</v>
      </c>
      <c r="DH71">
        <f ca="1"/>
        <v>149.82</v>
      </c>
      <c r="DI71">
        <f ca="1"/>
        <v>149.54</v>
      </c>
      <c r="DJ71">
        <f ca="1"/>
        <v>149.19999999999999</v>
      </c>
      <c r="DK71">
        <f ca="1"/>
        <v>147.96</v>
      </c>
      <c r="DL71">
        <f ca="1"/>
        <v>143</v>
      </c>
      <c r="DM71">
        <f ca="1"/>
        <v>144.91999999999999</v>
      </c>
      <c r="DN71">
        <f ca="1"/>
        <v>146.18</v>
      </c>
      <c r="DO71">
        <f ca="1"/>
        <v>150.19999999999999</v>
      </c>
      <c r="DP71">
        <f ca="1"/>
        <v>151.02000000000001</v>
      </c>
      <c r="DQ71">
        <f ca="1"/>
        <v>153.63999999999999</v>
      </c>
      <c r="DR71">
        <f ca="1"/>
        <v>153.12</v>
      </c>
      <c r="DS71">
        <f ca="1"/>
        <v>152.82</v>
      </c>
      <c r="DT71">
        <f ca="1"/>
        <v>148.97999999999999</v>
      </c>
      <c r="DU71">
        <f ca="1"/>
        <v>150.26</v>
      </c>
      <c r="DV71">
        <f ca="1"/>
        <v>148.44</v>
      </c>
      <c r="DW71">
        <f ca="1"/>
        <v>142.02000000000001</v>
      </c>
      <c r="DX71">
        <f ca="1"/>
        <v>143.68</v>
      </c>
      <c r="DY71">
        <f ca="1"/>
        <v>144.68</v>
      </c>
      <c r="DZ71">
        <f ca="1"/>
        <v>146.44</v>
      </c>
      <c r="EA71">
        <f ca="1"/>
        <v>146.76</v>
      </c>
      <c r="EB71">
        <f ca="1"/>
        <v>148.1</v>
      </c>
      <c r="EC71">
        <f ca="1"/>
        <v>150.96</v>
      </c>
      <c r="ED71">
        <f ca="1"/>
        <v>152.19999999999999</v>
      </c>
      <c r="EE71">
        <f ca="1"/>
        <v>152.28</v>
      </c>
      <c r="EF71">
        <f ca="1"/>
        <v>154.52000000000001</v>
      </c>
      <c r="EG71">
        <f ca="1"/>
        <v>156.28</v>
      </c>
      <c r="EH71">
        <f ca="1"/>
        <v>156.69999999999999</v>
      </c>
      <c r="EI71">
        <f ca="1"/>
        <v>158.80000000000001</v>
      </c>
      <c r="EJ71">
        <f ca="1"/>
        <v>154.76</v>
      </c>
      <c r="EK71">
        <f ca="1"/>
        <v>150</v>
      </c>
      <c r="EL71">
        <f ca="1"/>
        <v>149.9</v>
      </c>
      <c r="EM71">
        <f ca="1"/>
        <v>148.94</v>
      </c>
      <c r="EN71">
        <f ca="1"/>
        <v>148.6</v>
      </c>
      <c r="EO71">
        <f ca="1"/>
        <v>151.22</v>
      </c>
      <c r="EP71">
        <f ca="1"/>
        <v>148.34</v>
      </c>
      <c r="EQ71">
        <f ca="1"/>
        <v>146.1</v>
      </c>
      <c r="ER71">
        <f ca="1"/>
        <v>146.96</v>
      </c>
      <c r="ES71">
        <f ca="1"/>
        <v>146.82</v>
      </c>
      <c r="ET71">
        <f ca="1"/>
        <v>149.96</v>
      </c>
      <c r="EU71">
        <f ca="1"/>
        <v>147.94</v>
      </c>
      <c r="EV71">
        <f ca="1"/>
        <v>146.30000000000001</v>
      </c>
      <c r="EW71">
        <f ca="1"/>
        <v>141.26</v>
      </c>
      <c r="EX71">
        <f ca="1"/>
        <v>142.04</v>
      </c>
      <c r="EY71">
        <f ca="1"/>
        <v>144.62</v>
      </c>
      <c r="EZ71">
        <f ca="1"/>
        <v>149.5</v>
      </c>
      <c r="FA71">
        <f ca="1"/>
        <v>152.9</v>
      </c>
      <c r="FB71">
        <f ca="1"/>
        <v>156.47999999999999</v>
      </c>
      <c r="FC71">
        <f ca="1"/>
        <v>159.91999999999999</v>
      </c>
      <c r="FD71">
        <f ca="1"/>
        <v>161.26</v>
      </c>
      <c r="FE71">
        <f ca="1"/>
        <v>159.97999999999999</v>
      </c>
      <c r="FF71">
        <f ca="1"/>
        <v>158.47999999999999</v>
      </c>
      <c r="FG71">
        <f ca="1"/>
        <v>160.44</v>
      </c>
      <c r="FH71">
        <f ca="1"/>
        <v>167.18</v>
      </c>
      <c r="FI71">
        <f ca="1"/>
        <v>165.04</v>
      </c>
      <c r="FJ71">
        <f ca="1"/>
        <v>170.92</v>
      </c>
      <c r="FK71">
        <f ca="1"/>
        <v>166.18</v>
      </c>
      <c r="FL71">
        <f ca="1"/>
        <v>166.06</v>
      </c>
      <c r="FM71">
        <f ca="1"/>
        <v>168.94</v>
      </c>
      <c r="FN71">
        <f ca="1"/>
        <v>172.1</v>
      </c>
      <c r="FO71">
        <f ca="1"/>
        <v>167.92</v>
      </c>
      <c r="FP71">
        <f ca="1"/>
        <v>168.9</v>
      </c>
      <c r="FQ71">
        <f ca="1"/>
        <v>164.5</v>
      </c>
      <c r="FR71">
        <f ca="1"/>
        <v>164.76</v>
      </c>
      <c r="FS71">
        <f ca="1"/>
        <v>165.04</v>
      </c>
      <c r="FT71">
        <f ca="1"/>
        <v>165.78</v>
      </c>
      <c r="FU71">
        <f ca="1"/>
        <v>167.88</v>
      </c>
      <c r="FV71">
        <f ca="1"/>
        <v>166.64</v>
      </c>
      <c r="FW71">
        <f ca="1"/>
        <v>166.78</v>
      </c>
      <c r="FX71">
        <f ca="1"/>
        <v>167.22</v>
      </c>
      <c r="FY71">
        <f ca="1"/>
        <v>166.3</v>
      </c>
      <c r="FZ71">
        <f ca="1"/>
        <v>166.66</v>
      </c>
      <c r="GA71">
        <f ca="1"/>
        <v>164.04</v>
      </c>
      <c r="GB71">
        <f ca="1"/>
        <v>165.64</v>
      </c>
      <c r="GC71">
        <f ca="1"/>
        <v>170.08</v>
      </c>
      <c r="GD71">
        <f ca="1"/>
        <v>173.46</v>
      </c>
      <c r="GE71">
        <f ca="1"/>
        <v>171.52</v>
      </c>
      <c r="GF71">
        <f ca="1"/>
        <v>176.32</v>
      </c>
      <c r="GG71">
        <f ca="1"/>
        <v>174.56</v>
      </c>
      <c r="GH71">
        <f ca="1"/>
        <v>173.8</v>
      </c>
      <c r="GI71">
        <f ca="1"/>
        <v>169.54</v>
      </c>
      <c r="GJ71">
        <f ca="1"/>
        <v>170.6</v>
      </c>
      <c r="GK71">
        <f ca="1"/>
        <v>165.02</v>
      </c>
      <c r="GL71">
        <f ca="1"/>
        <v>163.5</v>
      </c>
      <c r="GM71">
        <f ca="1"/>
        <v>157.66</v>
      </c>
      <c r="GN71">
        <f ca="1"/>
        <v>162.19999999999999</v>
      </c>
      <c r="GO71">
        <f ca="1"/>
        <v>163.78</v>
      </c>
      <c r="GP71">
        <f ca="1"/>
        <v>159.54</v>
      </c>
      <c r="GQ71">
        <f ca="1"/>
        <v>160.54</v>
      </c>
      <c r="GR71">
        <f ca="1"/>
        <v>160.63999999999999</v>
      </c>
      <c r="GS71">
        <f ca="1"/>
        <v>158.52000000000001</v>
      </c>
      <c r="GT71">
        <f ca="1"/>
        <v>157.56</v>
      </c>
      <c r="GU71">
        <f ca="1"/>
        <v>157.94</v>
      </c>
      <c r="GV71">
        <f ca="1"/>
        <v>160.22</v>
      </c>
      <c r="GW71">
        <f ca="1"/>
        <v>157.56</v>
      </c>
      <c r="GX71">
        <f ca="1"/>
        <v>165.26</v>
      </c>
      <c r="GY71">
        <f ca="1"/>
        <v>164.62</v>
      </c>
      <c r="GZ71">
        <f ca="1"/>
        <v>161.30000000000001</v>
      </c>
      <c r="HA71">
        <f ca="1"/>
        <v>158.16</v>
      </c>
      <c r="HB71">
        <f ca="1"/>
        <v>158.44</v>
      </c>
      <c r="HC71">
        <f ca="1"/>
        <v>158.4</v>
      </c>
      <c r="HD71">
        <f ca="1"/>
        <v>157.30000000000001</v>
      </c>
      <c r="HE71">
        <f ca="1"/>
        <v>160.68</v>
      </c>
      <c r="HF71">
        <f ca="1"/>
        <v>163.22</v>
      </c>
      <c r="HG71">
        <f ca="1"/>
        <v>165.9</v>
      </c>
      <c r="HH71">
        <f ca="1"/>
        <v>166.02</v>
      </c>
      <c r="HI71">
        <f ca="1"/>
        <v>168.46</v>
      </c>
      <c r="HJ71">
        <f ca="1"/>
        <v>167.72</v>
      </c>
      <c r="HK71">
        <f ca="1"/>
        <v>168.1</v>
      </c>
      <c r="HL71">
        <f ca="1"/>
        <v>168.06</v>
      </c>
      <c r="HM71">
        <f ca="1"/>
        <v>167.84</v>
      </c>
      <c r="HN71">
        <f ca="1"/>
        <v>168.54</v>
      </c>
      <c r="HO71">
        <f ca="1"/>
        <v>160.32</v>
      </c>
      <c r="HP71">
        <f ca="1"/>
        <v>156.26</v>
      </c>
      <c r="HQ71">
        <f ca="1"/>
        <v>158.04</v>
      </c>
      <c r="HR71">
        <f ca="1"/>
        <v>154.22</v>
      </c>
      <c r="HS71">
        <f ca="1"/>
        <v>148.54</v>
      </c>
      <c r="HT71">
        <f ca="1"/>
        <v>151.26</v>
      </c>
      <c r="HU71">
        <f ca="1"/>
        <v>145.46</v>
      </c>
      <c r="HV71">
        <f ca="1"/>
        <v>145.30000000000001</v>
      </c>
      <c r="HW71">
        <f ca="1"/>
        <v>140.66</v>
      </c>
      <c r="HX71">
        <f ca="1"/>
        <v>141.54</v>
      </c>
      <c r="HY71">
        <f ca="1"/>
        <v>144.34</v>
      </c>
      <c r="HZ71">
        <f ca="1"/>
        <v>144.68</v>
      </c>
      <c r="IA71">
        <f ca="1"/>
        <v>140.5</v>
      </c>
      <c r="IB71">
        <f ca="1"/>
        <v>140.76</v>
      </c>
      <c r="IC71">
        <f ca="1"/>
        <v>139.30000000000001</v>
      </c>
      <c r="ID71">
        <f ca="1"/>
        <v>143.30000000000001</v>
      </c>
      <c r="IE71">
        <f ca="1"/>
        <v>141.91999999999999</v>
      </c>
      <c r="IF71">
        <f ca="1"/>
        <v>144.4</v>
      </c>
      <c r="IG71">
        <f ca="1"/>
        <v>143.08000000000001</v>
      </c>
      <c r="IH71">
        <f ca="1"/>
        <v>138.46</v>
      </c>
      <c r="II71">
        <f ca="1"/>
        <v>137.54</v>
      </c>
      <c r="IJ71">
        <f ca="1"/>
        <v>142.36000000000001</v>
      </c>
      <c r="IK71">
        <f ca="1"/>
        <v>143.96</v>
      </c>
      <c r="IL71">
        <f ca="1"/>
        <v>140.69999999999999</v>
      </c>
      <c r="IM71">
        <f ca="1"/>
        <v>140.80000000000001</v>
      </c>
      <c r="IN71">
        <f ca="1"/>
        <v>139.46</v>
      </c>
      <c r="IO71">
        <f ca="1"/>
        <v>147.5</v>
      </c>
      <c r="IP71">
        <f ca="1"/>
        <v>145.82</v>
      </c>
      <c r="IQ71">
        <f ca="1"/>
        <v>146.36000000000001</v>
      </c>
      <c r="IR71">
        <f ca="1"/>
        <v>147.66</v>
      </c>
      <c r="IS71">
        <f ca="1"/>
        <v>149.34</v>
      </c>
      <c r="IT71">
        <f ca="1"/>
        <v>147.02000000000001</v>
      </c>
      <c r="IU71">
        <f ca="1"/>
        <v>146.4</v>
      </c>
      <c r="IV71">
        <f ca="1"/>
        <v>149.32</v>
      </c>
      <c r="IW71">
        <f ca="1"/>
        <v>148.30000000000001</v>
      </c>
    </row>
    <row r="72" spans="2:257" x14ac:dyDescent="0.25">
      <c r="B72" t="str">
        <f t="shared" si="641"/>
        <v>20K6HU7</v>
      </c>
      <c r="C72" t="s">
        <v>162</v>
      </c>
      <c r="D72" t="e" vm="529">
        <v>#VALUE!</v>
      </c>
      <c r="E72" t="str" cm="1">
        <f t="array" aca="1" ref="E72" ca="1">_FV(D72,"Code mnémonique",TRUE)</f>
        <v>GIS</v>
      </c>
      <c r="F72" s="12">
        <f>_xlfn.XLOOKUP(D72,Titres[Action],Titres[Nb d''actions])</f>
        <v>129</v>
      </c>
      <c r="G72" cm="1">
        <f t="array" aca="1" ref="G72:IW72" ca="1">IFERROR(TRANSPOSE(_xlfn.STOCKHISTORY(D72,TODAY()-365,TODAY(),0,0,1))*F72,"")</f>
        <v>7439.43</v>
      </c>
      <c r="H72">
        <f ca="1"/>
        <v>7489.7400000000007</v>
      </c>
      <c r="I72">
        <f ca="1"/>
        <v>7389.12</v>
      </c>
      <c r="J72">
        <f ca="1"/>
        <v>7274.31</v>
      </c>
      <c r="K72">
        <f ca="1"/>
        <v>7242.06</v>
      </c>
      <c r="L72">
        <f ca="1"/>
        <v>7191.75</v>
      </c>
      <c r="M72">
        <f ca="1"/>
        <v>7243.3499999999995</v>
      </c>
      <c r="N72">
        <f ca="1"/>
        <v>7319.46</v>
      </c>
      <c r="O72">
        <f ca="1"/>
        <v>7169.82</v>
      </c>
      <c r="P72">
        <f ca="1"/>
        <v>7150.47</v>
      </c>
      <c r="Q72">
        <f ca="1"/>
        <v>7101.45</v>
      </c>
      <c r="R72">
        <f ca="1"/>
        <v>7038.2400000000007</v>
      </c>
      <c r="S72">
        <f ca="1"/>
        <v>7022.7599999999993</v>
      </c>
      <c r="T72">
        <f ca="1"/>
        <v>7057.59</v>
      </c>
      <c r="U72">
        <f ca="1"/>
        <v>7030.5</v>
      </c>
      <c r="V72">
        <f ca="1"/>
        <v>7074.3600000000006</v>
      </c>
      <c r="W72">
        <f ca="1"/>
        <v>6936.3300000000008</v>
      </c>
      <c r="X72">
        <f ca="1"/>
        <v>6873.12</v>
      </c>
      <c r="Y72">
        <f ca="1"/>
        <v>7017.5999999999995</v>
      </c>
      <c r="Z72">
        <f ca="1"/>
        <v>7111.77</v>
      </c>
      <c r="AA72">
        <f ca="1"/>
        <v>7073.07</v>
      </c>
      <c r="AB72">
        <f ca="1"/>
        <v>7067.91</v>
      </c>
      <c r="AC72">
        <f ca="1"/>
        <v>6883.44</v>
      </c>
      <c r="AD72">
        <f ca="1"/>
        <v>6880.8600000000006</v>
      </c>
      <c r="AE72">
        <f ca="1"/>
        <v>6886.02</v>
      </c>
      <c r="AF72">
        <f ca="1"/>
        <v>6982.77</v>
      </c>
      <c r="AG72">
        <f ca="1"/>
        <v>6884.73</v>
      </c>
      <c r="AH72">
        <f ca="1"/>
        <v>6964.71</v>
      </c>
      <c r="AI72">
        <f ca="1"/>
        <v>6999.54</v>
      </c>
      <c r="AJ72">
        <f ca="1"/>
        <v>6982.77</v>
      </c>
      <c r="AK72">
        <f ca="1"/>
        <v>7005.9900000000007</v>
      </c>
      <c r="AL72">
        <f ca="1"/>
        <v>7044.69</v>
      </c>
      <c r="AM72">
        <f ca="1"/>
        <v>7036.95</v>
      </c>
      <c r="AN72">
        <f ca="1"/>
        <v>7065.3300000000008</v>
      </c>
      <c r="AO72">
        <f ca="1"/>
        <v>7069.2</v>
      </c>
      <c r="AP72">
        <f ca="1"/>
        <v>7030.5</v>
      </c>
      <c r="AQ72">
        <f ca="1"/>
        <v>6995.6699999999992</v>
      </c>
      <c r="AR72">
        <f ca="1"/>
        <v>7061.46</v>
      </c>
      <c r="AS72">
        <f ca="1"/>
        <v>6909.2400000000007</v>
      </c>
      <c r="AT72">
        <f ca="1"/>
        <v>6905.37</v>
      </c>
      <c r="AU72">
        <f ca="1"/>
        <v>6847.32</v>
      </c>
      <c r="AV72">
        <f ca="1"/>
        <v>6831.84</v>
      </c>
      <c r="AW72">
        <f ca="1"/>
        <v>6835.71</v>
      </c>
      <c r="AX72">
        <f ca="1"/>
        <v>6897.63</v>
      </c>
      <c r="AY72">
        <f ca="1"/>
        <v>6889.8899999999994</v>
      </c>
      <c r="AZ72">
        <f ca="1"/>
        <v>6537.72</v>
      </c>
      <c r="BA72">
        <f ca="1"/>
        <v>6497.73</v>
      </c>
      <c r="BB72">
        <f ca="1"/>
        <v>6517.0800000000008</v>
      </c>
      <c r="BC72">
        <f ca="1"/>
        <v>6683.4900000000007</v>
      </c>
      <c r="BD72">
        <f ca="1"/>
        <v>6861.5099999999993</v>
      </c>
      <c r="BE72">
        <f ca="1"/>
        <v>6944.07</v>
      </c>
      <c r="BF72">
        <f ca="1"/>
        <v>6856.3499999999995</v>
      </c>
      <c r="BG72">
        <f ca="1"/>
        <v>6687.3600000000006</v>
      </c>
      <c r="BH72">
        <f ca="1"/>
        <v>6687.3600000000006</v>
      </c>
      <c r="BI72">
        <f ca="1"/>
        <v>6604.8</v>
      </c>
      <c r="BJ72">
        <f ca="1"/>
        <v>6625.44</v>
      </c>
      <c r="BK72">
        <f ca="1"/>
        <v>6653.82</v>
      </c>
      <c r="BL72">
        <f ca="1"/>
        <v>6575.13</v>
      </c>
      <c r="BM72">
        <f ca="1"/>
        <v>6451.29</v>
      </c>
      <c r="BN72">
        <f ca="1"/>
        <v>6461.6100000000006</v>
      </c>
      <c r="BO72">
        <f ca="1"/>
        <v>6487.41</v>
      </c>
      <c r="BP72">
        <f ca="1"/>
        <v>6462.9000000000005</v>
      </c>
      <c r="BQ72">
        <f ca="1"/>
        <v>6344.22</v>
      </c>
      <c r="BR72">
        <f ca="1"/>
        <v>6572.55</v>
      </c>
      <c r="BS72">
        <f ca="1"/>
        <v>6613.8300000000008</v>
      </c>
      <c r="BT72">
        <f ca="1"/>
        <v>6572.55</v>
      </c>
      <c r="BU72">
        <f ca="1"/>
        <v>6588.03</v>
      </c>
      <c r="BV72">
        <f ca="1"/>
        <v>6430.6500000000005</v>
      </c>
      <c r="BW72">
        <f ca="1"/>
        <v>6452.5800000000008</v>
      </c>
      <c r="BX72">
        <f ca="1"/>
        <v>6348.09</v>
      </c>
      <c r="BY72">
        <f ca="1"/>
        <v>6318.4199999999992</v>
      </c>
      <c r="BZ72">
        <f ca="1"/>
        <v>6313.2599999999993</v>
      </c>
      <c r="CA72">
        <f ca="1"/>
        <v>6323.5800000000008</v>
      </c>
      <c r="CB72">
        <f ca="1"/>
        <v>6340.3499999999995</v>
      </c>
      <c r="CC72">
        <f ca="1"/>
        <v>6360.9900000000007</v>
      </c>
      <c r="CD72">
        <f ca="1"/>
        <v>6469.3499999999995</v>
      </c>
      <c r="CE72">
        <f ca="1"/>
        <v>6428.07</v>
      </c>
      <c r="CF72">
        <f ca="1"/>
        <v>6366.1500000000005</v>
      </c>
      <c r="CG72">
        <f ca="1"/>
        <v>6341.6399999999994</v>
      </c>
      <c r="CH72">
        <f ca="1"/>
        <v>6415.1699999999992</v>
      </c>
      <c r="CI72">
        <f ca="1"/>
        <v>6407.43</v>
      </c>
      <c r="CJ72">
        <f ca="1"/>
        <v>6404.8499999999995</v>
      </c>
      <c r="CK72">
        <f ca="1"/>
        <v>6366.1500000000005</v>
      </c>
      <c r="CL72">
        <f ca="1"/>
        <v>6438.3899999999994</v>
      </c>
      <c r="CM72">
        <f ca="1"/>
        <v>6403.56</v>
      </c>
      <c r="CN72">
        <f ca="1"/>
        <v>6425.4900000000007</v>
      </c>
      <c r="CO72">
        <f ca="1"/>
        <v>6473.22</v>
      </c>
      <c r="CP72">
        <f ca="1"/>
        <v>6363.57</v>
      </c>
      <c r="CQ72">
        <f ca="1"/>
        <v>6353.25</v>
      </c>
      <c r="CR72">
        <f ca="1"/>
        <v>6353.25</v>
      </c>
      <c r="CS72">
        <f ca="1"/>
        <v>6248.7599999999993</v>
      </c>
      <c r="CT72">
        <f ca="1"/>
        <v>6363.57</v>
      </c>
      <c r="CU72">
        <f ca="1"/>
        <v>6362.28</v>
      </c>
      <c r="CV72">
        <f ca="1"/>
        <v>6417.75</v>
      </c>
      <c r="CW72">
        <f ca="1"/>
        <v>6399.69</v>
      </c>
      <c r="CX72">
        <f ca="1"/>
        <v>6524.82</v>
      </c>
      <c r="CY72">
        <f ca="1"/>
        <v>6465.48</v>
      </c>
      <c r="CZ72">
        <f ca="1"/>
        <v>6495.1500000000005</v>
      </c>
      <c r="DA72">
        <f ca="1"/>
        <v>6451.29</v>
      </c>
      <c r="DB72">
        <f ca="1"/>
        <v>6528.69</v>
      </c>
      <c r="DC72">
        <f ca="1"/>
        <v>6439.68</v>
      </c>
      <c r="DD72">
        <f ca="1"/>
        <v>6322.29</v>
      </c>
      <c r="DE72">
        <f ca="1"/>
        <v>6393.2400000000007</v>
      </c>
      <c r="DF72">
        <f ca="1"/>
        <v>6344.22</v>
      </c>
      <c r="DG72">
        <f ca="1"/>
        <v>6430.6500000000005</v>
      </c>
      <c r="DH72">
        <f ca="1"/>
        <v>6495.1500000000005</v>
      </c>
      <c r="DI72">
        <f ca="1"/>
        <v>6459.03</v>
      </c>
      <c r="DJ72">
        <f ca="1"/>
        <v>6522.2400000000007</v>
      </c>
      <c r="DK72">
        <f ca="1"/>
        <v>6593.19</v>
      </c>
      <c r="DL72">
        <f ca="1"/>
        <v>6376.47</v>
      </c>
      <c r="DM72">
        <f ca="1"/>
        <v>6461.6100000000006</v>
      </c>
      <c r="DN72">
        <f ca="1"/>
        <v>6406.1399999999994</v>
      </c>
      <c r="DO72">
        <f ca="1"/>
        <v>6504.18</v>
      </c>
      <c r="DP72">
        <f ca="1"/>
        <v>6540.3</v>
      </c>
      <c r="DQ72">
        <f ca="1"/>
        <v>6491.28</v>
      </c>
      <c r="DR72">
        <f ca="1"/>
        <v>6496.44</v>
      </c>
      <c r="DS72">
        <f ca="1"/>
        <v>6473.22</v>
      </c>
      <c r="DT72">
        <f ca="1"/>
        <v>6569.97</v>
      </c>
      <c r="DU72">
        <f ca="1"/>
        <v>6417.75</v>
      </c>
      <c r="DV72">
        <f ca="1"/>
        <v>6348.09</v>
      </c>
      <c r="DW72">
        <f ca="1"/>
        <v>6364.8600000000006</v>
      </c>
      <c r="DX72">
        <f ca="1"/>
        <v>6211.3499999999995</v>
      </c>
      <c r="DY72">
        <f ca="1"/>
        <v>6266.82</v>
      </c>
      <c r="DZ72">
        <f ca="1"/>
        <v>6158.46</v>
      </c>
      <c r="EA72">
        <f ca="1"/>
        <v>6154.59</v>
      </c>
      <c r="EB72">
        <f ca="1"/>
        <v>6242.31</v>
      </c>
      <c r="EC72">
        <f ca="1"/>
        <v>6296.4900000000007</v>
      </c>
      <c r="ED72">
        <f ca="1"/>
        <v>6265.53</v>
      </c>
      <c r="EE72">
        <f ca="1"/>
        <v>6344.22</v>
      </c>
      <c r="EF72">
        <f ca="1"/>
        <v>6182.97</v>
      </c>
      <c r="EG72">
        <f ca="1"/>
        <v>6115.8899999999994</v>
      </c>
      <c r="EH72">
        <f ca="1"/>
        <v>6229.41</v>
      </c>
      <c r="EI72">
        <f ca="1"/>
        <v>6198.45</v>
      </c>
      <c r="EJ72">
        <f ca="1"/>
        <v>6007.53</v>
      </c>
      <c r="EK72">
        <f ca="1"/>
        <v>6069.45</v>
      </c>
      <c r="EL72">
        <f ca="1"/>
        <v>6012.69</v>
      </c>
      <c r="EM72">
        <f ca="1"/>
        <v>5989.47</v>
      </c>
      <c r="EN72">
        <f ca="1"/>
        <v>5983.02</v>
      </c>
      <c r="EO72">
        <f ca="1"/>
        <v>5984.31</v>
      </c>
      <c r="EP72">
        <f ca="1"/>
        <v>5931.4199999999992</v>
      </c>
      <c r="EQ72">
        <f ca="1"/>
        <v>6047.52</v>
      </c>
      <c r="ER72">
        <f ca="1"/>
        <v>5962.38</v>
      </c>
      <c r="ES72">
        <f ca="1"/>
        <v>6017.8499999999995</v>
      </c>
      <c r="ET72">
        <f ca="1"/>
        <v>5998.5</v>
      </c>
      <c r="EU72">
        <f ca="1"/>
        <v>6105.57</v>
      </c>
      <c r="EV72">
        <f ca="1"/>
        <v>6115.8899999999994</v>
      </c>
      <c r="EW72">
        <f ca="1"/>
        <v>6059.13</v>
      </c>
      <c r="EX72">
        <f ca="1"/>
        <v>6152.0099999999993</v>
      </c>
      <c r="EY72">
        <f ca="1"/>
        <v>6144.27</v>
      </c>
      <c r="EZ72">
        <f ca="1"/>
        <v>6167.4900000000007</v>
      </c>
      <c r="FA72">
        <f ca="1"/>
        <v>6234.57</v>
      </c>
      <c r="FB72">
        <f ca="1"/>
        <v>6056.55</v>
      </c>
      <c r="FC72">
        <f ca="1"/>
        <v>6056.55</v>
      </c>
      <c r="FD72">
        <f ca="1"/>
        <v>6084.93</v>
      </c>
      <c r="FE72">
        <f ca="1"/>
        <v>6108.1500000000005</v>
      </c>
      <c r="FF72">
        <f ca="1"/>
        <v>6072.03</v>
      </c>
      <c r="FG72">
        <f ca="1"/>
        <v>5924.97</v>
      </c>
      <c r="FH72">
        <f ca="1"/>
        <v>5959.8</v>
      </c>
      <c r="FI72">
        <f ca="1"/>
        <v>5931.4199999999992</v>
      </c>
      <c r="FJ72">
        <f ca="1"/>
        <v>5924.97</v>
      </c>
      <c r="FK72">
        <f ca="1"/>
        <v>5928.84</v>
      </c>
      <c r="FL72">
        <f ca="1"/>
        <v>5887.56</v>
      </c>
      <c r="FM72">
        <f ca="1"/>
        <v>5896.59</v>
      </c>
      <c r="FN72">
        <f ca="1"/>
        <v>5963.6699999999992</v>
      </c>
      <c r="FO72">
        <f ca="1"/>
        <v>6023.0099999999993</v>
      </c>
      <c r="FP72">
        <f ca="1"/>
        <v>6070.7400000000007</v>
      </c>
      <c r="FQ72">
        <f ca="1"/>
        <v>6065.5800000000008</v>
      </c>
      <c r="FR72">
        <f ca="1"/>
        <v>6270.69</v>
      </c>
      <c r="FS72">
        <f ca="1"/>
        <v>6283.59</v>
      </c>
      <c r="FT72">
        <f ca="1"/>
        <v>6173.94</v>
      </c>
      <c r="FU72">
        <f ca="1"/>
        <v>6114.5999999999995</v>
      </c>
      <c r="FV72">
        <f ca="1"/>
        <v>6016.56</v>
      </c>
      <c r="FW72">
        <f ca="1"/>
        <v>6063</v>
      </c>
      <c r="FX72">
        <f ca="1"/>
        <v>6069.45</v>
      </c>
      <c r="FY72">
        <f ca="1"/>
        <v>6052.68</v>
      </c>
      <c r="FZ72">
        <f ca="1"/>
        <v>6020.43</v>
      </c>
      <c r="GA72">
        <f ca="1"/>
        <v>5998.5</v>
      </c>
      <c r="GB72">
        <f ca="1"/>
        <v>5897.88</v>
      </c>
      <c r="GC72">
        <f ca="1"/>
        <v>5723.73</v>
      </c>
      <c r="GD72">
        <f ca="1"/>
        <v>5655.3600000000006</v>
      </c>
      <c r="GE72">
        <f ca="1"/>
        <v>5540.55</v>
      </c>
      <c r="GF72">
        <f ca="1"/>
        <v>5665.68</v>
      </c>
      <c r="GG72">
        <f ca="1"/>
        <v>5753.4000000000005</v>
      </c>
      <c r="GH72">
        <f ca="1"/>
        <v>5608.9199999999992</v>
      </c>
      <c r="GI72">
        <f ca="1"/>
        <v>5710.8300000000008</v>
      </c>
      <c r="GJ72">
        <f ca="1"/>
        <v>5884.98</v>
      </c>
      <c r="GK72">
        <f ca="1"/>
        <v>5882.4000000000005</v>
      </c>
      <c r="GL72">
        <f ca="1"/>
        <v>5741.79</v>
      </c>
      <c r="GM72">
        <f ca="1"/>
        <v>5734.05</v>
      </c>
      <c r="GN72">
        <f ca="1"/>
        <v>5673.4199999999992</v>
      </c>
      <c r="GO72">
        <f ca="1"/>
        <v>5739.21</v>
      </c>
      <c r="GP72">
        <f ca="1"/>
        <v>5748.2400000000007</v>
      </c>
      <c r="GQ72">
        <f ca="1"/>
        <v>5757.27</v>
      </c>
      <c r="GR72">
        <f ca="1"/>
        <v>5767.59</v>
      </c>
      <c r="GS72">
        <f ca="1"/>
        <v>5721.1500000000005</v>
      </c>
      <c r="GT72">
        <f ca="1"/>
        <v>5731.47</v>
      </c>
      <c r="GU72">
        <f ca="1"/>
        <v>5967.54</v>
      </c>
      <c r="GV72">
        <f ca="1"/>
        <v>5884.98</v>
      </c>
      <c r="GW72">
        <f ca="1"/>
        <v>5998.5</v>
      </c>
      <c r="GX72">
        <f ca="1"/>
        <v>6256.5</v>
      </c>
      <c r="GY72">
        <f ca="1"/>
        <v>6239.73</v>
      </c>
      <c r="GZ72">
        <f ca="1"/>
        <v>6175.23</v>
      </c>
      <c r="HA72">
        <f ca="1"/>
        <v>6204.9000000000005</v>
      </c>
      <c r="HB72">
        <f ca="1"/>
        <v>6277.1399999999994</v>
      </c>
      <c r="HC72">
        <f ca="1"/>
        <v>6322.29</v>
      </c>
      <c r="HD72">
        <f ca="1"/>
        <v>6266.82</v>
      </c>
      <c r="HE72">
        <f ca="1"/>
        <v>6235.8600000000006</v>
      </c>
      <c r="HF72">
        <f ca="1"/>
        <v>5799.84</v>
      </c>
      <c r="HG72">
        <f ca="1"/>
        <v>5851.44</v>
      </c>
      <c r="HH72">
        <f ca="1"/>
        <v>5779.2</v>
      </c>
      <c r="HI72">
        <f ca="1"/>
        <v>5755.98</v>
      </c>
      <c r="HJ72">
        <f ca="1"/>
        <v>5854.02</v>
      </c>
      <c r="HK72">
        <f ca="1"/>
        <v>5859.18</v>
      </c>
      <c r="HL72">
        <f ca="1"/>
        <v>5745.66</v>
      </c>
      <c r="HM72">
        <f ca="1"/>
        <v>5795.97</v>
      </c>
      <c r="HN72">
        <f ca="1"/>
        <v>5834.6699999999992</v>
      </c>
      <c r="HO72">
        <f ca="1"/>
        <v>5820.48</v>
      </c>
      <c r="HP72">
        <f ca="1"/>
        <v>5745.66</v>
      </c>
      <c r="HQ72">
        <f ca="1"/>
        <v>5619.2400000000007</v>
      </c>
      <c r="HR72">
        <f ca="1"/>
        <v>5620.53</v>
      </c>
      <c r="HS72">
        <f ca="1"/>
        <v>5713.41</v>
      </c>
      <c r="HT72">
        <f ca="1"/>
        <v>5598.5999999999995</v>
      </c>
      <c r="HU72">
        <f ca="1"/>
        <v>5454.12</v>
      </c>
      <c r="HV72">
        <f ca="1"/>
        <v>5245.1399999999994</v>
      </c>
      <c r="HW72">
        <f ca="1"/>
        <v>5082.5999999999995</v>
      </c>
      <c r="HX72">
        <f ca="1"/>
        <v>5080.0200000000004</v>
      </c>
      <c r="HY72">
        <f ca="1"/>
        <v>5028.4199999999992</v>
      </c>
      <c r="HZ72">
        <f ca="1"/>
        <v>4997.46</v>
      </c>
      <c r="IA72">
        <f ca="1"/>
        <v>4849.1100000000006</v>
      </c>
      <c r="IB72">
        <f ca="1"/>
        <v>4837.5</v>
      </c>
      <c r="IC72">
        <f ca="1"/>
        <v>4774.29</v>
      </c>
      <c r="ID72">
        <f ca="1"/>
        <v>4819.4399999999996</v>
      </c>
      <c r="IE72">
        <f ca="1"/>
        <v>4747.2</v>
      </c>
      <c r="IF72">
        <f ca="1"/>
        <v>4665.93</v>
      </c>
      <c r="IG72">
        <f ca="1"/>
        <v>4646.5800000000008</v>
      </c>
      <c r="IH72">
        <f ca="1"/>
        <v>4702.05</v>
      </c>
      <c r="II72">
        <f ca="1"/>
        <v>4787.1899999999996</v>
      </c>
      <c r="IJ72">
        <f ca="1"/>
        <v>4801.38</v>
      </c>
      <c r="IK72">
        <f ca="1"/>
        <v>4800.09</v>
      </c>
      <c r="IL72">
        <f ca="1"/>
        <v>4827.18</v>
      </c>
      <c r="IM72">
        <f ca="1"/>
        <v>4859.43</v>
      </c>
      <c r="IN72">
        <f ca="1"/>
        <v>4747.2</v>
      </c>
      <c r="IO72">
        <f ca="1"/>
        <v>4721.4000000000005</v>
      </c>
      <c r="IP72">
        <f ca="1"/>
        <v>4740.75</v>
      </c>
      <c r="IQ72">
        <f ca="1"/>
        <v>4591.1100000000006</v>
      </c>
      <c r="IR72">
        <f ca="1"/>
        <v>4458.2400000000007</v>
      </c>
      <c r="IS72">
        <f ca="1"/>
        <v>4476.3</v>
      </c>
      <c r="IT72">
        <f ca="1"/>
        <v>4449.21</v>
      </c>
      <c r="IU72">
        <f ca="1"/>
        <v>4556.28</v>
      </c>
      <c r="IV72">
        <f ca="1"/>
        <v>4579.5</v>
      </c>
      <c r="IW72">
        <f ca="1"/>
        <v>4551.12</v>
      </c>
    </row>
    <row r="73" spans="2:257" x14ac:dyDescent="0.25">
      <c r="B73" t="str">
        <f t="shared" si="641"/>
        <v>20K6HU7</v>
      </c>
      <c r="C73" t="s">
        <v>162</v>
      </c>
      <c r="D73" t="e" vm="533">
        <v>#VALUE!</v>
      </c>
      <c r="E73" t="str" cm="1">
        <f t="array" aca="1" ref="E73" ca="1">_FV(D73,"Code mnémonique",TRUE)</f>
        <v>GSK</v>
      </c>
      <c r="F73" s="12">
        <f>_xlfn.XLOOKUP(D73,Titres[Action],Titres[Nb d''actions])</f>
        <v>80</v>
      </c>
      <c r="G73" cm="1">
        <f t="array" aca="1" ref="G73:IW73" ca="1">IFERROR(TRANSPOSE(_xlfn.STOCKHISTORY(D73,TODAY()-365,TODAY(),0,0,1))*F73,"")</f>
        <v>2916</v>
      </c>
      <c r="H73">
        <f ca="1"/>
        <v>2930.4</v>
      </c>
      <c r="I73">
        <f ca="1"/>
        <v>2962.4</v>
      </c>
      <c r="J73">
        <f ca="1"/>
        <v>3000</v>
      </c>
      <c r="K73">
        <f ca="1"/>
        <v>2994.4</v>
      </c>
      <c r="L73">
        <f ca="1"/>
        <v>3044.8</v>
      </c>
      <c r="M73">
        <f ca="1"/>
        <v>3117.6</v>
      </c>
      <c r="N73">
        <f ca="1"/>
        <v>3188</v>
      </c>
      <c r="O73">
        <f ca="1"/>
        <v>3100</v>
      </c>
      <c r="P73">
        <f ca="1"/>
        <v>3125.6</v>
      </c>
      <c r="Q73">
        <f ca="1"/>
        <v>3108</v>
      </c>
      <c r="R73">
        <f ca="1"/>
        <v>3000</v>
      </c>
      <c r="S73">
        <f ca="1"/>
        <v>2973.6000000000004</v>
      </c>
      <c r="T73">
        <f ca="1"/>
        <v>2949.6</v>
      </c>
      <c r="U73">
        <f ca="1"/>
        <v>2929.6</v>
      </c>
      <c r="V73">
        <f ca="1"/>
        <v>2989.6</v>
      </c>
      <c r="W73">
        <f ca="1"/>
        <v>2908</v>
      </c>
      <c r="X73">
        <f ca="1"/>
        <v>2897.6</v>
      </c>
      <c r="Y73">
        <f ca="1"/>
        <v>3005.6</v>
      </c>
      <c r="Z73">
        <f ca="1"/>
        <v>3011.2</v>
      </c>
      <c r="AA73">
        <f ca="1"/>
        <v>3036.8</v>
      </c>
      <c r="AB73">
        <f ca="1"/>
        <v>3072</v>
      </c>
      <c r="AC73">
        <f ca="1"/>
        <v>3083.2</v>
      </c>
      <c r="AD73">
        <f ca="1"/>
        <v>3113.6000000000004</v>
      </c>
      <c r="AE73">
        <f ca="1"/>
        <v>3092.7999999999997</v>
      </c>
      <c r="AF73">
        <f ca="1"/>
        <v>3155.2</v>
      </c>
      <c r="AG73">
        <f ca="1"/>
        <v>3134.4</v>
      </c>
      <c r="AH73">
        <f ca="1"/>
        <v>3200</v>
      </c>
      <c r="AI73">
        <f ca="1"/>
        <v>3282.4</v>
      </c>
      <c r="AJ73">
        <f ca="1"/>
        <v>3332.7999999999997</v>
      </c>
      <c r="AK73">
        <f ca="1"/>
        <v>3236.8</v>
      </c>
      <c r="AL73">
        <f ca="1"/>
        <v>3264</v>
      </c>
      <c r="AM73">
        <f ca="1"/>
        <v>3292</v>
      </c>
      <c r="AN73">
        <f ca="1"/>
        <v>3296</v>
      </c>
      <c r="AO73">
        <f ca="1"/>
        <v>3268.8</v>
      </c>
      <c r="AP73">
        <f ca="1"/>
        <v>3304</v>
      </c>
      <c r="AQ73">
        <f ca="1"/>
        <v>3329.6</v>
      </c>
      <c r="AR73">
        <f ca="1"/>
        <v>3399.2000000000003</v>
      </c>
      <c r="AS73">
        <f ca="1"/>
        <v>3268.8</v>
      </c>
      <c r="AT73">
        <f ca="1"/>
        <v>3239.2000000000003</v>
      </c>
      <c r="AU73">
        <f ca="1"/>
        <v>3177.6</v>
      </c>
      <c r="AV73">
        <f ca="1"/>
        <v>3091.2</v>
      </c>
      <c r="AW73">
        <f ca="1"/>
        <v>3045.6</v>
      </c>
      <c r="AX73">
        <f ca="1"/>
        <v>3060.7999999999997</v>
      </c>
      <c r="AY73">
        <f ca="1"/>
        <v>3094.4</v>
      </c>
      <c r="AZ73">
        <f ca="1"/>
        <v>3062.4</v>
      </c>
      <c r="BA73">
        <f ca="1"/>
        <v>3084</v>
      </c>
      <c r="BB73">
        <f ca="1"/>
        <v>3086.3999999999996</v>
      </c>
      <c r="BC73">
        <f ca="1"/>
        <v>3072</v>
      </c>
      <c r="BD73">
        <f ca="1"/>
        <v>3116</v>
      </c>
      <c r="BE73">
        <f ca="1"/>
        <v>3080.7999999999997</v>
      </c>
      <c r="BF73">
        <f ca="1"/>
        <v>3054.4</v>
      </c>
      <c r="BG73">
        <f ca="1"/>
        <v>3055.2</v>
      </c>
      <c r="BH73">
        <f ca="1"/>
        <v>3078.3999999999996</v>
      </c>
      <c r="BI73">
        <f ca="1"/>
        <v>3123.2</v>
      </c>
      <c r="BJ73">
        <f ca="1"/>
        <v>3166.3999999999996</v>
      </c>
      <c r="BK73">
        <f ca="1"/>
        <v>3062.4</v>
      </c>
      <c r="BL73">
        <f ca="1"/>
        <v>3063.2</v>
      </c>
      <c r="BM73">
        <f ca="1"/>
        <v>3025.6</v>
      </c>
      <c r="BN73">
        <f ca="1"/>
        <v>3062.4</v>
      </c>
      <c r="BO73">
        <f ca="1"/>
        <v>2917.6</v>
      </c>
      <c r="BP73">
        <f ca="1"/>
        <v>2904.8</v>
      </c>
      <c r="BQ73">
        <f ca="1"/>
        <v>2896</v>
      </c>
      <c r="BR73">
        <f ca="1"/>
        <v>2961.6000000000004</v>
      </c>
      <c r="BS73">
        <f ca="1"/>
        <v>3042.4</v>
      </c>
      <c r="BT73">
        <f ca="1"/>
        <v>3058.3999999999996</v>
      </c>
      <c r="BU73">
        <f ca="1"/>
        <v>3037.6</v>
      </c>
      <c r="BV73">
        <f ca="1"/>
        <v>2996</v>
      </c>
      <c r="BW73">
        <f ca="1"/>
        <v>3013.6000000000004</v>
      </c>
      <c r="BX73">
        <f ca="1"/>
        <v>3117.6</v>
      </c>
      <c r="BY73">
        <f ca="1"/>
        <v>2972</v>
      </c>
      <c r="BZ73">
        <f ca="1"/>
        <v>3004.8</v>
      </c>
      <c r="CA73">
        <f ca="1"/>
        <v>3014.4</v>
      </c>
      <c r="CB73">
        <f ca="1"/>
        <v>2985.6</v>
      </c>
      <c r="CC73">
        <f ca="1"/>
        <v>2940</v>
      </c>
      <c r="CD73">
        <f ca="1"/>
        <v>3006.3999999999996</v>
      </c>
      <c r="CE73">
        <f ca="1"/>
        <v>3024</v>
      </c>
      <c r="CF73">
        <f ca="1"/>
        <v>3016.8</v>
      </c>
      <c r="CG73">
        <f ca="1"/>
        <v>3057.6</v>
      </c>
      <c r="CH73">
        <f ca="1"/>
        <v>3130.4</v>
      </c>
      <c r="CI73">
        <f ca="1"/>
        <v>3138.3999999999996</v>
      </c>
      <c r="CJ73">
        <f ca="1"/>
        <v>3148.8</v>
      </c>
      <c r="CK73">
        <f ca="1"/>
        <v>3125.6</v>
      </c>
      <c r="CL73">
        <f ca="1"/>
        <v>3169.6</v>
      </c>
      <c r="CM73">
        <f ca="1"/>
        <v>3205.6</v>
      </c>
      <c r="CN73">
        <f ca="1"/>
        <v>3206.3999999999996</v>
      </c>
      <c r="CO73">
        <f ca="1"/>
        <v>3215.2</v>
      </c>
      <c r="CP73">
        <f ca="1"/>
        <v>3171.2</v>
      </c>
      <c r="CQ73">
        <f ca="1"/>
        <v>3186.3999999999996</v>
      </c>
      <c r="CR73">
        <f ca="1"/>
        <v>3192.7999999999997</v>
      </c>
      <c r="CS73">
        <f ca="1"/>
        <v>3155.2</v>
      </c>
      <c r="CT73">
        <f ca="1"/>
        <v>3173.6000000000004</v>
      </c>
      <c r="CU73">
        <f ca="1"/>
        <v>3116.8</v>
      </c>
      <c r="CV73">
        <f ca="1"/>
        <v>3148.8</v>
      </c>
      <c r="CW73">
        <f ca="1"/>
        <v>3168.8</v>
      </c>
      <c r="CX73">
        <f ca="1"/>
        <v>3240</v>
      </c>
      <c r="CY73">
        <f ca="1"/>
        <v>3204</v>
      </c>
      <c r="CZ73">
        <f ca="1"/>
        <v>3262.4</v>
      </c>
      <c r="DA73">
        <f ca="1"/>
        <v>3240</v>
      </c>
      <c r="DB73">
        <f ca="1"/>
        <v>3318.3999999999996</v>
      </c>
      <c r="DC73">
        <f ca="1"/>
        <v>3266.3999999999996</v>
      </c>
      <c r="DD73">
        <f ca="1"/>
        <v>3224</v>
      </c>
      <c r="DE73">
        <f ca="1"/>
        <v>3204</v>
      </c>
      <c r="DF73">
        <f ca="1"/>
        <v>3228.8</v>
      </c>
      <c r="DG73">
        <f ca="1"/>
        <v>3224</v>
      </c>
      <c r="DH73">
        <f ca="1"/>
        <v>3253.6000000000004</v>
      </c>
      <c r="DI73">
        <f ca="1"/>
        <v>3272.7999999999997</v>
      </c>
      <c r="DJ73">
        <f ca="1"/>
        <v>3241.6000000000004</v>
      </c>
      <c r="DK73">
        <f ca="1"/>
        <v>3214.4</v>
      </c>
      <c r="DL73">
        <f ca="1"/>
        <v>3161.6000000000004</v>
      </c>
      <c r="DM73">
        <f ca="1"/>
        <v>3188</v>
      </c>
      <c r="DN73">
        <f ca="1"/>
        <v>3288</v>
      </c>
      <c r="DO73">
        <f ca="1"/>
        <v>3452.7999999999997</v>
      </c>
      <c r="DP73">
        <f ca="1"/>
        <v>3640.7999999999997</v>
      </c>
      <c r="DQ73">
        <f ca="1"/>
        <v>3495.2</v>
      </c>
      <c r="DR73">
        <f ca="1"/>
        <v>3468</v>
      </c>
      <c r="DS73">
        <f ca="1"/>
        <v>3476</v>
      </c>
      <c r="DT73">
        <f ca="1"/>
        <v>3480</v>
      </c>
      <c r="DU73">
        <f ca="1"/>
        <v>3468</v>
      </c>
      <c r="DV73">
        <f ca="1"/>
        <v>3475.2</v>
      </c>
      <c r="DW73">
        <f ca="1"/>
        <v>3483.2</v>
      </c>
      <c r="DX73">
        <f ca="1"/>
        <v>3495.2</v>
      </c>
      <c r="DY73">
        <f ca="1"/>
        <v>3532</v>
      </c>
      <c r="DZ73">
        <f ca="1"/>
        <v>3502.4</v>
      </c>
      <c r="EA73">
        <f ca="1"/>
        <v>3501.6000000000004</v>
      </c>
      <c r="EB73">
        <f ca="1"/>
        <v>3512.7999999999997</v>
      </c>
      <c r="EC73">
        <f ca="1"/>
        <v>3529.6</v>
      </c>
      <c r="ED73">
        <f ca="1"/>
        <v>3515.2</v>
      </c>
      <c r="EE73">
        <f ca="1"/>
        <v>3540.7999999999997</v>
      </c>
      <c r="EF73">
        <f ca="1"/>
        <v>3643.2</v>
      </c>
      <c r="EG73">
        <f ca="1"/>
        <v>3459.2000000000003</v>
      </c>
      <c r="EH73">
        <f ca="1"/>
        <v>3504</v>
      </c>
      <c r="EI73">
        <f ca="1"/>
        <v>3496</v>
      </c>
      <c r="EJ73">
        <f ca="1"/>
        <v>3674.4</v>
      </c>
      <c r="EK73">
        <f ca="1"/>
        <v>3755.2</v>
      </c>
      <c r="EL73">
        <f ca="1"/>
        <v>3748.8</v>
      </c>
      <c r="EM73">
        <f ca="1"/>
        <v>3708</v>
      </c>
      <c r="EN73">
        <f ca="1"/>
        <v>3745.6</v>
      </c>
      <c r="EO73">
        <f ca="1"/>
        <v>3735.2</v>
      </c>
      <c r="EP73">
        <f ca="1"/>
        <v>3768</v>
      </c>
      <c r="EQ73">
        <f ca="1"/>
        <v>3730.4</v>
      </c>
      <c r="ER73">
        <f ca="1"/>
        <v>3788.8</v>
      </c>
      <c r="ES73">
        <f ca="1"/>
        <v>3872.7999999999997</v>
      </c>
      <c r="ET73">
        <f ca="1"/>
        <v>3845.6</v>
      </c>
      <c r="EU73">
        <f ca="1"/>
        <v>3851.2</v>
      </c>
      <c r="EV73">
        <f ca="1"/>
        <v>3774.4</v>
      </c>
      <c r="EW73">
        <f ca="1"/>
        <v>3802.4</v>
      </c>
      <c r="EX73">
        <f ca="1"/>
        <v>3789.6</v>
      </c>
      <c r="EY73">
        <f ca="1"/>
        <v>3707.2000000000003</v>
      </c>
      <c r="EZ73">
        <f ca="1"/>
        <v>3688.8</v>
      </c>
      <c r="FA73">
        <f ca="1"/>
        <v>3775.2</v>
      </c>
      <c r="FB73">
        <f ca="1"/>
        <v>3759.2000000000003</v>
      </c>
      <c r="FC73">
        <f ca="1"/>
        <v>3804</v>
      </c>
      <c r="FD73">
        <f ca="1"/>
        <v>3841.6000000000004</v>
      </c>
      <c r="FE73">
        <f ca="1"/>
        <v>3828.8</v>
      </c>
      <c r="FF73">
        <f ca="1"/>
        <v>3775.2</v>
      </c>
      <c r="FG73">
        <f ca="1"/>
        <v>3861.6000000000004</v>
      </c>
      <c r="FH73">
        <f ca="1"/>
        <v>3917.6</v>
      </c>
      <c r="FI73">
        <f ca="1"/>
        <v>3885.6</v>
      </c>
      <c r="FJ73">
        <f ca="1"/>
        <v>3872.7999999999997</v>
      </c>
      <c r="FK73">
        <f ca="1"/>
        <v>3877.6</v>
      </c>
      <c r="FL73">
        <f ca="1"/>
        <v>3781.6000000000004</v>
      </c>
      <c r="FM73">
        <f ca="1"/>
        <v>3872.7999999999997</v>
      </c>
      <c r="FN73">
        <f ca="1"/>
        <v>3910.4</v>
      </c>
      <c r="FO73">
        <f ca="1"/>
        <v>3904.8</v>
      </c>
      <c r="FP73">
        <f ca="1"/>
        <v>3939.2000000000003</v>
      </c>
      <c r="FQ73">
        <f ca="1"/>
        <v>3902.4</v>
      </c>
      <c r="FR73">
        <f ca="1"/>
        <v>3896.8</v>
      </c>
      <c r="FS73">
        <f ca="1"/>
        <v>3863.2</v>
      </c>
      <c r="FT73">
        <f ca="1"/>
        <v>3888.8</v>
      </c>
      <c r="FU73">
        <f ca="1"/>
        <v>3887.2000000000003</v>
      </c>
      <c r="FV73">
        <f ca="1"/>
        <v>3908</v>
      </c>
      <c r="FW73">
        <f ca="1"/>
        <v>3916.8</v>
      </c>
      <c r="FX73">
        <f ca="1"/>
        <v>3926.3999999999996</v>
      </c>
      <c r="FY73">
        <f ca="1"/>
        <v>3928.8</v>
      </c>
      <c r="FZ73">
        <f ca="1"/>
        <v>3944</v>
      </c>
      <c r="GA73">
        <f ca="1"/>
        <v>3923.2</v>
      </c>
      <c r="GB73">
        <f ca="1"/>
        <v>3970.4</v>
      </c>
      <c r="GC73">
        <f ca="1"/>
        <v>3921.6000000000004</v>
      </c>
      <c r="GD73">
        <f ca="1"/>
        <v>4044.8</v>
      </c>
      <c r="GE73">
        <f ca="1"/>
        <v>4049.6</v>
      </c>
      <c r="GF73">
        <f ca="1"/>
        <v>4017.6</v>
      </c>
      <c r="GG73">
        <f ca="1"/>
        <v>4031.2</v>
      </c>
      <c r="GH73">
        <f ca="1"/>
        <v>4031.2</v>
      </c>
      <c r="GI73">
        <f ca="1"/>
        <v>3992</v>
      </c>
      <c r="GJ73">
        <f ca="1"/>
        <v>4063.2</v>
      </c>
      <c r="GK73">
        <f ca="1"/>
        <v>3929.6</v>
      </c>
      <c r="GL73">
        <f ca="1"/>
        <v>3857.6</v>
      </c>
      <c r="GM73">
        <f ca="1"/>
        <v>3812</v>
      </c>
      <c r="GN73">
        <f ca="1"/>
        <v>3845.6</v>
      </c>
      <c r="GO73">
        <f ca="1"/>
        <v>3892</v>
      </c>
      <c r="GP73">
        <f ca="1"/>
        <v>3932</v>
      </c>
      <c r="GQ73">
        <f ca="1"/>
        <v>4025.6</v>
      </c>
      <c r="GR73">
        <f ca="1"/>
        <v>4064</v>
      </c>
      <c r="GS73">
        <f ca="1"/>
        <v>4008</v>
      </c>
      <c r="GT73">
        <f ca="1"/>
        <v>4052.7999999999997</v>
      </c>
      <c r="GU73">
        <f ca="1"/>
        <v>4128</v>
      </c>
      <c r="GV73">
        <f ca="1"/>
        <v>4197.6000000000004</v>
      </c>
      <c r="GW73">
        <f ca="1"/>
        <v>4267.2000000000007</v>
      </c>
      <c r="GX73">
        <f ca="1"/>
        <v>4578.3999999999996</v>
      </c>
      <c r="GY73">
        <f ca="1"/>
        <v>4733.6000000000004</v>
      </c>
      <c r="GZ73">
        <f ca="1"/>
        <v>4818.3999999999996</v>
      </c>
      <c r="HA73">
        <f ca="1"/>
        <v>4720.8</v>
      </c>
      <c r="HB73">
        <f ca="1"/>
        <v>4705.6000000000004</v>
      </c>
      <c r="HC73">
        <f ca="1"/>
        <v>4679.2</v>
      </c>
      <c r="HD73">
        <f ca="1"/>
        <v>4683.2</v>
      </c>
      <c r="HE73">
        <f ca="1"/>
        <v>4714.3999999999996</v>
      </c>
      <c r="HF73">
        <f ca="1"/>
        <v>4869.5999999999995</v>
      </c>
      <c r="HG73">
        <f ca="1"/>
        <v>4894.3999999999996</v>
      </c>
      <c r="HH73">
        <f ca="1"/>
        <v>4868</v>
      </c>
      <c r="HI73">
        <f ca="1"/>
        <v>4761.6000000000004</v>
      </c>
      <c r="HJ73">
        <f ca="1"/>
        <v>4740.8</v>
      </c>
      <c r="HK73">
        <f ca="1"/>
        <v>4729.5999999999995</v>
      </c>
      <c r="HL73">
        <f ca="1"/>
        <v>4763.2</v>
      </c>
      <c r="HM73">
        <f ca="1"/>
        <v>4645.6000000000004</v>
      </c>
      <c r="HN73">
        <f ca="1"/>
        <v>4730.4000000000005</v>
      </c>
      <c r="HO73">
        <f ca="1"/>
        <v>4663.2</v>
      </c>
      <c r="HP73">
        <f ca="1"/>
        <v>4565.6000000000004</v>
      </c>
      <c r="HQ73">
        <f ca="1"/>
        <v>4546.3999999999996</v>
      </c>
      <c r="HR73">
        <f ca="1"/>
        <v>4421.6000000000004</v>
      </c>
      <c r="HS73">
        <f ca="1"/>
        <v>4360.8</v>
      </c>
      <c r="HT73">
        <f ca="1"/>
        <v>4440.8</v>
      </c>
      <c r="HU73">
        <f ca="1"/>
        <v>4425.6000000000004</v>
      </c>
      <c r="HV73">
        <f ca="1"/>
        <v>4412</v>
      </c>
      <c r="HW73">
        <f ca="1"/>
        <v>4342.3999999999996</v>
      </c>
      <c r="HX73">
        <f ca="1"/>
        <v>4271.2</v>
      </c>
      <c r="HY73">
        <f ca="1"/>
        <v>4301.6000000000004</v>
      </c>
      <c r="HZ73">
        <f ca="1"/>
        <v>4272.7999999999993</v>
      </c>
      <c r="IA73">
        <f ca="1"/>
        <v>4164.8</v>
      </c>
      <c r="IB73">
        <f ca="1"/>
        <v>4189.5999999999995</v>
      </c>
      <c r="IC73">
        <f ca="1"/>
        <v>4147.2000000000007</v>
      </c>
      <c r="ID73">
        <f ca="1"/>
        <v>4159.2</v>
      </c>
      <c r="IE73">
        <f ca="1"/>
        <v>4236</v>
      </c>
      <c r="IF73">
        <f ca="1"/>
        <v>4376</v>
      </c>
      <c r="IG73">
        <f ca="1"/>
        <v>4315.2</v>
      </c>
      <c r="IH73">
        <f ca="1"/>
        <v>4307.2000000000007</v>
      </c>
      <c r="II73">
        <f ca="1"/>
        <v>4338.3999999999996</v>
      </c>
      <c r="IJ73">
        <f ca="1"/>
        <v>4415.2</v>
      </c>
      <c r="IK73">
        <f ca="1"/>
        <v>4479.2</v>
      </c>
      <c r="IL73">
        <f ca="1"/>
        <v>4535.2</v>
      </c>
      <c r="IM73">
        <f ca="1"/>
        <v>4509.5999999999995</v>
      </c>
      <c r="IN73">
        <f ca="1"/>
        <v>4467.2000000000007</v>
      </c>
      <c r="IO73">
        <f ca="1"/>
        <v>4589.5999999999995</v>
      </c>
      <c r="IP73">
        <f ca="1"/>
        <v>4668.8</v>
      </c>
      <c r="IQ73">
        <f ca="1"/>
        <v>4656.8</v>
      </c>
      <c r="IR73">
        <f ca="1"/>
        <v>4715.2</v>
      </c>
      <c r="IS73">
        <f ca="1"/>
        <v>4734.3999999999996</v>
      </c>
      <c r="IT73">
        <f ca="1"/>
        <v>4624.8</v>
      </c>
      <c r="IU73">
        <f ca="1"/>
        <v>4570.4000000000005</v>
      </c>
      <c r="IV73">
        <f ca="1"/>
        <v>4668</v>
      </c>
      <c r="IW73">
        <f ca="1"/>
        <v>4588</v>
      </c>
    </row>
    <row r="74" spans="2:257" x14ac:dyDescent="0.25">
      <c r="B74" t="str">
        <f t="shared" si="641"/>
        <v>20K6HU7</v>
      </c>
      <c r="C74" t="s">
        <v>162</v>
      </c>
      <c r="D74" t="e" vm="535">
        <v>#VALUE!</v>
      </c>
      <c r="E74" t="str" cm="1">
        <f t="array" aca="1" ref="E74" ca="1">_FV(D74,"Code mnémonique",TRUE)</f>
        <v>HLN</v>
      </c>
      <c r="F74" s="12">
        <f>_xlfn.XLOOKUP(D74,Titres[Action],Titres[Nb d''actions])</f>
        <v>100</v>
      </c>
      <c r="G74" cm="1">
        <f t="array" aca="1" ref="G74:IW74" ca="1">IFERROR(TRANSPOSE(_xlfn.STOCKHISTORY(D74,TODAY()-365,TODAY(),0,0,1))*F74,"")</f>
        <v>1019</v>
      </c>
      <c r="H74">
        <f ca="1"/>
        <v>1045</v>
      </c>
      <c r="I74">
        <f ca="1"/>
        <v>1023</v>
      </c>
      <c r="J74">
        <f ca="1"/>
        <v>1031</v>
      </c>
      <c r="K74">
        <f ca="1"/>
        <v>1018</v>
      </c>
      <c r="L74">
        <f ca="1"/>
        <v>1023</v>
      </c>
      <c r="M74">
        <f ca="1"/>
        <v>1028</v>
      </c>
      <c r="N74">
        <f ca="1"/>
        <v>1015</v>
      </c>
      <c r="O74">
        <f ca="1"/>
        <v>1033</v>
      </c>
      <c r="P74">
        <f ca="1"/>
        <v>1070</v>
      </c>
      <c r="Q74">
        <f ca="1"/>
        <v>1063</v>
      </c>
      <c r="R74">
        <f ca="1"/>
        <v>1067</v>
      </c>
      <c r="S74">
        <f ca="1"/>
        <v>1076</v>
      </c>
      <c r="T74">
        <f ca="1"/>
        <v>1057</v>
      </c>
      <c r="U74">
        <f ca="1"/>
        <v>1074</v>
      </c>
      <c r="V74">
        <f ca="1"/>
        <v>1071</v>
      </c>
      <c r="W74">
        <f ca="1"/>
        <v>1045</v>
      </c>
      <c r="X74">
        <f ca="1"/>
        <v>1040</v>
      </c>
      <c r="Y74">
        <f ca="1"/>
        <v>1067</v>
      </c>
      <c r="Z74">
        <f ca="1"/>
        <v>1080</v>
      </c>
      <c r="AA74">
        <f ca="1"/>
        <v>1088</v>
      </c>
      <c r="AB74">
        <f ca="1"/>
        <v>1102</v>
      </c>
      <c r="AC74">
        <f ca="1"/>
        <v>1110</v>
      </c>
      <c r="AD74">
        <f ca="1"/>
        <v>1106</v>
      </c>
      <c r="AE74">
        <f ca="1"/>
        <v>1114</v>
      </c>
      <c r="AF74">
        <f ca="1"/>
        <v>1123</v>
      </c>
      <c r="AG74">
        <f ca="1"/>
        <v>1125</v>
      </c>
      <c r="AH74">
        <f ca="1"/>
        <v>1133</v>
      </c>
      <c r="AI74">
        <f ca="1"/>
        <v>1135</v>
      </c>
      <c r="AJ74">
        <f ca="1"/>
        <v>1141</v>
      </c>
      <c r="AK74">
        <f ca="1"/>
        <v>1105</v>
      </c>
      <c r="AL74">
        <f ca="1"/>
        <v>1093</v>
      </c>
      <c r="AM74">
        <f ca="1"/>
        <v>1112</v>
      </c>
      <c r="AN74">
        <f ca="1"/>
        <v>1107</v>
      </c>
      <c r="AO74">
        <f ca="1"/>
        <v>1088</v>
      </c>
      <c r="AP74">
        <f ca="1"/>
        <v>1089</v>
      </c>
      <c r="AQ74">
        <f ca="1"/>
        <v>1091</v>
      </c>
      <c r="AR74">
        <f ca="1"/>
        <v>1101</v>
      </c>
      <c r="AS74">
        <f ca="1"/>
        <v>1087</v>
      </c>
      <c r="AT74">
        <f ca="1"/>
        <v>1072</v>
      </c>
      <c r="AU74">
        <f ca="1"/>
        <v>1050</v>
      </c>
      <c r="AV74">
        <f ca="1"/>
        <v>1045</v>
      </c>
      <c r="AW74">
        <f ca="1"/>
        <v>1041</v>
      </c>
      <c r="AX74">
        <f ca="1"/>
        <v>1049</v>
      </c>
      <c r="AY74">
        <f ca="1"/>
        <v>1049</v>
      </c>
      <c r="AZ74">
        <f ca="1"/>
        <v>1050</v>
      </c>
      <c r="BA74">
        <f ca="1"/>
        <v>1042</v>
      </c>
      <c r="BB74">
        <f ca="1"/>
        <v>1038</v>
      </c>
      <c r="BC74">
        <f ca="1"/>
        <v>1037</v>
      </c>
      <c r="BD74">
        <f ca="1"/>
        <v>1035</v>
      </c>
      <c r="BE74">
        <f ca="1"/>
        <v>1026</v>
      </c>
      <c r="BF74">
        <f ca="1"/>
        <v>1025</v>
      </c>
      <c r="BG74">
        <f ca="1"/>
        <v>1015</v>
      </c>
      <c r="BH74">
        <f ca="1"/>
        <v>1005.0000000000001</v>
      </c>
      <c r="BI74">
        <f ca="1"/>
        <v>1005.0000000000001</v>
      </c>
      <c r="BJ74">
        <f ca="1"/>
        <v>1011</v>
      </c>
      <c r="BK74">
        <f ca="1"/>
        <v>996.00000000000011</v>
      </c>
      <c r="BL74">
        <f ca="1"/>
        <v>990</v>
      </c>
      <c r="BM74">
        <f ca="1"/>
        <v>973</v>
      </c>
      <c r="BN74">
        <f ca="1"/>
        <v>969</v>
      </c>
      <c r="BO74">
        <f ca="1"/>
        <v>959</v>
      </c>
      <c r="BP74">
        <f ca="1"/>
        <v>960</v>
      </c>
      <c r="BQ74">
        <f ca="1"/>
        <v>952.99999999999989</v>
      </c>
      <c r="BR74">
        <f ca="1"/>
        <v>965</v>
      </c>
      <c r="BS74">
        <f ca="1"/>
        <v>975</v>
      </c>
      <c r="BT74">
        <f ca="1"/>
        <v>985</v>
      </c>
      <c r="BU74">
        <f ca="1"/>
        <v>988.00000000000011</v>
      </c>
      <c r="BV74">
        <f ca="1"/>
        <v>969.99999999999989</v>
      </c>
      <c r="BW74">
        <f ca="1"/>
        <v>981</v>
      </c>
      <c r="BX74">
        <f ca="1"/>
        <v>964</v>
      </c>
      <c r="BY74">
        <f ca="1"/>
        <v>943</v>
      </c>
      <c r="BZ74">
        <f ca="1"/>
        <v>966</v>
      </c>
      <c r="CA74">
        <f ca="1"/>
        <v>951</v>
      </c>
      <c r="CB74">
        <f ca="1"/>
        <v>928.99999999999989</v>
      </c>
      <c r="CC74">
        <f ca="1"/>
        <v>925</v>
      </c>
      <c r="CD74">
        <f ca="1"/>
        <v>946.00000000000011</v>
      </c>
      <c r="CE74">
        <f ca="1"/>
        <v>953.99999999999989</v>
      </c>
      <c r="CF74">
        <f ca="1"/>
        <v>947.00000000000011</v>
      </c>
      <c r="CG74">
        <f ca="1"/>
        <v>958</v>
      </c>
      <c r="CH74">
        <f ca="1"/>
        <v>969</v>
      </c>
      <c r="CI74">
        <f ca="1"/>
        <v>969.99999999999989</v>
      </c>
      <c r="CJ74">
        <f ca="1"/>
        <v>965</v>
      </c>
      <c r="CK74">
        <f ca="1"/>
        <v>968</v>
      </c>
      <c r="CL74">
        <f ca="1"/>
        <v>974</v>
      </c>
      <c r="CM74">
        <f ca="1"/>
        <v>991</v>
      </c>
      <c r="CN74">
        <f ca="1"/>
        <v>981</v>
      </c>
      <c r="CO74">
        <f ca="1"/>
        <v>982</v>
      </c>
      <c r="CP74">
        <f ca="1"/>
        <v>968</v>
      </c>
      <c r="CQ74">
        <f ca="1"/>
        <v>963.00000000000011</v>
      </c>
      <c r="CR74">
        <f ca="1"/>
        <v>971.00000000000011</v>
      </c>
      <c r="CS74">
        <f ca="1"/>
        <v>969</v>
      </c>
      <c r="CT74">
        <f ca="1"/>
        <v>980.00000000000011</v>
      </c>
      <c r="CU74">
        <f ca="1"/>
        <v>976</v>
      </c>
      <c r="CV74">
        <f ca="1"/>
        <v>989</v>
      </c>
      <c r="CW74">
        <f ca="1"/>
        <v>984</v>
      </c>
      <c r="CX74">
        <f ca="1"/>
        <v>980.00000000000011</v>
      </c>
      <c r="CY74">
        <f ca="1"/>
        <v>974</v>
      </c>
      <c r="CZ74">
        <f ca="1"/>
        <v>975</v>
      </c>
      <c r="DA74">
        <f ca="1"/>
        <v>983</v>
      </c>
      <c r="DB74">
        <f ca="1"/>
        <v>986.99999999999989</v>
      </c>
      <c r="DC74">
        <f ca="1"/>
        <v>981</v>
      </c>
      <c r="DD74">
        <f ca="1"/>
        <v>968</v>
      </c>
      <c r="DE74">
        <f ca="1"/>
        <v>927.99999999999989</v>
      </c>
      <c r="DF74">
        <f ca="1"/>
        <v>940</v>
      </c>
      <c r="DG74">
        <f ca="1"/>
        <v>924</v>
      </c>
      <c r="DH74">
        <f ca="1"/>
        <v>916</v>
      </c>
      <c r="DI74">
        <f ca="1"/>
        <v>900</v>
      </c>
      <c r="DJ74">
        <f ca="1"/>
        <v>893</v>
      </c>
      <c r="DK74">
        <f ca="1"/>
        <v>886.99999999999989</v>
      </c>
      <c r="DL74">
        <f ca="1"/>
        <v>872.00000000000011</v>
      </c>
      <c r="DM74">
        <f ca="1"/>
        <v>882</v>
      </c>
      <c r="DN74">
        <f ca="1"/>
        <v>884</v>
      </c>
      <c r="DO74">
        <f ca="1"/>
        <v>897.00000000000011</v>
      </c>
      <c r="DP74">
        <f ca="1"/>
        <v>901</v>
      </c>
      <c r="DQ74">
        <f ca="1"/>
        <v>888.00000000000011</v>
      </c>
      <c r="DR74">
        <f ca="1"/>
        <v>894.99999999999989</v>
      </c>
      <c r="DS74">
        <f ca="1"/>
        <v>878.99999999999989</v>
      </c>
      <c r="DT74">
        <f ca="1"/>
        <v>882</v>
      </c>
      <c r="DU74">
        <f ca="1"/>
        <v>903.99999999999989</v>
      </c>
      <c r="DV74">
        <f ca="1"/>
        <v>902</v>
      </c>
      <c r="DW74">
        <f ca="1"/>
        <v>900</v>
      </c>
      <c r="DX74">
        <f ca="1"/>
        <v>908</v>
      </c>
      <c r="DY74">
        <f ca="1"/>
        <v>917</v>
      </c>
      <c r="DZ74">
        <f ca="1"/>
        <v>919</v>
      </c>
      <c r="EA74">
        <f ca="1"/>
        <v>919.99999999999989</v>
      </c>
      <c r="EB74">
        <f ca="1"/>
        <v>948</v>
      </c>
      <c r="EC74">
        <f ca="1"/>
        <v>941</v>
      </c>
      <c r="ED74">
        <f ca="1"/>
        <v>933</v>
      </c>
      <c r="EE74">
        <f ca="1"/>
        <v>944.99999999999989</v>
      </c>
      <c r="EF74">
        <f ca="1"/>
        <v>936.99999999999989</v>
      </c>
      <c r="EG74">
        <f ca="1"/>
        <v>925</v>
      </c>
      <c r="EH74">
        <f ca="1"/>
        <v>919.99999999999989</v>
      </c>
      <c r="EI74">
        <f ca="1"/>
        <v>911.99999999999989</v>
      </c>
      <c r="EJ74">
        <f ca="1"/>
        <v>905.00000000000011</v>
      </c>
      <c r="EK74">
        <f ca="1"/>
        <v>918</v>
      </c>
      <c r="EL74">
        <f ca="1"/>
        <v>927</v>
      </c>
      <c r="EM74">
        <f ca="1"/>
        <v>938.00000000000011</v>
      </c>
      <c r="EN74">
        <f ca="1"/>
        <v>932</v>
      </c>
      <c r="EO74">
        <f ca="1"/>
        <v>931</v>
      </c>
      <c r="EP74">
        <f ca="1"/>
        <v>941</v>
      </c>
      <c r="EQ74">
        <f ca="1"/>
        <v>946.00000000000011</v>
      </c>
      <c r="ER74">
        <f ca="1"/>
        <v>957</v>
      </c>
      <c r="ES74">
        <f ca="1"/>
        <v>985</v>
      </c>
      <c r="ET74">
        <f ca="1"/>
        <v>988.00000000000011</v>
      </c>
      <c r="EU74">
        <f ca="1"/>
        <v>990</v>
      </c>
      <c r="EV74">
        <f ca="1"/>
        <v>959</v>
      </c>
      <c r="EW74">
        <f ca="1"/>
        <v>968</v>
      </c>
      <c r="EX74">
        <f ca="1"/>
        <v>961</v>
      </c>
      <c r="EY74">
        <f ca="1"/>
        <v>951</v>
      </c>
      <c r="EZ74">
        <f ca="1"/>
        <v>960</v>
      </c>
      <c r="FA74">
        <f ca="1"/>
        <v>986.99999999999989</v>
      </c>
      <c r="FB74">
        <f ca="1"/>
        <v>967</v>
      </c>
      <c r="FC74">
        <f ca="1"/>
        <v>982</v>
      </c>
      <c r="FD74">
        <f ca="1"/>
        <v>976</v>
      </c>
      <c r="FE74">
        <f ca="1"/>
        <v>977.99999999999989</v>
      </c>
      <c r="FF74">
        <f ca="1"/>
        <v>980.00000000000011</v>
      </c>
      <c r="FG74">
        <f ca="1"/>
        <v>967</v>
      </c>
      <c r="FH74">
        <f ca="1"/>
        <v>951</v>
      </c>
      <c r="FI74">
        <f ca="1"/>
        <v>952.99999999999989</v>
      </c>
      <c r="FJ74">
        <f ca="1"/>
        <v>952</v>
      </c>
      <c r="FK74">
        <f ca="1"/>
        <v>940</v>
      </c>
      <c r="FL74">
        <f ca="1"/>
        <v>931</v>
      </c>
      <c r="FM74">
        <f ca="1"/>
        <v>946.00000000000011</v>
      </c>
      <c r="FN74">
        <f ca="1"/>
        <v>959</v>
      </c>
      <c r="FO74">
        <f ca="1"/>
        <v>952</v>
      </c>
      <c r="FP74">
        <f ca="1"/>
        <v>983</v>
      </c>
      <c r="FQ74">
        <f ca="1"/>
        <v>985</v>
      </c>
      <c r="FR74">
        <f ca="1"/>
        <v>982</v>
      </c>
      <c r="FS74">
        <f ca="1"/>
        <v>984</v>
      </c>
      <c r="FT74">
        <f ca="1"/>
        <v>990</v>
      </c>
      <c r="FU74">
        <f ca="1"/>
        <v>997.00000000000011</v>
      </c>
      <c r="FV74">
        <f ca="1"/>
        <v>1011</v>
      </c>
      <c r="FW74">
        <f ca="1"/>
        <v>1010</v>
      </c>
      <c r="FX74">
        <f ca="1"/>
        <v>1013.0000000000001</v>
      </c>
      <c r="FY74">
        <f ca="1"/>
        <v>1009</v>
      </c>
      <c r="FZ74">
        <f ca="1"/>
        <v>1008</v>
      </c>
      <c r="GA74">
        <f ca="1"/>
        <v>1011</v>
      </c>
      <c r="GB74">
        <f ca="1"/>
        <v>1000</v>
      </c>
      <c r="GC74">
        <f ca="1"/>
        <v>1011</v>
      </c>
      <c r="GD74">
        <f ca="1"/>
        <v>1027</v>
      </c>
      <c r="GE74">
        <f ca="1"/>
        <v>1005.0000000000001</v>
      </c>
      <c r="GF74">
        <f ca="1"/>
        <v>1003.9999999999999</v>
      </c>
      <c r="GG74">
        <f ca="1"/>
        <v>991</v>
      </c>
      <c r="GH74">
        <f ca="1"/>
        <v>978.99999999999989</v>
      </c>
      <c r="GI74">
        <f ca="1"/>
        <v>982</v>
      </c>
      <c r="GJ74">
        <f ca="1"/>
        <v>994.99999999999989</v>
      </c>
      <c r="GK74">
        <f ca="1"/>
        <v>977</v>
      </c>
      <c r="GL74">
        <f ca="1"/>
        <v>983</v>
      </c>
      <c r="GM74">
        <f ca="1"/>
        <v>1013.0000000000001</v>
      </c>
      <c r="GN74">
        <f ca="1"/>
        <v>1024</v>
      </c>
      <c r="GO74">
        <f ca="1"/>
        <v>1033</v>
      </c>
      <c r="GP74">
        <f ca="1"/>
        <v>1046</v>
      </c>
      <c r="GQ74">
        <f ca="1"/>
        <v>1037</v>
      </c>
      <c r="GR74">
        <f ca="1"/>
        <v>1042</v>
      </c>
      <c r="GS74">
        <f ca="1"/>
        <v>1031</v>
      </c>
      <c r="GT74">
        <f ca="1"/>
        <v>1030</v>
      </c>
      <c r="GU74">
        <f ca="1"/>
        <v>1047</v>
      </c>
      <c r="GV74">
        <f ca="1"/>
        <v>1056</v>
      </c>
      <c r="GW74">
        <f ca="1"/>
        <v>1049</v>
      </c>
      <c r="GX74">
        <f ca="1"/>
        <v>1078</v>
      </c>
      <c r="GY74">
        <f ca="1"/>
        <v>1086</v>
      </c>
      <c r="GZ74">
        <f ca="1"/>
        <v>1098</v>
      </c>
      <c r="HA74">
        <f ca="1"/>
        <v>1088</v>
      </c>
      <c r="HB74">
        <f ca="1"/>
        <v>1104</v>
      </c>
      <c r="HC74">
        <f ca="1"/>
        <v>1116</v>
      </c>
      <c r="HD74">
        <f ca="1"/>
        <v>1116</v>
      </c>
      <c r="HE74">
        <f ca="1"/>
        <v>1120</v>
      </c>
      <c r="HF74">
        <f ca="1"/>
        <v>1123</v>
      </c>
      <c r="HG74">
        <f ca="1"/>
        <v>1122</v>
      </c>
      <c r="HH74">
        <f ca="1"/>
        <v>1111</v>
      </c>
      <c r="HI74">
        <f ca="1"/>
        <v>1127</v>
      </c>
      <c r="HJ74">
        <f ca="1"/>
        <v>1108</v>
      </c>
      <c r="HK74">
        <f ca="1"/>
        <v>1108</v>
      </c>
      <c r="HL74">
        <f ca="1"/>
        <v>1044</v>
      </c>
      <c r="HM74">
        <f ca="1"/>
        <v>1076</v>
      </c>
      <c r="HN74">
        <f ca="1"/>
        <v>1107</v>
      </c>
      <c r="HO74">
        <f ca="1"/>
        <v>1087</v>
      </c>
      <c r="HP74">
        <f ca="1"/>
        <v>1061</v>
      </c>
      <c r="HQ74">
        <f ca="1"/>
        <v>1047</v>
      </c>
      <c r="HR74">
        <f ca="1"/>
        <v>1033</v>
      </c>
      <c r="HS74">
        <f ca="1"/>
        <v>1028</v>
      </c>
      <c r="HT74">
        <f ca="1"/>
        <v>1026</v>
      </c>
      <c r="HU74">
        <f ca="1"/>
        <v>1017</v>
      </c>
      <c r="HV74">
        <f ca="1"/>
        <v>1000</v>
      </c>
      <c r="HW74">
        <f ca="1"/>
        <v>1007</v>
      </c>
      <c r="HX74">
        <f ca="1"/>
        <v>1002.9999999999999</v>
      </c>
      <c r="HY74">
        <f ca="1"/>
        <v>1046</v>
      </c>
      <c r="HZ74">
        <f ca="1"/>
        <v>1060</v>
      </c>
      <c r="IA74">
        <f ca="1"/>
        <v>1031</v>
      </c>
      <c r="IB74">
        <f ca="1"/>
        <v>1023</v>
      </c>
      <c r="IC74">
        <f ca="1"/>
        <v>1007</v>
      </c>
      <c r="ID74">
        <f ca="1"/>
        <v>993</v>
      </c>
      <c r="IE74">
        <f ca="1"/>
        <v>969.99999999999989</v>
      </c>
      <c r="IF74">
        <f ca="1"/>
        <v>974</v>
      </c>
      <c r="IG74">
        <f ca="1"/>
        <v>975</v>
      </c>
      <c r="IH74">
        <f ca="1"/>
        <v>980.00000000000011</v>
      </c>
      <c r="II74">
        <f ca="1"/>
        <v>1000</v>
      </c>
      <c r="IJ74">
        <f ca="1"/>
        <v>1001</v>
      </c>
      <c r="IK74">
        <f ca="1"/>
        <v>997.00000000000011</v>
      </c>
      <c r="IL74">
        <f ca="1"/>
        <v>993</v>
      </c>
      <c r="IM74">
        <f ca="1"/>
        <v>992</v>
      </c>
      <c r="IN74">
        <f ca="1"/>
        <v>988.00000000000011</v>
      </c>
      <c r="IO74">
        <f ca="1"/>
        <v>997.00000000000011</v>
      </c>
      <c r="IP74">
        <f ca="1"/>
        <v>1001</v>
      </c>
      <c r="IQ74">
        <f ca="1"/>
        <v>984</v>
      </c>
      <c r="IR74">
        <f ca="1"/>
        <v>983</v>
      </c>
      <c r="IS74">
        <f ca="1"/>
        <v>969.99999999999989</v>
      </c>
      <c r="IT74">
        <f ca="1"/>
        <v>966</v>
      </c>
      <c r="IU74">
        <f ca="1"/>
        <v>959</v>
      </c>
      <c r="IV74">
        <f ca="1"/>
        <v>975</v>
      </c>
      <c r="IW74">
        <f ca="1"/>
        <v>968</v>
      </c>
    </row>
    <row r="75" spans="2:257" x14ac:dyDescent="0.25">
      <c r="B75" t="str">
        <f t="shared" si="641"/>
        <v>20K6HU7</v>
      </c>
      <c r="C75" t="s">
        <v>162</v>
      </c>
      <c r="D75" t="e" vm="539">
        <v>#VALUE!</v>
      </c>
      <c r="E75" t="str" cm="1">
        <f t="array" aca="1" ref="E75" ca="1">_FV(D75,"Code mnémonique",TRUE)</f>
        <v>INTC</v>
      </c>
      <c r="F75" s="12">
        <f>_xlfn.XLOOKUP(D75,Titres[Action],Titres[Nb d''actions])</f>
        <v>140</v>
      </c>
      <c r="G75" cm="1">
        <f t="array" aca="1" ref="G75:IW75" ca="1">IFERROR(TRANSPOSE(_xlfn.STOCKHISTORY(D75,TODAY()-365,TODAY(),0,0,1))*F75,"")</f>
        <v>2637.6</v>
      </c>
      <c r="H75">
        <f ca="1"/>
        <v>2731.4</v>
      </c>
      <c r="I75">
        <f ca="1"/>
        <v>2882.6</v>
      </c>
      <c r="J75">
        <f ca="1"/>
        <v>3008.6</v>
      </c>
      <c r="K75">
        <f ca="1"/>
        <v>2807</v>
      </c>
      <c r="L75">
        <f ca="1"/>
        <v>2871.4</v>
      </c>
      <c r="M75">
        <f ca="1"/>
        <v>2847.6</v>
      </c>
      <c r="N75">
        <f ca="1"/>
        <v>2814</v>
      </c>
      <c r="O75">
        <f ca="1"/>
        <v>2797.2000000000003</v>
      </c>
      <c r="P75">
        <f ca="1"/>
        <v>2886.8</v>
      </c>
      <c r="Q75">
        <f ca="1"/>
        <v>2837.7999999999997</v>
      </c>
      <c r="R75">
        <f ca="1"/>
        <v>2791.6000000000004</v>
      </c>
      <c r="S75">
        <f ca="1"/>
        <v>2843.3999999999996</v>
      </c>
      <c r="T75">
        <f ca="1"/>
        <v>2940</v>
      </c>
      <c r="U75">
        <f ca="1"/>
        <v>2998.8</v>
      </c>
      <c r="V75">
        <f ca="1"/>
        <v>3105.2</v>
      </c>
      <c r="W75">
        <f ca="1"/>
        <v>3158.3999999999996</v>
      </c>
      <c r="X75">
        <f ca="1"/>
        <v>3012.7999999999997</v>
      </c>
      <c r="Y75">
        <f ca="1"/>
        <v>3017</v>
      </c>
      <c r="Z75">
        <f ca="1"/>
        <v>3032.4</v>
      </c>
      <c r="AA75">
        <f ca="1"/>
        <v>2993.2</v>
      </c>
      <c r="AB75">
        <f ca="1"/>
        <v>2977.7999999999997</v>
      </c>
      <c r="AC75">
        <f ca="1"/>
        <v>2896.6000000000004</v>
      </c>
      <c r="AD75">
        <f ca="1"/>
        <v>2877</v>
      </c>
      <c r="AE75">
        <f ca="1"/>
        <v>2807</v>
      </c>
      <c r="AF75">
        <f ca="1"/>
        <v>2877</v>
      </c>
      <c r="AG75">
        <f ca="1"/>
        <v>2851.8</v>
      </c>
      <c r="AH75">
        <f ca="1"/>
        <v>2835</v>
      </c>
      <c r="AI75">
        <f ca="1"/>
        <v>2737</v>
      </c>
      <c r="AJ75">
        <f ca="1"/>
        <v>2763.6</v>
      </c>
      <c r="AK75">
        <f ca="1"/>
        <v>2840.6</v>
      </c>
      <c r="AL75">
        <f ca="1"/>
        <v>2835</v>
      </c>
      <c r="AM75">
        <f ca="1"/>
        <v>2798.6</v>
      </c>
      <c r="AN75">
        <f ca="1"/>
        <v>2808.3999999999996</v>
      </c>
      <c r="AO75">
        <f ca="1"/>
        <v>2867.2000000000003</v>
      </c>
      <c r="AP75">
        <f ca="1"/>
        <v>3091.2</v>
      </c>
      <c r="AQ75">
        <f ca="1"/>
        <v>2895.2</v>
      </c>
      <c r="AR75">
        <f ca="1"/>
        <v>2907.7999999999997</v>
      </c>
      <c r="AS75">
        <f ca="1"/>
        <v>2819.6</v>
      </c>
      <c r="AT75">
        <f ca="1"/>
        <v>2903.6</v>
      </c>
      <c r="AU75">
        <f ca="1"/>
        <v>2912</v>
      </c>
      <c r="AV75">
        <f ca="1"/>
        <v>3008.6</v>
      </c>
      <c r="AW75">
        <f ca="1"/>
        <v>2951.2</v>
      </c>
      <c r="AX75">
        <f ca="1"/>
        <v>2966.6000000000004</v>
      </c>
      <c r="AY75">
        <f ca="1"/>
        <v>3157</v>
      </c>
      <c r="AZ75">
        <f ca="1"/>
        <v>3108</v>
      </c>
      <c r="BA75">
        <f ca="1"/>
        <v>3150</v>
      </c>
      <c r="BB75">
        <f ca="1"/>
        <v>3176.6000000000004</v>
      </c>
      <c r="BC75">
        <f ca="1"/>
        <v>3136</v>
      </c>
      <c r="BD75">
        <f ca="1"/>
        <v>3199</v>
      </c>
      <c r="BE75">
        <f ca="1"/>
        <v>3063.2</v>
      </c>
      <c r="BF75">
        <f ca="1"/>
        <v>3148.6</v>
      </c>
      <c r="BG75">
        <f ca="1"/>
        <v>3080</v>
      </c>
      <c r="BH75">
        <f ca="1"/>
        <v>3302.6</v>
      </c>
      <c r="BI75">
        <f ca="1"/>
        <v>3281.6000000000004</v>
      </c>
      <c r="BJ75">
        <f ca="1"/>
        <v>3334.8</v>
      </c>
      <c r="BK75">
        <f ca="1"/>
        <v>3280.2</v>
      </c>
      <c r="BL75">
        <f ca="1"/>
        <v>3262</v>
      </c>
      <c r="BM75">
        <f ca="1"/>
        <v>3208.8</v>
      </c>
      <c r="BN75">
        <f ca="1"/>
        <v>3176.6000000000004</v>
      </c>
      <c r="BO75">
        <f ca="1"/>
        <v>3192</v>
      </c>
      <c r="BP75">
        <f ca="1"/>
        <v>3234</v>
      </c>
      <c r="BQ75">
        <f ca="1"/>
        <v>3256.4</v>
      </c>
      <c r="BR75">
        <f ca="1"/>
        <v>3253.6</v>
      </c>
      <c r="BS75">
        <f ca="1"/>
        <v>3288.6</v>
      </c>
      <c r="BT75">
        <f ca="1"/>
        <v>3168.2</v>
      </c>
      <c r="BU75">
        <f ca="1"/>
        <v>2898</v>
      </c>
      <c r="BV75">
        <f ca="1"/>
        <v>2895.2</v>
      </c>
      <c r="BW75">
        <f ca="1"/>
        <v>2857.4</v>
      </c>
      <c r="BX75">
        <f ca="1"/>
        <v>2847.6</v>
      </c>
      <c r="BY75">
        <f ca="1"/>
        <v>2772</v>
      </c>
      <c r="BZ75">
        <f ca="1"/>
        <v>2703.3999999999996</v>
      </c>
      <c r="CA75">
        <f ca="1"/>
        <v>2730</v>
      </c>
      <c r="CB75">
        <f ca="1"/>
        <v>2826.6000000000004</v>
      </c>
      <c r="CC75">
        <f ca="1"/>
        <v>2857.4</v>
      </c>
      <c r="CD75">
        <f ca="1"/>
        <v>2767.7999999999997</v>
      </c>
      <c r="CE75">
        <f ca="1"/>
        <v>2793</v>
      </c>
      <c r="CF75">
        <f ca="1"/>
        <v>2891</v>
      </c>
      <c r="CG75">
        <f ca="1"/>
        <v>3053.3999999999996</v>
      </c>
      <c r="CH75">
        <f ca="1"/>
        <v>3110.7999999999997</v>
      </c>
      <c r="CI75">
        <f ca="1"/>
        <v>3340.4</v>
      </c>
      <c r="CJ75">
        <f ca="1"/>
        <v>3438.3999999999996</v>
      </c>
      <c r="CK75">
        <f ca="1"/>
        <v>3312.4</v>
      </c>
      <c r="CL75">
        <f ca="1"/>
        <v>3543.3999999999996</v>
      </c>
      <c r="CM75">
        <f ca="1"/>
        <v>3295.6</v>
      </c>
      <c r="CN75">
        <f ca="1"/>
        <v>3290</v>
      </c>
      <c r="CO75">
        <f ca="1"/>
        <v>3472</v>
      </c>
      <c r="CP75">
        <f ca="1"/>
        <v>3437</v>
      </c>
      <c r="CQ75">
        <f ca="1"/>
        <v>3409</v>
      </c>
      <c r="CR75">
        <f ca="1"/>
        <v>3479</v>
      </c>
      <c r="CS75">
        <f ca="1"/>
        <v>3490.2</v>
      </c>
      <c r="CT75">
        <f ca="1"/>
        <v>3409</v>
      </c>
      <c r="CU75">
        <f ca="1"/>
        <v>3389.4</v>
      </c>
      <c r="CV75">
        <f ca="1"/>
        <v>3360</v>
      </c>
      <c r="CW75">
        <f ca="1"/>
        <v>3445.4</v>
      </c>
      <c r="CX75">
        <f ca="1"/>
        <v>3428.6</v>
      </c>
      <c r="CY75">
        <f ca="1"/>
        <v>3427.2000000000003</v>
      </c>
      <c r="CZ75">
        <f ca="1"/>
        <v>3421.6000000000004</v>
      </c>
      <c r="DA75">
        <f ca="1"/>
        <v>3467.7999999999997</v>
      </c>
      <c r="DB75">
        <f ca="1"/>
        <v>3445.4</v>
      </c>
      <c r="DC75">
        <f ca="1"/>
        <v>3371.2</v>
      </c>
      <c r="DD75">
        <f ca="1"/>
        <v>3467.7999999999997</v>
      </c>
      <c r="DE75">
        <f ca="1"/>
        <v>3537.7999999999997</v>
      </c>
      <c r="DF75">
        <f ca="1"/>
        <v>3486</v>
      </c>
      <c r="DG75">
        <f ca="1"/>
        <v>4279.8</v>
      </c>
      <c r="DH75">
        <f ca="1"/>
        <v>4141.2</v>
      </c>
      <c r="DI75">
        <f ca="1"/>
        <v>4026.4</v>
      </c>
      <c r="DJ75">
        <f ca="1"/>
        <v>4107.6000000000004</v>
      </c>
      <c r="DK75">
        <f ca="1"/>
        <v>4370.8</v>
      </c>
      <c r="DL75">
        <f ca="1"/>
        <v>4758.6000000000004</v>
      </c>
      <c r="DM75">
        <f ca="1"/>
        <v>4970</v>
      </c>
      <c r="DN75">
        <f ca="1"/>
        <v>4827.2</v>
      </c>
      <c r="DO75">
        <f ca="1"/>
        <v>4697</v>
      </c>
      <c r="DP75">
        <f ca="1"/>
        <v>5031.5999999999995</v>
      </c>
      <c r="DQ75">
        <f ca="1"/>
        <v>5222</v>
      </c>
      <c r="DR75">
        <f ca="1"/>
        <v>5156.2</v>
      </c>
      <c r="DS75">
        <f ca="1"/>
        <v>5122.6000000000004</v>
      </c>
      <c r="DT75">
        <f ca="1"/>
        <v>5203.8</v>
      </c>
      <c r="DU75">
        <f ca="1"/>
        <v>5240.2</v>
      </c>
      <c r="DV75">
        <f ca="1"/>
        <v>5292</v>
      </c>
      <c r="DW75">
        <f ca="1"/>
        <v>5091.7999999999993</v>
      </c>
      <c r="DX75">
        <f ca="1"/>
        <v>5210.8</v>
      </c>
      <c r="DY75">
        <f ca="1"/>
        <v>4988.2000000000007</v>
      </c>
      <c r="DZ75">
        <f ca="1"/>
        <v>5201</v>
      </c>
      <c r="EA75">
        <f ca="1"/>
        <v>5157.6000000000004</v>
      </c>
      <c r="EB75">
        <f ca="1"/>
        <v>5181.3999999999996</v>
      </c>
      <c r="EC75">
        <f ca="1"/>
        <v>5334</v>
      </c>
      <c r="ED75">
        <f ca="1"/>
        <v>5336.7999999999993</v>
      </c>
      <c r="EE75">
        <f ca="1"/>
        <v>5168.8</v>
      </c>
      <c r="EF75">
        <f ca="1"/>
        <v>5342.4</v>
      </c>
      <c r="EG75">
        <f ca="1"/>
        <v>5359.2</v>
      </c>
      <c r="EH75">
        <f ca="1"/>
        <v>5535.5999999999995</v>
      </c>
      <c r="EI75">
        <f ca="1"/>
        <v>5814.2</v>
      </c>
      <c r="EJ75">
        <f ca="1"/>
        <v>5787.6</v>
      </c>
      <c r="EK75">
        <f ca="1"/>
        <v>5622.4</v>
      </c>
      <c r="EL75">
        <f ca="1"/>
        <v>5598.6</v>
      </c>
      <c r="EM75">
        <f ca="1"/>
        <v>5530</v>
      </c>
      <c r="EN75">
        <f ca="1"/>
        <v>5184.2</v>
      </c>
      <c r="EO75">
        <f ca="1"/>
        <v>5373.2000000000007</v>
      </c>
      <c r="EP75">
        <f ca="1"/>
        <v>5213.6000000000004</v>
      </c>
      <c r="EQ75">
        <f ca="1"/>
        <v>5338.2000000000007</v>
      </c>
      <c r="ER75">
        <f ca="1"/>
        <v>5383</v>
      </c>
      <c r="ES75">
        <f ca="1"/>
        <v>5303.2000000000007</v>
      </c>
      <c r="ET75">
        <f ca="1"/>
        <v>5304.6</v>
      </c>
      <c r="EU75">
        <f ca="1"/>
        <v>5027.3999999999996</v>
      </c>
      <c r="EV75">
        <f ca="1"/>
        <v>4972.8</v>
      </c>
      <c r="EW75">
        <f ca="1"/>
        <v>4859.4000000000005</v>
      </c>
      <c r="EX75">
        <f ca="1"/>
        <v>4806.2</v>
      </c>
      <c r="EY75">
        <f ca="1"/>
        <v>4915.3999999999996</v>
      </c>
      <c r="EZ75">
        <f ca="1"/>
        <v>4706.7999999999993</v>
      </c>
      <c r="FA75">
        <f ca="1"/>
        <v>4830</v>
      </c>
      <c r="FB75">
        <f ca="1"/>
        <v>5010.5999999999995</v>
      </c>
      <c r="FC75">
        <f ca="1"/>
        <v>5016.2</v>
      </c>
      <c r="FD75">
        <f ca="1"/>
        <v>5153.4000000000005</v>
      </c>
      <c r="FE75">
        <f ca="1"/>
        <v>5678.4000000000005</v>
      </c>
      <c r="FF75">
        <f ca="1"/>
        <v>5601.4</v>
      </c>
      <c r="FG75">
        <f ca="1"/>
        <v>6085.8</v>
      </c>
      <c r="FH75">
        <f ca="1"/>
        <v>6126.4</v>
      </c>
      <c r="FI75">
        <f ca="1"/>
        <v>5670</v>
      </c>
      <c r="FJ75">
        <f ca="1"/>
        <v>5797.4</v>
      </c>
      <c r="FK75">
        <f ca="1"/>
        <v>5642</v>
      </c>
      <c r="FL75">
        <f ca="1"/>
        <v>5670</v>
      </c>
      <c r="FM75">
        <f ca="1"/>
        <v>5709.2</v>
      </c>
      <c r="FN75">
        <f ca="1"/>
        <v>5531.4</v>
      </c>
      <c r="FO75">
        <f ca="1"/>
        <v>5293.4000000000005</v>
      </c>
      <c r="FP75">
        <f ca="1"/>
        <v>5251.4</v>
      </c>
      <c r="FQ75">
        <f ca="1"/>
        <v>5223.4000000000005</v>
      </c>
      <c r="FR75">
        <f ca="1"/>
        <v>5047</v>
      </c>
      <c r="FS75">
        <f ca="1"/>
        <v>5079.2</v>
      </c>
      <c r="FT75">
        <f ca="1"/>
        <v>5154.8</v>
      </c>
      <c r="FU75">
        <f ca="1"/>
        <v>5091.7999999999993</v>
      </c>
      <c r="FV75">
        <f ca="1"/>
        <v>5089</v>
      </c>
      <c r="FW75">
        <f ca="1"/>
        <v>5062.3999999999996</v>
      </c>
      <c r="FX75">
        <f ca="1"/>
        <v>5068</v>
      </c>
      <c r="FY75">
        <f ca="1"/>
        <v>5135.2</v>
      </c>
      <c r="FZ75">
        <f ca="1"/>
        <v>5222</v>
      </c>
      <c r="GA75">
        <f ca="1"/>
        <v>5166</v>
      </c>
      <c r="GB75">
        <f ca="1"/>
        <v>5513.2000000000007</v>
      </c>
      <c r="GC75">
        <f ca="1"/>
        <v>5511.7999999999993</v>
      </c>
      <c r="GD75">
        <f ca="1"/>
        <v>5605.5999999999995</v>
      </c>
      <c r="GE75">
        <f ca="1"/>
        <v>5968.2000000000007</v>
      </c>
      <c r="GF75">
        <f ca="1"/>
        <v>5755.4</v>
      </c>
      <c r="GG75">
        <f ca="1"/>
        <v>6377</v>
      </c>
      <c r="GH75">
        <f ca="1"/>
        <v>6168.4000000000005</v>
      </c>
      <c r="GI75">
        <f ca="1"/>
        <v>6620.5999999999995</v>
      </c>
      <c r="GJ75">
        <f ca="1"/>
        <v>6820.8</v>
      </c>
      <c r="GK75">
        <f ca="1"/>
        <v>6764.8</v>
      </c>
      <c r="GL75">
        <f ca="1"/>
        <v>6574.4000000000005</v>
      </c>
      <c r="GM75">
        <f ca="1"/>
        <v>6798.4000000000005</v>
      </c>
      <c r="GN75">
        <f ca="1"/>
        <v>7595</v>
      </c>
      <c r="GO75">
        <f ca="1"/>
        <v>7604.8</v>
      </c>
      <c r="GP75">
        <f ca="1"/>
        <v>6309.8</v>
      </c>
      <c r="GQ75">
        <f ca="1"/>
        <v>5948.6</v>
      </c>
      <c r="GR75">
        <f ca="1"/>
        <v>6150.2</v>
      </c>
      <c r="GS75">
        <f ca="1"/>
        <v>6829.2</v>
      </c>
      <c r="GT75">
        <f ca="1"/>
        <v>6812.4</v>
      </c>
      <c r="GU75">
        <f ca="1"/>
        <v>6505.8</v>
      </c>
      <c r="GV75">
        <f ca="1"/>
        <v>6833.4000000000005</v>
      </c>
      <c r="GW75">
        <f ca="1"/>
        <v>6895</v>
      </c>
      <c r="GX75">
        <f ca="1"/>
        <v>6804</v>
      </c>
      <c r="GY75">
        <f ca="1"/>
        <v>6753.6</v>
      </c>
      <c r="GZ75">
        <f ca="1"/>
        <v>7082.6</v>
      </c>
      <c r="HA75">
        <f ca="1"/>
        <v>7033.6</v>
      </c>
      <c r="HB75">
        <f ca="1"/>
        <v>6598.2000000000007</v>
      </c>
      <c r="HC75">
        <f ca="1"/>
        <v>6760.5999999999995</v>
      </c>
      <c r="HD75">
        <f ca="1"/>
        <v>6507.2</v>
      </c>
      <c r="HE75">
        <f ca="1"/>
        <v>6550.5999999999995</v>
      </c>
      <c r="HF75">
        <f ca="1"/>
        <v>6465.2</v>
      </c>
      <c r="HG75">
        <f ca="1"/>
        <v>6364.4000000000005</v>
      </c>
      <c r="HH75">
        <f ca="1"/>
        <v>6246.7999999999993</v>
      </c>
      <c r="HI75">
        <f ca="1"/>
        <v>6175.4</v>
      </c>
      <c r="HJ75">
        <f ca="1"/>
        <v>6108.2000000000007</v>
      </c>
      <c r="HK75">
        <f ca="1"/>
        <v>6456.7999999999993</v>
      </c>
      <c r="HL75">
        <f ca="1"/>
        <v>6563.2000000000007</v>
      </c>
      <c r="HM75">
        <f ca="1"/>
        <v>6364.4000000000005</v>
      </c>
      <c r="HN75">
        <f ca="1"/>
        <v>6385.4</v>
      </c>
      <c r="HO75">
        <f ca="1"/>
        <v>6370</v>
      </c>
      <c r="HP75">
        <f ca="1"/>
        <v>6034</v>
      </c>
      <c r="HQ75">
        <f ca="1"/>
        <v>6381.2</v>
      </c>
      <c r="HR75">
        <f ca="1"/>
        <v>6433</v>
      </c>
      <c r="HS75">
        <f ca="1"/>
        <v>6078.8</v>
      </c>
      <c r="HT75">
        <f ca="1"/>
        <v>6381.2</v>
      </c>
      <c r="HU75">
        <f ca="1"/>
        <v>6549.2</v>
      </c>
      <c r="HV75">
        <f ca="1"/>
        <v>6717.2</v>
      </c>
      <c r="HW75">
        <f ca="1"/>
        <v>6335</v>
      </c>
      <c r="HX75">
        <f ca="1"/>
        <v>6407.8</v>
      </c>
      <c r="HY75">
        <f ca="1"/>
        <v>6406.4</v>
      </c>
      <c r="HZ75">
        <f ca="1"/>
        <v>6168.4000000000005</v>
      </c>
      <c r="IA75">
        <f ca="1"/>
        <v>6304.2</v>
      </c>
      <c r="IB75">
        <f ca="1"/>
        <v>6465.2</v>
      </c>
      <c r="IC75">
        <f ca="1"/>
        <v>6141.7999999999993</v>
      </c>
      <c r="ID75">
        <f ca="1"/>
        <v>6161.4</v>
      </c>
      <c r="IE75">
        <f ca="1"/>
        <v>6168.4000000000005</v>
      </c>
      <c r="IF75">
        <f ca="1"/>
        <v>6605.2</v>
      </c>
      <c r="IG75">
        <f ca="1"/>
        <v>6174</v>
      </c>
      <c r="IH75">
        <f ca="1"/>
        <v>6038.2000000000007</v>
      </c>
      <c r="II75">
        <f ca="1"/>
        <v>5766.5999999999995</v>
      </c>
      <c r="IJ75">
        <f ca="1"/>
        <v>6178.2000000000007</v>
      </c>
      <c r="IK75">
        <f ca="1"/>
        <v>6724.2</v>
      </c>
      <c r="IL75">
        <f ca="1"/>
        <v>7053.2000000000007</v>
      </c>
      <c r="IM75">
        <f ca="1"/>
        <v>7109.2</v>
      </c>
      <c r="IN75">
        <f ca="1"/>
        <v>7407.4</v>
      </c>
      <c r="IO75">
        <f ca="1"/>
        <v>8253</v>
      </c>
      <c r="IP75">
        <f ca="1"/>
        <v>8640.7999999999993</v>
      </c>
      <c r="IQ75">
        <f ca="1"/>
        <v>8733.2000000000007</v>
      </c>
      <c r="IR75">
        <f ca="1"/>
        <v>9125.2000000000007</v>
      </c>
      <c r="IS75">
        <f ca="1"/>
        <v>8933.4</v>
      </c>
      <c r="IT75">
        <f ca="1"/>
        <v>9091.6</v>
      </c>
      <c r="IU75">
        <f ca="1"/>
        <v>9590</v>
      </c>
      <c r="IV75">
        <f ca="1"/>
        <v>9590</v>
      </c>
      <c r="IW75">
        <f ca="1"/>
        <v>9198</v>
      </c>
    </row>
    <row r="76" spans="2:257" x14ac:dyDescent="0.25">
      <c r="B76" t="str">
        <f t="shared" si="641"/>
        <v>20K6HU7</v>
      </c>
      <c r="C76" t="s">
        <v>162</v>
      </c>
      <c r="D76" t="e" vm="540">
        <v>#VALUE!</v>
      </c>
      <c r="E76" t="str" cm="1">
        <f t="array" aca="1" ref="E76" ca="1">_FV(D76,"Code mnémonique",TRUE)</f>
        <v>JNJ</v>
      </c>
      <c r="F76" s="12">
        <f>_xlfn.XLOOKUP(D76,Titres[Action],Titres[Nb d''actions])</f>
        <v>20</v>
      </c>
      <c r="G76" cm="1">
        <f t="array" aca="1" ref="G76:IW76" ca="1">IFERROR(TRANSPOSE(_xlfn.STOCKHISTORY(D76,TODAY()-365,TODAY(),0,0,1))*F76,"")</f>
        <v>3138.3999999999996</v>
      </c>
      <c r="H76">
        <f ca="1"/>
        <v>3155</v>
      </c>
      <c r="I76">
        <f ca="1"/>
        <v>3107.6</v>
      </c>
      <c r="J76">
        <f ca="1"/>
        <v>3098.6000000000004</v>
      </c>
      <c r="K76">
        <f ca="1"/>
        <v>3091.6000000000004</v>
      </c>
      <c r="L76">
        <f ca="1"/>
        <v>3107</v>
      </c>
      <c r="M76">
        <f ca="1"/>
        <v>3118.2</v>
      </c>
      <c r="N76">
        <f ca="1"/>
        <v>3126.2</v>
      </c>
      <c r="O76">
        <f ca="1"/>
        <v>3089.2000000000003</v>
      </c>
      <c r="P76">
        <f ca="1"/>
        <v>3122.4</v>
      </c>
      <c r="Q76">
        <f ca="1"/>
        <v>3100</v>
      </c>
      <c r="R76">
        <f ca="1"/>
        <v>3089.4</v>
      </c>
      <c r="S76">
        <f ca="1"/>
        <v>3146</v>
      </c>
      <c r="T76">
        <f ca="1"/>
        <v>3113.2</v>
      </c>
      <c r="U76">
        <f ca="1"/>
        <v>3084.4</v>
      </c>
      <c r="V76">
        <f ca="1"/>
        <v>3082.7999999999997</v>
      </c>
      <c r="W76">
        <f ca="1"/>
        <v>2968.8</v>
      </c>
      <c r="X76">
        <f ca="1"/>
        <v>2927.2000000000003</v>
      </c>
      <c r="Y76">
        <f ca="1"/>
        <v>2992.2000000000003</v>
      </c>
      <c r="Z76">
        <f ca="1"/>
        <v>3026.6000000000004</v>
      </c>
      <c r="AA76">
        <f ca="1"/>
        <v>3049.8</v>
      </c>
      <c r="AB76">
        <f ca="1"/>
        <v>3073.2</v>
      </c>
      <c r="AC76">
        <f ca="1"/>
        <v>3063.6000000000004</v>
      </c>
      <c r="AD76">
        <f ca="1"/>
        <v>3052.2000000000003</v>
      </c>
      <c r="AE76">
        <f ca="1"/>
        <v>3058.8</v>
      </c>
      <c r="AF76">
        <f ca="1"/>
        <v>3065</v>
      </c>
      <c r="AG76">
        <f ca="1"/>
        <v>3048.6000000000004</v>
      </c>
      <c r="AH76">
        <f ca="1"/>
        <v>3071.6000000000004</v>
      </c>
      <c r="AI76">
        <f ca="1"/>
        <v>3104.2000000000003</v>
      </c>
      <c r="AJ76">
        <f ca="1"/>
        <v>3108</v>
      </c>
      <c r="AK76">
        <f ca="1"/>
        <v>3088.3999999999996</v>
      </c>
      <c r="AL76">
        <f ca="1"/>
        <v>3064.4</v>
      </c>
      <c r="AM76">
        <f ca="1"/>
        <v>3073.2</v>
      </c>
      <c r="AN76">
        <f ca="1"/>
        <v>3100.6</v>
      </c>
      <c r="AO76">
        <f ca="1"/>
        <v>3104.6</v>
      </c>
      <c r="AP76">
        <f ca="1"/>
        <v>3129</v>
      </c>
      <c r="AQ76">
        <f ca="1"/>
        <v>3105.2</v>
      </c>
      <c r="AR76">
        <f ca="1"/>
        <v>3133.2</v>
      </c>
      <c r="AS76">
        <f ca="1"/>
        <v>3142</v>
      </c>
      <c r="AT76">
        <f ca="1"/>
        <v>3104.4</v>
      </c>
      <c r="AU76">
        <f ca="1"/>
        <v>3047.6</v>
      </c>
      <c r="AV76">
        <f ca="1"/>
        <v>3014.6</v>
      </c>
      <c r="AW76">
        <f ca="1"/>
        <v>2995.7999999999997</v>
      </c>
      <c r="AX76">
        <f ca="1"/>
        <v>3026.3999999999996</v>
      </c>
      <c r="AY76">
        <f ca="1"/>
        <v>3043.8</v>
      </c>
      <c r="AZ76">
        <f ca="1"/>
        <v>3045.6</v>
      </c>
      <c r="BA76">
        <f ca="1"/>
        <v>3040.2</v>
      </c>
      <c r="BB76">
        <f ca="1"/>
        <v>3048.2</v>
      </c>
      <c r="BC76">
        <f ca="1"/>
        <v>3055</v>
      </c>
      <c r="BD76">
        <f ca="1"/>
        <v>3118.3999999999996</v>
      </c>
      <c r="BE76">
        <f ca="1"/>
        <v>3111.2</v>
      </c>
      <c r="BF76">
        <f ca="1"/>
        <v>3120.2</v>
      </c>
      <c r="BG76">
        <f ca="1"/>
        <v>3105.4</v>
      </c>
      <c r="BH76">
        <f ca="1"/>
        <v>3115.7999999999997</v>
      </c>
      <c r="BI76">
        <f ca="1"/>
        <v>3125.6</v>
      </c>
      <c r="BJ76">
        <f ca="1"/>
        <v>3153.8</v>
      </c>
      <c r="BK76">
        <f ca="1"/>
        <v>3138</v>
      </c>
      <c r="BL76">
        <f ca="1"/>
        <v>3136.3999999999996</v>
      </c>
      <c r="BM76">
        <f ca="1"/>
        <v>3103.3999999999996</v>
      </c>
      <c r="BN76">
        <f ca="1"/>
        <v>3295.6</v>
      </c>
      <c r="BO76">
        <f ca="1"/>
        <v>3259.6</v>
      </c>
      <c r="BP76">
        <f ca="1"/>
        <v>3274</v>
      </c>
      <c r="BQ76">
        <f ca="1"/>
        <v>3287.2000000000003</v>
      </c>
      <c r="BR76">
        <f ca="1"/>
        <v>3358.6000000000004</v>
      </c>
      <c r="BS76">
        <f ca="1"/>
        <v>3382</v>
      </c>
      <c r="BT76">
        <f ca="1"/>
        <v>3391.2</v>
      </c>
      <c r="BU76">
        <f ca="1"/>
        <v>3366</v>
      </c>
      <c r="BV76">
        <f ca="1"/>
        <v>3324.4</v>
      </c>
      <c r="BW76">
        <f ca="1"/>
        <v>3362.2000000000003</v>
      </c>
      <c r="BX76">
        <f ca="1"/>
        <v>3345.2</v>
      </c>
      <c r="BY76">
        <f ca="1"/>
        <v>3294.8</v>
      </c>
      <c r="BZ76">
        <f ca="1"/>
        <v>3346.6000000000004</v>
      </c>
      <c r="CA76">
        <f ca="1"/>
        <v>3420.7999999999997</v>
      </c>
      <c r="CB76">
        <f ca="1"/>
        <v>3414.8</v>
      </c>
      <c r="CC76">
        <f ca="1"/>
        <v>3411.8</v>
      </c>
      <c r="CD76">
        <f ca="1"/>
        <v>3430.6</v>
      </c>
      <c r="CE76">
        <f ca="1"/>
        <v>3466.6000000000004</v>
      </c>
      <c r="CF76">
        <f ca="1"/>
        <v>3476.3999999999996</v>
      </c>
      <c r="CG76">
        <f ca="1"/>
        <v>3455.6</v>
      </c>
      <c r="CH76">
        <f ca="1"/>
        <v>3488.3999999999996</v>
      </c>
      <c r="CI76">
        <f ca="1"/>
        <v>3494.4</v>
      </c>
      <c r="CJ76">
        <f ca="1"/>
        <v>3532.7999999999997</v>
      </c>
      <c r="CK76">
        <f ca="1"/>
        <v>3525</v>
      </c>
      <c r="CL76">
        <f ca="1"/>
        <v>3556</v>
      </c>
      <c r="CM76">
        <f ca="1"/>
        <v>3576.8</v>
      </c>
      <c r="CN76">
        <f ca="1"/>
        <v>3578.6000000000004</v>
      </c>
      <c r="CO76">
        <f ca="1"/>
        <v>3585.7999999999997</v>
      </c>
      <c r="CP76">
        <f ca="1"/>
        <v>3568.2</v>
      </c>
      <c r="CQ76">
        <f ca="1"/>
        <v>3529.8</v>
      </c>
      <c r="CR76">
        <f ca="1"/>
        <v>3535.7999999999997</v>
      </c>
      <c r="CS76">
        <f ca="1"/>
        <v>3509</v>
      </c>
      <c r="CT76">
        <f ca="1"/>
        <v>3543.3999999999996</v>
      </c>
      <c r="CU76">
        <f ca="1"/>
        <v>3561.2</v>
      </c>
      <c r="CV76">
        <f ca="1"/>
        <v>3560</v>
      </c>
      <c r="CW76">
        <f ca="1"/>
        <v>3575.2</v>
      </c>
      <c r="CX76">
        <f ca="1"/>
        <v>3568.6000000000004</v>
      </c>
      <c r="CY76">
        <f ca="1"/>
        <v>3562.6</v>
      </c>
      <c r="CZ76">
        <f ca="1"/>
        <v>3539.2000000000003</v>
      </c>
      <c r="DA76">
        <f ca="1"/>
        <v>3515.7999999999997</v>
      </c>
      <c r="DB76">
        <f ca="1"/>
        <v>3570</v>
      </c>
      <c r="DC76">
        <f ca="1"/>
        <v>3561.2</v>
      </c>
      <c r="DD76">
        <f ca="1"/>
        <v>3548</v>
      </c>
      <c r="DE76">
        <f ca="1"/>
        <v>3529.2000000000003</v>
      </c>
      <c r="DF76">
        <f ca="1"/>
        <v>3544</v>
      </c>
      <c r="DG76">
        <f ca="1"/>
        <v>3483.2</v>
      </c>
      <c r="DH76">
        <f ca="1"/>
        <v>3523.8</v>
      </c>
      <c r="DI76">
        <f ca="1"/>
        <v>3484.2000000000003</v>
      </c>
      <c r="DJ76">
        <f ca="1"/>
        <v>3531.6000000000004</v>
      </c>
      <c r="DK76">
        <f ca="1"/>
        <v>3533.8</v>
      </c>
      <c r="DL76">
        <f ca="1"/>
        <v>3554.6</v>
      </c>
      <c r="DM76">
        <f ca="1"/>
        <v>3594.2000000000003</v>
      </c>
      <c r="DN76">
        <f ca="1"/>
        <v>3632.4</v>
      </c>
      <c r="DO76">
        <f ca="1"/>
        <v>3708.3999999999996</v>
      </c>
      <c r="DP76">
        <f ca="1"/>
        <v>3721</v>
      </c>
      <c r="DQ76">
        <f ca="1"/>
        <v>3719.6</v>
      </c>
      <c r="DR76">
        <f ca="1"/>
        <v>3772.7999999999997</v>
      </c>
      <c r="DS76">
        <f ca="1"/>
        <v>3763.2</v>
      </c>
      <c r="DT76">
        <f ca="1"/>
        <v>3777.7999999999997</v>
      </c>
      <c r="DU76">
        <f ca="1"/>
        <v>3793.8</v>
      </c>
      <c r="DV76">
        <f ca="1"/>
        <v>3821.6000000000004</v>
      </c>
      <c r="DW76">
        <f ca="1"/>
        <v>3814.4</v>
      </c>
      <c r="DX76">
        <f ca="1"/>
        <v>3818</v>
      </c>
      <c r="DY76">
        <f ca="1"/>
        <v>3817</v>
      </c>
      <c r="DZ76">
        <f ca="1"/>
        <v>3823.3999999999996</v>
      </c>
      <c r="EA76">
        <f ca="1"/>
        <v>3842.4</v>
      </c>
      <c r="EB76">
        <f ca="1"/>
        <v>3864.4</v>
      </c>
      <c r="EC76">
        <f ca="1"/>
        <v>3874.4</v>
      </c>
      <c r="ED76">
        <f ca="1"/>
        <v>3837.6</v>
      </c>
      <c r="EE76">
        <f ca="1"/>
        <v>3858.8</v>
      </c>
      <c r="EF76">
        <f ca="1"/>
        <v>3849.4</v>
      </c>
      <c r="EG76">
        <f ca="1"/>
        <v>3808</v>
      </c>
      <c r="EH76">
        <f ca="1"/>
        <v>3806</v>
      </c>
      <c r="EI76">
        <f ca="1"/>
        <v>3738.6000000000004</v>
      </c>
      <c r="EJ76">
        <f ca="1"/>
        <v>3732</v>
      </c>
      <c r="EK76">
        <f ca="1"/>
        <v>3781</v>
      </c>
      <c r="EL76">
        <f ca="1"/>
        <v>3777.4</v>
      </c>
      <c r="EM76">
        <f ca="1"/>
        <v>3725.2</v>
      </c>
      <c r="EN76">
        <f ca="1"/>
        <v>3737.2000000000003</v>
      </c>
      <c r="EO76">
        <f ca="1"/>
        <v>3720</v>
      </c>
      <c r="EP76">
        <f ca="1"/>
        <v>3739.4</v>
      </c>
      <c r="EQ76">
        <f ca="1"/>
        <v>3731.3999999999996</v>
      </c>
      <c r="ER76">
        <f ca="1"/>
        <v>3768.2</v>
      </c>
      <c r="ES76">
        <f ca="1"/>
        <v>3876.6000000000004</v>
      </c>
      <c r="ET76">
        <f ca="1"/>
        <v>3887.7999999999997</v>
      </c>
      <c r="EU76">
        <f ca="1"/>
        <v>3905</v>
      </c>
      <c r="EV76">
        <f ca="1"/>
        <v>3918.6000000000004</v>
      </c>
      <c r="EW76">
        <f ca="1"/>
        <v>3991.6000000000004</v>
      </c>
      <c r="EX76">
        <f ca="1"/>
        <v>4000</v>
      </c>
      <c r="EY76">
        <f ca="1"/>
        <v>4050.2</v>
      </c>
      <c r="EZ76">
        <f ca="1"/>
        <v>4061.3999999999996</v>
      </c>
      <c r="FA76">
        <f ca="1"/>
        <v>4078</v>
      </c>
      <c r="FB76">
        <f ca="1"/>
        <v>4121</v>
      </c>
      <c r="FC76">
        <f ca="1"/>
        <v>4133.3999999999996</v>
      </c>
      <c r="FD76">
        <f ca="1"/>
        <v>4151.2</v>
      </c>
      <c r="FE76">
        <f ca="1"/>
        <v>4138.3999999999996</v>
      </c>
      <c r="FF76">
        <f ca="1"/>
        <v>4106.8</v>
      </c>
      <c r="FG76">
        <f ca="1"/>
        <v>4108.3999999999996</v>
      </c>
      <c r="FH76">
        <f ca="1"/>
        <v>4106.6000000000004</v>
      </c>
      <c r="FI76">
        <f ca="1"/>
        <v>4049.6</v>
      </c>
      <c r="FJ76">
        <f ca="1"/>
        <v>4038.6000000000004</v>
      </c>
      <c r="FK76">
        <f ca="1"/>
        <v>4032.4</v>
      </c>
      <c r="FL76">
        <f ca="1"/>
        <v>3999.2000000000003</v>
      </c>
      <c r="FM76">
        <f ca="1"/>
        <v>4130.8</v>
      </c>
      <c r="FN76">
        <f ca="1"/>
        <v>4200.2</v>
      </c>
      <c r="FO76">
        <f ca="1"/>
        <v>4231.6000000000004</v>
      </c>
      <c r="FP76">
        <f ca="1"/>
        <v>4283.3999999999996</v>
      </c>
      <c r="FQ76">
        <f ca="1"/>
        <v>4186</v>
      </c>
      <c r="FR76">
        <f ca="1"/>
        <v>4206.6000000000004</v>
      </c>
      <c r="FS76">
        <f ca="1"/>
        <v>4166.2</v>
      </c>
      <c r="FT76">
        <f ca="1"/>
        <v>4127.3999999999996</v>
      </c>
      <c r="FU76">
        <f ca="1"/>
        <v>4146.3999999999996</v>
      </c>
      <c r="FV76">
        <f ca="1"/>
        <v>4115.6000000000004</v>
      </c>
      <c r="FW76">
        <f ca="1"/>
        <v>4155.6000000000004</v>
      </c>
      <c r="FX76">
        <f ca="1"/>
        <v>4152.6000000000004</v>
      </c>
      <c r="FY76">
        <f ca="1"/>
        <v>4151.2</v>
      </c>
      <c r="FZ76">
        <f ca="1"/>
        <v>4138.2</v>
      </c>
      <c r="GA76">
        <f ca="1"/>
        <v>4139</v>
      </c>
      <c r="GB76">
        <f ca="1"/>
        <v>4147</v>
      </c>
      <c r="GC76">
        <f ca="1"/>
        <v>4086.2</v>
      </c>
      <c r="GD76">
        <f ca="1"/>
        <v>4095.7999999999997</v>
      </c>
      <c r="GE76">
        <f ca="1"/>
        <v>4149.8</v>
      </c>
      <c r="GF76">
        <f ca="1"/>
        <v>4115</v>
      </c>
      <c r="GG76">
        <f ca="1"/>
        <v>4087.7999999999997</v>
      </c>
      <c r="GH76">
        <f ca="1"/>
        <v>4194.3999999999996</v>
      </c>
      <c r="GI76">
        <f ca="1"/>
        <v>4273</v>
      </c>
      <c r="GJ76">
        <f ca="1"/>
        <v>4371</v>
      </c>
      <c r="GK76">
        <f ca="1"/>
        <v>4391.3999999999996</v>
      </c>
      <c r="GL76">
        <f ca="1"/>
        <v>4373.2</v>
      </c>
      <c r="GM76">
        <f ca="1"/>
        <v>4364.2</v>
      </c>
      <c r="GN76">
        <f ca="1"/>
        <v>4360.2</v>
      </c>
      <c r="GO76">
        <f ca="1"/>
        <v>4369.8</v>
      </c>
      <c r="GP76">
        <f ca="1"/>
        <v>4402.7999999999993</v>
      </c>
      <c r="GQ76">
        <f ca="1"/>
        <v>4429.8</v>
      </c>
      <c r="GR76">
        <f ca="1"/>
        <v>4488.8</v>
      </c>
      <c r="GS76">
        <f ca="1"/>
        <v>4554.3999999999996</v>
      </c>
      <c r="GT76">
        <f ca="1"/>
        <v>4545.8</v>
      </c>
      <c r="GU76">
        <f ca="1"/>
        <v>4545</v>
      </c>
      <c r="GV76">
        <f ca="1"/>
        <v>4615</v>
      </c>
      <c r="GW76">
        <f ca="1"/>
        <v>4662</v>
      </c>
      <c r="GX76">
        <f ca="1"/>
        <v>4689.3999999999996</v>
      </c>
      <c r="GY76">
        <f ca="1"/>
        <v>4755.8</v>
      </c>
      <c r="GZ76">
        <f ca="1"/>
        <v>4799.8</v>
      </c>
      <c r="HA76">
        <f ca="1"/>
        <v>4772.7999999999993</v>
      </c>
      <c r="HB76">
        <f ca="1"/>
        <v>4767</v>
      </c>
      <c r="HC76">
        <f ca="1"/>
        <v>4817.2000000000007</v>
      </c>
      <c r="HD76">
        <f ca="1"/>
        <v>4891</v>
      </c>
      <c r="HE76">
        <f ca="1"/>
        <v>4869</v>
      </c>
      <c r="HF76">
        <f ca="1"/>
        <v>4866.6000000000004</v>
      </c>
      <c r="HG76">
        <f ca="1"/>
        <v>4899.8</v>
      </c>
      <c r="HH76">
        <f ca="1"/>
        <v>4938.2</v>
      </c>
      <c r="HI76">
        <f ca="1"/>
        <v>4849.8</v>
      </c>
      <c r="HJ76">
        <f ca="1"/>
        <v>4916.8</v>
      </c>
      <c r="HK76">
        <f ca="1"/>
        <v>4925.6000000000004</v>
      </c>
      <c r="HL76">
        <f ca="1"/>
        <v>4903.3999999999996</v>
      </c>
      <c r="HM76">
        <f ca="1"/>
        <v>4869.3999999999996</v>
      </c>
      <c r="HN76">
        <f ca="1"/>
        <v>4968.6000000000004</v>
      </c>
      <c r="HO76">
        <f ca="1"/>
        <v>4971.2</v>
      </c>
      <c r="HP76">
        <f ca="1"/>
        <v>4935</v>
      </c>
      <c r="HQ76">
        <f ca="1"/>
        <v>4906</v>
      </c>
      <c r="HR76">
        <f ca="1"/>
        <v>4792.6000000000004</v>
      </c>
      <c r="HS76">
        <f ca="1"/>
        <v>4808</v>
      </c>
      <c r="HT76">
        <f ca="1"/>
        <v>4851.8</v>
      </c>
      <c r="HU76">
        <f ca="1"/>
        <v>4874.2</v>
      </c>
      <c r="HV76">
        <f ca="1"/>
        <v>4859.8</v>
      </c>
      <c r="HW76">
        <f ca="1"/>
        <v>4840.8</v>
      </c>
      <c r="HX76">
        <f ca="1"/>
        <v>4830.4000000000005</v>
      </c>
      <c r="HY76">
        <f ca="1"/>
        <v>4863.8</v>
      </c>
      <c r="HZ76">
        <f ca="1"/>
        <v>4762.2000000000007</v>
      </c>
      <c r="IA76">
        <f ca="1"/>
        <v>4745.6000000000004</v>
      </c>
      <c r="IB76">
        <f ca="1"/>
        <v>4752</v>
      </c>
      <c r="IC76">
        <f ca="1"/>
        <v>4707.3999999999996</v>
      </c>
      <c r="ID76">
        <f ca="1"/>
        <v>4708.3999999999996</v>
      </c>
      <c r="IE76">
        <f ca="1"/>
        <v>4705.4000000000005</v>
      </c>
      <c r="IF76">
        <f ca="1"/>
        <v>4798.6000000000004</v>
      </c>
      <c r="IG76">
        <f ca="1"/>
        <v>4784.8</v>
      </c>
      <c r="IH76">
        <f ca="1"/>
        <v>4809</v>
      </c>
      <c r="II76">
        <f ca="1"/>
        <v>4849.8</v>
      </c>
      <c r="IJ76">
        <f ca="1"/>
        <v>4888.8</v>
      </c>
      <c r="IK76">
        <f ca="1"/>
        <v>4882.3999999999996</v>
      </c>
      <c r="IL76">
        <f ca="1"/>
        <v>4860.8</v>
      </c>
      <c r="IM76">
        <f ca="1"/>
        <v>4819.3999999999996</v>
      </c>
      <c r="IN76">
        <f ca="1"/>
        <v>4768.2</v>
      </c>
      <c r="IO76">
        <f ca="1"/>
        <v>4826</v>
      </c>
      <c r="IP76">
        <f ca="1"/>
        <v>4826.2</v>
      </c>
      <c r="IQ76">
        <f ca="1"/>
        <v>4769.2</v>
      </c>
      <c r="IR76">
        <f ca="1"/>
        <v>4759.2</v>
      </c>
      <c r="IS76">
        <f ca="1"/>
        <v>4802</v>
      </c>
      <c r="IT76">
        <f ca="1"/>
        <v>4773.3999999999996</v>
      </c>
      <c r="IU76">
        <f ca="1"/>
        <v>4690.8</v>
      </c>
      <c r="IV76">
        <f ca="1"/>
        <v>4683.6000000000004</v>
      </c>
      <c r="IW76">
        <f ca="1"/>
        <v>4613.8</v>
      </c>
    </row>
    <row r="77" spans="2:257" x14ac:dyDescent="0.25">
      <c r="B77" t="str">
        <f t="shared" si="641"/>
        <v>20K6HU7</v>
      </c>
      <c r="C77" t="s">
        <v>162</v>
      </c>
      <c r="D77" t="e" vm="563">
        <v>#VALUE!</v>
      </c>
      <c r="E77" t="str" cm="1">
        <f t="array" aca="1" ref="E77" ca="1">_FV(D77,"Code mnémonique",TRUE)</f>
        <v>KHC</v>
      </c>
      <c r="F77" s="12">
        <f>_xlfn.XLOOKUP(D77,Titres[Action],Titres[Nb d''actions])</f>
        <v>90</v>
      </c>
      <c r="G77" cm="1">
        <f t="array" aca="1" ref="G77:IW77" ca="1">IFERROR(TRANSPOSE(_xlfn.STOCKHISTORY(D77,TODAY()-365,TODAY(),0,0,1))*F77,"")</f>
        <v>2694.6</v>
      </c>
      <c r="H77">
        <f ca="1"/>
        <v>2718</v>
      </c>
      <c r="I77">
        <f ca="1"/>
        <v>2708.1</v>
      </c>
      <c r="J77">
        <f ca="1"/>
        <v>2667.6</v>
      </c>
      <c r="K77">
        <f ca="1"/>
        <v>2654.1</v>
      </c>
      <c r="L77">
        <f ca="1"/>
        <v>2592.9</v>
      </c>
      <c r="M77">
        <f ca="1"/>
        <v>2598.3000000000002</v>
      </c>
      <c r="N77">
        <f ca="1"/>
        <v>2619</v>
      </c>
      <c r="O77">
        <f ca="1"/>
        <v>2565</v>
      </c>
      <c r="P77">
        <f ca="1"/>
        <v>2577.6</v>
      </c>
      <c r="Q77">
        <f ca="1"/>
        <v>2573.1</v>
      </c>
      <c r="R77">
        <f ca="1"/>
        <v>2556</v>
      </c>
      <c r="S77">
        <f ca="1"/>
        <v>2540.6999999999998</v>
      </c>
      <c r="T77">
        <f ca="1"/>
        <v>2564.1</v>
      </c>
      <c r="U77">
        <f ca="1"/>
        <v>2526.3000000000002</v>
      </c>
      <c r="V77">
        <f ca="1"/>
        <v>2533.5</v>
      </c>
      <c r="W77">
        <f ca="1"/>
        <v>2483.1</v>
      </c>
      <c r="X77">
        <f ca="1"/>
        <v>2445.3000000000002</v>
      </c>
      <c r="Y77">
        <f ca="1"/>
        <v>2474.1</v>
      </c>
      <c r="Z77">
        <f ca="1"/>
        <v>2496.6</v>
      </c>
      <c r="AA77">
        <f ca="1"/>
        <v>2509.1999999999998</v>
      </c>
      <c r="AB77">
        <f ca="1"/>
        <v>2511</v>
      </c>
      <c r="AC77">
        <f ca="1"/>
        <v>2396.6999999999998</v>
      </c>
      <c r="AD77">
        <f ca="1"/>
        <v>2385</v>
      </c>
      <c r="AE77">
        <f ca="1"/>
        <v>2367</v>
      </c>
      <c r="AF77">
        <f ca="1"/>
        <v>2414.6999999999998</v>
      </c>
      <c r="AG77">
        <f ca="1"/>
        <v>2388.6</v>
      </c>
      <c r="AH77">
        <f ca="1"/>
        <v>2431.8000000000002</v>
      </c>
      <c r="AI77">
        <f ca="1"/>
        <v>2405.6999999999998</v>
      </c>
      <c r="AJ77">
        <f ca="1"/>
        <v>2396.6999999999998</v>
      </c>
      <c r="AK77">
        <f ca="1"/>
        <v>2411.1</v>
      </c>
      <c r="AL77">
        <f ca="1"/>
        <v>2403</v>
      </c>
      <c r="AM77">
        <f ca="1"/>
        <v>2395.8000000000002</v>
      </c>
      <c r="AN77">
        <f ca="1"/>
        <v>2405.6999999999998</v>
      </c>
      <c r="AO77">
        <f ca="1"/>
        <v>2383.1999999999998</v>
      </c>
      <c r="AP77">
        <f ca="1"/>
        <v>2393.1</v>
      </c>
      <c r="AQ77">
        <f ca="1"/>
        <v>2377.8000000000002</v>
      </c>
      <c r="AR77">
        <f ca="1"/>
        <v>2381.4</v>
      </c>
      <c r="AS77">
        <f ca="1"/>
        <v>2347.1999999999998</v>
      </c>
      <c r="AT77">
        <f ca="1"/>
        <v>2321.1</v>
      </c>
      <c r="AU77">
        <f ca="1"/>
        <v>2317.5</v>
      </c>
      <c r="AV77">
        <f ca="1"/>
        <v>2311.1999999999998</v>
      </c>
      <c r="AW77">
        <f ca="1"/>
        <v>2322</v>
      </c>
      <c r="AX77">
        <f ca="1"/>
        <v>2332.8000000000002</v>
      </c>
      <c r="AY77">
        <f ca="1"/>
        <v>2342.7000000000003</v>
      </c>
      <c r="AZ77">
        <f ca="1"/>
        <v>2315.6999999999998</v>
      </c>
      <c r="BA77">
        <f ca="1"/>
        <v>2321.1</v>
      </c>
      <c r="BB77">
        <f ca="1"/>
        <v>2304.9</v>
      </c>
      <c r="BC77">
        <f ca="1"/>
        <v>2323.8000000000002</v>
      </c>
      <c r="BD77">
        <f ca="1"/>
        <v>2394.9</v>
      </c>
      <c r="BE77">
        <f ca="1"/>
        <v>2435.4</v>
      </c>
      <c r="BF77">
        <f ca="1"/>
        <v>2399.4</v>
      </c>
      <c r="BG77">
        <f ca="1"/>
        <v>2347.1999999999998</v>
      </c>
      <c r="BH77">
        <f ca="1"/>
        <v>2378.6999999999998</v>
      </c>
      <c r="BI77">
        <f ca="1"/>
        <v>2380.5</v>
      </c>
      <c r="BJ77">
        <f ca="1"/>
        <v>2382.2999999999997</v>
      </c>
      <c r="BK77">
        <f ca="1"/>
        <v>2442.6</v>
      </c>
      <c r="BL77">
        <f ca="1"/>
        <v>2502</v>
      </c>
      <c r="BM77">
        <f ca="1"/>
        <v>2440.8000000000002</v>
      </c>
      <c r="BN77">
        <f ca="1"/>
        <v>2482.1999999999998</v>
      </c>
      <c r="BO77">
        <f ca="1"/>
        <v>2531.6999999999998</v>
      </c>
      <c r="BP77">
        <f ca="1"/>
        <v>2503.8000000000002</v>
      </c>
      <c r="BQ77">
        <f ca="1"/>
        <v>2473.1999999999998</v>
      </c>
      <c r="BR77">
        <f ca="1"/>
        <v>2590.2000000000003</v>
      </c>
      <c r="BS77">
        <f ca="1"/>
        <v>2604.6</v>
      </c>
      <c r="BT77">
        <f ca="1"/>
        <v>2590.2000000000003</v>
      </c>
      <c r="BU77">
        <f ca="1"/>
        <v>2581.1999999999998</v>
      </c>
      <c r="BV77">
        <f ca="1"/>
        <v>2542.5</v>
      </c>
      <c r="BW77">
        <f ca="1"/>
        <v>2570.4</v>
      </c>
      <c r="BX77">
        <f ca="1"/>
        <v>2564.1</v>
      </c>
      <c r="BY77">
        <f ca="1"/>
        <v>2471.4</v>
      </c>
      <c r="BZ77">
        <f ca="1"/>
        <v>2466.9</v>
      </c>
      <c r="CA77">
        <f ca="1"/>
        <v>2412</v>
      </c>
      <c r="CB77">
        <f ca="1"/>
        <v>2433.6</v>
      </c>
      <c r="CC77">
        <f ca="1"/>
        <v>2453.4</v>
      </c>
      <c r="CD77">
        <f ca="1"/>
        <v>2488.5</v>
      </c>
      <c r="CE77">
        <f ca="1"/>
        <v>2498.4</v>
      </c>
      <c r="CF77">
        <f ca="1"/>
        <v>2468.6999999999998</v>
      </c>
      <c r="CG77">
        <f ca="1"/>
        <v>2461.5</v>
      </c>
      <c r="CH77">
        <f ca="1"/>
        <v>2521.8000000000002</v>
      </c>
      <c r="CI77">
        <f ca="1"/>
        <v>2488.5</v>
      </c>
      <c r="CJ77">
        <f ca="1"/>
        <v>2490.3000000000002</v>
      </c>
      <c r="CK77">
        <f ca="1"/>
        <v>2454.3000000000002</v>
      </c>
      <c r="CL77">
        <f ca="1"/>
        <v>2490.3000000000002</v>
      </c>
      <c r="CM77">
        <f ca="1"/>
        <v>2467.8000000000002</v>
      </c>
      <c r="CN77">
        <f ca="1"/>
        <v>2475</v>
      </c>
      <c r="CO77">
        <f ca="1"/>
        <v>2525.4</v>
      </c>
      <c r="CP77">
        <f ca="1"/>
        <v>2492.1</v>
      </c>
      <c r="CQ77">
        <f ca="1"/>
        <v>2493</v>
      </c>
      <c r="CR77">
        <f ca="1"/>
        <v>2510.1</v>
      </c>
      <c r="CS77">
        <f ca="1"/>
        <v>2487.6</v>
      </c>
      <c r="CT77">
        <f ca="1"/>
        <v>2517.2999999999997</v>
      </c>
      <c r="CU77">
        <f ca="1"/>
        <v>2341.8000000000002</v>
      </c>
      <c r="CV77">
        <f ca="1"/>
        <v>2423.6999999999998</v>
      </c>
      <c r="CW77">
        <f ca="1"/>
        <v>2426.4</v>
      </c>
      <c r="CX77">
        <f ca="1"/>
        <v>2456.1</v>
      </c>
      <c r="CY77">
        <f ca="1"/>
        <v>2421</v>
      </c>
      <c r="CZ77">
        <f ca="1"/>
        <v>2400.3000000000002</v>
      </c>
      <c r="DA77">
        <f ca="1"/>
        <v>2398.5</v>
      </c>
      <c r="DB77">
        <f ca="1"/>
        <v>2386.8000000000002</v>
      </c>
      <c r="DC77">
        <f ca="1"/>
        <v>2351.6999999999998</v>
      </c>
      <c r="DD77">
        <f ca="1"/>
        <v>2306.6999999999998</v>
      </c>
      <c r="DE77">
        <f ca="1"/>
        <v>2333.6999999999998</v>
      </c>
      <c r="DF77">
        <f ca="1"/>
        <v>2315.6999999999998</v>
      </c>
      <c r="DG77">
        <f ca="1"/>
        <v>2347.1999999999998</v>
      </c>
      <c r="DH77">
        <f ca="1"/>
        <v>2377.8000000000002</v>
      </c>
      <c r="DI77">
        <f ca="1"/>
        <v>2374.1999999999998</v>
      </c>
      <c r="DJ77">
        <f ca="1"/>
        <v>2390.4</v>
      </c>
      <c r="DK77">
        <f ca="1"/>
        <v>2406.6</v>
      </c>
      <c r="DL77">
        <f ca="1"/>
        <v>2322.9</v>
      </c>
      <c r="DM77">
        <f ca="1"/>
        <v>2344.5</v>
      </c>
      <c r="DN77">
        <f ca="1"/>
        <v>2313</v>
      </c>
      <c r="DO77">
        <f ca="1"/>
        <v>2343.6</v>
      </c>
      <c r="DP77">
        <f ca="1"/>
        <v>2365.2000000000003</v>
      </c>
      <c r="DQ77">
        <f ca="1"/>
        <v>2346.3000000000002</v>
      </c>
      <c r="DR77">
        <f ca="1"/>
        <v>2345.4</v>
      </c>
      <c r="DS77">
        <f ca="1"/>
        <v>2274.3000000000002</v>
      </c>
      <c r="DT77">
        <f ca="1"/>
        <v>2287.8000000000002</v>
      </c>
      <c r="DU77">
        <f ca="1"/>
        <v>2257.1999999999998</v>
      </c>
      <c r="DV77">
        <f ca="1"/>
        <v>2253.6</v>
      </c>
      <c r="DW77">
        <f ca="1"/>
        <v>2263.5</v>
      </c>
      <c r="DX77">
        <f ca="1"/>
        <v>2259.9</v>
      </c>
      <c r="DY77">
        <f ca="1"/>
        <v>2289.6</v>
      </c>
      <c r="DZ77">
        <f ca="1"/>
        <v>2267.1</v>
      </c>
      <c r="EA77">
        <f ca="1"/>
        <v>2261.6999999999998</v>
      </c>
      <c r="EB77">
        <f ca="1"/>
        <v>2296.8000000000002</v>
      </c>
      <c r="EC77">
        <f ca="1"/>
        <v>2313.9</v>
      </c>
      <c r="ED77">
        <f ca="1"/>
        <v>2302.1999999999998</v>
      </c>
      <c r="EE77">
        <f ca="1"/>
        <v>2307.6</v>
      </c>
      <c r="EF77">
        <f ca="1"/>
        <v>2286.9</v>
      </c>
      <c r="EG77">
        <f ca="1"/>
        <v>2272.5</v>
      </c>
      <c r="EH77">
        <f ca="1"/>
        <v>2303.1</v>
      </c>
      <c r="EI77">
        <f ca="1"/>
        <v>2296.8000000000002</v>
      </c>
      <c r="EJ77">
        <f ca="1"/>
        <v>2194.1999999999998</v>
      </c>
      <c r="EK77">
        <f ca="1"/>
        <v>2212.1999999999998</v>
      </c>
      <c r="EL77">
        <f ca="1"/>
        <v>2225.6999999999998</v>
      </c>
      <c r="EM77">
        <f ca="1"/>
        <v>2189.6999999999998</v>
      </c>
      <c r="EN77">
        <f ca="1"/>
        <v>2175.3000000000002</v>
      </c>
      <c r="EO77">
        <f ca="1"/>
        <v>2172.6</v>
      </c>
      <c r="EP77">
        <f ca="1"/>
        <v>2134.7999999999997</v>
      </c>
      <c r="EQ77">
        <f ca="1"/>
        <v>2185.2000000000003</v>
      </c>
      <c r="ER77">
        <f ca="1"/>
        <v>2194.1999999999998</v>
      </c>
      <c r="ES77">
        <f ca="1"/>
        <v>2220.3000000000002</v>
      </c>
      <c r="ET77">
        <f ca="1"/>
        <v>2227.5</v>
      </c>
      <c r="EU77">
        <f ca="1"/>
        <v>2246.4</v>
      </c>
      <c r="EV77">
        <f ca="1"/>
        <v>2236.5</v>
      </c>
      <c r="EW77">
        <f ca="1"/>
        <v>2204.1</v>
      </c>
      <c r="EX77">
        <f ca="1"/>
        <v>2247.2999999999997</v>
      </c>
      <c r="EY77">
        <f ca="1"/>
        <v>2241.9</v>
      </c>
      <c r="EZ77">
        <f ca="1"/>
        <v>2248.1999999999998</v>
      </c>
      <c r="FA77">
        <f ca="1"/>
        <v>2276.1</v>
      </c>
      <c r="FB77">
        <f ca="1"/>
        <v>2270.6999999999998</v>
      </c>
      <c r="FC77">
        <f ca="1"/>
        <v>2289.6</v>
      </c>
      <c r="FD77">
        <f ca="1"/>
        <v>2304</v>
      </c>
      <c r="FE77">
        <f ca="1"/>
        <v>2295.9</v>
      </c>
      <c r="FF77">
        <f ca="1"/>
        <v>2283.3000000000002</v>
      </c>
      <c r="FG77">
        <f ca="1"/>
        <v>2246.4</v>
      </c>
      <c r="FH77">
        <f ca="1"/>
        <v>2252.7000000000003</v>
      </c>
      <c r="FI77">
        <f ca="1"/>
        <v>2213.1</v>
      </c>
      <c r="FJ77">
        <f ca="1"/>
        <v>2190.6</v>
      </c>
      <c r="FK77">
        <f ca="1"/>
        <v>2205.9</v>
      </c>
      <c r="FL77">
        <f ca="1"/>
        <v>2180.6999999999998</v>
      </c>
      <c r="FM77">
        <f ca="1"/>
        <v>2191.5</v>
      </c>
      <c r="FN77">
        <f ca="1"/>
        <v>2195.1</v>
      </c>
      <c r="FO77">
        <f ca="1"/>
        <v>2200.5</v>
      </c>
      <c r="FP77">
        <f ca="1"/>
        <v>2205</v>
      </c>
      <c r="FQ77">
        <f ca="1"/>
        <v>2221.1999999999998</v>
      </c>
      <c r="FR77">
        <f ca="1"/>
        <v>2227.5</v>
      </c>
      <c r="FS77">
        <f ca="1"/>
        <v>2227.5</v>
      </c>
      <c r="FT77">
        <f ca="1"/>
        <v>2205.9</v>
      </c>
      <c r="FU77">
        <f ca="1"/>
        <v>2173.5</v>
      </c>
      <c r="FV77">
        <f ca="1"/>
        <v>2133</v>
      </c>
      <c r="FW77">
        <f ca="1"/>
        <v>2161.8000000000002</v>
      </c>
      <c r="FX77">
        <f ca="1"/>
        <v>2171.6999999999998</v>
      </c>
      <c r="FY77">
        <f ca="1"/>
        <v>2182.5</v>
      </c>
      <c r="FZ77">
        <f ca="1"/>
        <v>2198.6999999999998</v>
      </c>
      <c r="GA77">
        <f ca="1"/>
        <v>2182.5</v>
      </c>
      <c r="GB77">
        <f ca="1"/>
        <v>2195.1</v>
      </c>
      <c r="GC77">
        <f ca="1"/>
        <v>2139.3000000000002</v>
      </c>
      <c r="GD77">
        <f ca="1"/>
        <v>2115.9</v>
      </c>
      <c r="GE77">
        <f ca="1"/>
        <v>2070.9</v>
      </c>
      <c r="GF77">
        <f ca="1"/>
        <v>2108.6999999999998</v>
      </c>
      <c r="GG77">
        <f ca="1"/>
        <v>2107.8000000000002</v>
      </c>
      <c r="GH77">
        <f ca="1"/>
        <v>2105.1</v>
      </c>
      <c r="GI77">
        <f ca="1"/>
        <v>2115.9</v>
      </c>
      <c r="GJ77">
        <f ca="1"/>
        <v>2188.8000000000002</v>
      </c>
      <c r="GK77">
        <f ca="1"/>
        <v>2181.6</v>
      </c>
      <c r="GL77">
        <f ca="1"/>
        <v>2117.7000000000003</v>
      </c>
      <c r="GM77">
        <f ca="1"/>
        <v>2138.4</v>
      </c>
      <c r="GN77">
        <f ca="1"/>
        <v>2015.9999999999998</v>
      </c>
      <c r="GO77">
        <f ca="1"/>
        <v>2044.8</v>
      </c>
      <c r="GP77">
        <f ca="1"/>
        <v>2088</v>
      </c>
      <c r="GQ77">
        <f ca="1"/>
        <v>2122.1999999999998</v>
      </c>
      <c r="GR77">
        <f ca="1"/>
        <v>2133</v>
      </c>
      <c r="GS77">
        <f ca="1"/>
        <v>2087.1</v>
      </c>
      <c r="GT77">
        <f ca="1"/>
        <v>2082.6</v>
      </c>
      <c r="GU77">
        <f ca="1"/>
        <v>2136.6</v>
      </c>
      <c r="GV77">
        <f ca="1"/>
        <v>2115</v>
      </c>
      <c r="GW77">
        <f ca="1"/>
        <v>2148.3000000000002</v>
      </c>
      <c r="GX77">
        <f ca="1"/>
        <v>2203.1999999999998</v>
      </c>
      <c r="GY77">
        <f ca="1"/>
        <v>2200.0500000000002</v>
      </c>
      <c r="GZ77">
        <f ca="1"/>
        <v>2217.6</v>
      </c>
      <c r="HA77">
        <f ca="1"/>
        <v>2212.1999999999998</v>
      </c>
      <c r="HB77">
        <f ca="1"/>
        <v>2241</v>
      </c>
      <c r="HC77">
        <f ca="1"/>
        <v>2249.1</v>
      </c>
      <c r="HD77">
        <f ca="1"/>
        <v>2188.8000000000002</v>
      </c>
      <c r="HE77">
        <f ca="1"/>
        <v>2232</v>
      </c>
      <c r="HF77">
        <f ca="1"/>
        <v>2140.2000000000003</v>
      </c>
      <c r="HG77">
        <f ca="1"/>
        <v>2155.5</v>
      </c>
      <c r="HH77">
        <f ca="1"/>
        <v>2159.1</v>
      </c>
      <c r="HI77">
        <f ca="1"/>
        <v>2196</v>
      </c>
      <c r="HJ77">
        <f ca="1"/>
        <v>2208.6</v>
      </c>
      <c r="HK77">
        <f ca="1"/>
        <v>2230.2000000000003</v>
      </c>
      <c r="HL77">
        <f ca="1"/>
        <v>2209.9499999999998</v>
      </c>
      <c r="HM77">
        <f ca="1"/>
        <v>2211.3000000000002</v>
      </c>
      <c r="HN77">
        <f ca="1"/>
        <v>2214.9</v>
      </c>
      <c r="HO77">
        <f ca="1"/>
        <v>2205.9</v>
      </c>
      <c r="HP77">
        <f ca="1"/>
        <v>2179.7999999999997</v>
      </c>
      <c r="HQ77">
        <f ca="1"/>
        <v>2163.6</v>
      </c>
      <c r="HR77">
        <f ca="1"/>
        <v>2180.6999999999998</v>
      </c>
      <c r="HS77">
        <f ca="1"/>
        <v>2208.6</v>
      </c>
      <c r="HT77">
        <f ca="1"/>
        <v>2199.6</v>
      </c>
      <c r="HU77">
        <f ca="1"/>
        <v>2129.4</v>
      </c>
      <c r="HV77">
        <f ca="1"/>
        <v>2082.6</v>
      </c>
      <c r="HW77">
        <f ca="1"/>
        <v>2009.6999999999998</v>
      </c>
      <c r="HX77">
        <f ca="1"/>
        <v>2032.1999999999998</v>
      </c>
      <c r="HY77">
        <f ca="1"/>
        <v>2043.9</v>
      </c>
      <c r="HZ77">
        <f ca="1"/>
        <v>2060.1</v>
      </c>
      <c r="IA77">
        <f ca="1"/>
        <v>1987.1999999999998</v>
      </c>
      <c r="IB77">
        <f ca="1"/>
        <v>1958.4</v>
      </c>
      <c r="IC77">
        <f ca="1"/>
        <v>1941.3</v>
      </c>
      <c r="ID77">
        <f ca="1"/>
        <v>1908.9</v>
      </c>
      <c r="IE77">
        <f ca="1"/>
        <v>1918.8</v>
      </c>
      <c r="IF77">
        <f ca="1"/>
        <v>1935.9</v>
      </c>
      <c r="IG77">
        <f ca="1"/>
        <v>1940.3999999999999</v>
      </c>
      <c r="IH77">
        <f ca="1"/>
        <v>1983.6</v>
      </c>
      <c r="II77">
        <f ca="1"/>
        <v>2010.6</v>
      </c>
      <c r="IJ77">
        <f ca="1"/>
        <v>2024.1</v>
      </c>
      <c r="IK77">
        <f ca="1"/>
        <v>2004.3</v>
      </c>
      <c r="IL77">
        <f ca="1"/>
        <v>2051.1</v>
      </c>
      <c r="IM77">
        <f ca="1"/>
        <v>2121.3000000000002</v>
      </c>
      <c r="IN77">
        <f ca="1"/>
        <v>2086.1999999999998</v>
      </c>
      <c r="IO77">
        <f ca="1"/>
        <v>2065.5</v>
      </c>
      <c r="IP77">
        <f ca="1"/>
        <v>2094.3000000000002</v>
      </c>
      <c r="IQ77">
        <f ca="1"/>
        <v>2075.4</v>
      </c>
      <c r="IR77">
        <f ca="1"/>
        <v>2017.8000000000002</v>
      </c>
      <c r="IS77">
        <f ca="1"/>
        <v>1989.8999999999999</v>
      </c>
      <c r="IT77">
        <f ca="1"/>
        <v>1980.9</v>
      </c>
      <c r="IU77">
        <f ca="1"/>
        <v>2033.1</v>
      </c>
      <c r="IV77">
        <f ca="1"/>
        <v>2022.3</v>
      </c>
      <c r="IW77">
        <f ca="1"/>
        <v>1998.9</v>
      </c>
    </row>
    <row r="78" spans="2:257" x14ac:dyDescent="0.25">
      <c r="B78" t="str">
        <f t="shared" si="641"/>
        <v>20K6HU7</v>
      </c>
      <c r="C78" t="s">
        <v>162</v>
      </c>
      <c r="D78" t="e" vm="562">
        <v>#VALUE!</v>
      </c>
      <c r="E78" t="str" cm="1">
        <f t="array" aca="1" ref="E78" ca="1">_FV(D78,"Code mnémonique",TRUE)</f>
        <v>KO</v>
      </c>
      <c r="F78" s="12">
        <f>_xlfn.XLOOKUP(D78,Titres[Action],Titres[Nb d''actions])</f>
        <v>35</v>
      </c>
      <c r="G78" cm="1">
        <f t="array" aca="1" ref="G78:IW78" ca="1">IFERROR(TRANSPOSE(_xlfn.STOCKHISTORY(D78,TODAY()-365,TODAY(),0,0,1))*F78,"")</f>
        <v>2546.9499999999998</v>
      </c>
      <c r="H78">
        <f ca="1"/>
        <v>2586.5</v>
      </c>
      <c r="I78">
        <f ca="1"/>
        <v>2565.5</v>
      </c>
      <c r="J78">
        <f ca="1"/>
        <v>2538.1999999999998</v>
      </c>
      <c r="K78">
        <f ca="1"/>
        <v>2516.85</v>
      </c>
      <c r="L78">
        <f ca="1"/>
        <v>2512.65</v>
      </c>
      <c r="M78">
        <f ca="1"/>
        <v>2532.25</v>
      </c>
      <c r="N78">
        <f ca="1"/>
        <v>2539.25</v>
      </c>
      <c r="O78">
        <f ca="1"/>
        <v>2495.15</v>
      </c>
      <c r="P78">
        <f ca="1"/>
        <v>2507.75</v>
      </c>
      <c r="Q78">
        <f ca="1"/>
        <v>2509.5</v>
      </c>
      <c r="R78">
        <f ca="1"/>
        <v>2510.1999999999998</v>
      </c>
      <c r="S78">
        <f ca="1"/>
        <v>2534</v>
      </c>
      <c r="T78">
        <f ca="1"/>
        <v>2490.9500000000003</v>
      </c>
      <c r="U78">
        <f ca="1"/>
        <v>2468.1999999999998</v>
      </c>
      <c r="V78">
        <f ca="1"/>
        <v>2433.5500000000002</v>
      </c>
      <c r="W78">
        <f ca="1"/>
        <v>2413.6</v>
      </c>
      <c r="X78">
        <f ca="1"/>
        <v>2420.6</v>
      </c>
      <c r="Y78">
        <f ca="1"/>
        <v>2506.35</v>
      </c>
      <c r="Z78">
        <f ca="1"/>
        <v>2520</v>
      </c>
      <c r="AA78">
        <f ca="1"/>
        <v>2517.5500000000002</v>
      </c>
      <c r="AB78">
        <f ca="1"/>
        <v>2509.15</v>
      </c>
      <c r="AC78">
        <f ca="1"/>
        <v>2514.75</v>
      </c>
      <c r="AD78">
        <f ca="1"/>
        <v>2489.9</v>
      </c>
      <c r="AE78">
        <f ca="1"/>
        <v>2511.9499999999998</v>
      </c>
      <c r="AF78">
        <f ca="1"/>
        <v>2512.3000000000002</v>
      </c>
      <c r="AG78">
        <f ca="1"/>
        <v>2490.25</v>
      </c>
      <c r="AH78">
        <f ca="1"/>
        <v>2502.1499999999996</v>
      </c>
      <c r="AI78">
        <f ca="1"/>
        <v>2523.5</v>
      </c>
      <c r="AJ78">
        <f ca="1"/>
        <v>2520</v>
      </c>
      <c r="AK78">
        <f ca="1"/>
        <v>2490.6</v>
      </c>
      <c r="AL78">
        <f ca="1"/>
        <v>2497.9500000000003</v>
      </c>
      <c r="AM78">
        <f ca="1"/>
        <v>2481.85</v>
      </c>
      <c r="AN78">
        <f ca="1"/>
        <v>2497.25</v>
      </c>
      <c r="AO78">
        <f ca="1"/>
        <v>2511.9499999999998</v>
      </c>
      <c r="AP78">
        <f ca="1"/>
        <v>2532.25</v>
      </c>
      <c r="AQ78">
        <f ca="1"/>
        <v>2522.4499999999998</v>
      </c>
      <c r="AR78">
        <f ca="1"/>
        <v>2528.3999999999996</v>
      </c>
      <c r="AS78">
        <f ca="1"/>
        <v>2485.6999999999998</v>
      </c>
      <c r="AT78">
        <f ca="1"/>
        <v>2468.1999999999998</v>
      </c>
      <c r="AU78">
        <f ca="1"/>
        <v>2436.7000000000003</v>
      </c>
      <c r="AV78">
        <f ca="1"/>
        <v>2422.35</v>
      </c>
      <c r="AW78">
        <f ca="1"/>
        <v>2409.4</v>
      </c>
      <c r="AX78">
        <f ca="1"/>
        <v>2440.8999999999996</v>
      </c>
      <c r="AY78">
        <f ca="1"/>
        <v>2457.35</v>
      </c>
      <c r="AZ78">
        <f ca="1"/>
        <v>2437.0499999999997</v>
      </c>
      <c r="BA78">
        <f ca="1"/>
        <v>2431.4499999999998</v>
      </c>
      <c r="BB78">
        <f ca="1"/>
        <v>2461.5499999999997</v>
      </c>
      <c r="BC78">
        <f ca="1"/>
        <v>2476.25</v>
      </c>
      <c r="BD78">
        <f ca="1"/>
        <v>2508.4500000000003</v>
      </c>
      <c r="BE78">
        <f ca="1"/>
        <v>2481.85</v>
      </c>
      <c r="BF78">
        <f ca="1"/>
        <v>2497.25</v>
      </c>
      <c r="BG78">
        <f ca="1"/>
        <v>2485.3500000000004</v>
      </c>
      <c r="BH78">
        <f ca="1"/>
        <v>2458.3999999999996</v>
      </c>
      <c r="BI78">
        <f ca="1"/>
        <v>2431.8000000000002</v>
      </c>
      <c r="BJ78">
        <f ca="1"/>
        <v>2441.9499999999998</v>
      </c>
      <c r="BK78">
        <f ca="1"/>
        <v>2445.4500000000003</v>
      </c>
      <c r="BL78">
        <f ca="1"/>
        <v>2431.4499999999998</v>
      </c>
      <c r="BM78">
        <f ca="1"/>
        <v>2427.6</v>
      </c>
      <c r="BN78">
        <f ca="1"/>
        <v>2424.4499999999998</v>
      </c>
      <c r="BO78">
        <f ca="1"/>
        <v>2470.65</v>
      </c>
      <c r="BP78">
        <f ca="1"/>
        <v>2444.75</v>
      </c>
      <c r="BQ78">
        <f ca="1"/>
        <v>2452.4499999999998</v>
      </c>
      <c r="BR78">
        <f ca="1"/>
        <v>2438.1</v>
      </c>
      <c r="BS78">
        <f ca="1"/>
        <v>2420.6</v>
      </c>
      <c r="BT78">
        <f ca="1"/>
        <v>2418.5</v>
      </c>
      <c r="BU78">
        <f ca="1"/>
        <v>2420.9500000000003</v>
      </c>
      <c r="BV78">
        <f ca="1"/>
        <v>2383.15</v>
      </c>
      <c r="BW78">
        <f ca="1"/>
        <v>2428.2999999999997</v>
      </c>
      <c r="BX78">
        <f ca="1"/>
        <v>2406.25</v>
      </c>
      <c r="BY78">
        <f ca="1"/>
        <v>2376.15</v>
      </c>
      <c r="BZ78">
        <f ca="1"/>
        <v>2410.1</v>
      </c>
      <c r="CA78">
        <f ca="1"/>
        <v>2413.6</v>
      </c>
      <c r="CB78">
        <f ca="1"/>
        <v>2416.75</v>
      </c>
      <c r="CC78">
        <f ca="1"/>
        <v>2432.8500000000004</v>
      </c>
      <c r="CD78">
        <f ca="1"/>
        <v>2465.0500000000002</v>
      </c>
      <c r="CE78">
        <f ca="1"/>
        <v>2461.9</v>
      </c>
      <c r="CF78">
        <f ca="1"/>
        <v>2476.25</v>
      </c>
      <c r="CG78">
        <f ca="1"/>
        <v>2474.85</v>
      </c>
      <c r="CH78">
        <f ca="1"/>
        <v>2466.1</v>
      </c>
      <c r="CI78">
        <f ca="1"/>
        <v>2434.25</v>
      </c>
      <c r="CJ78">
        <f ca="1"/>
        <v>2447.2000000000003</v>
      </c>
      <c r="CK78">
        <f ca="1"/>
        <v>2419.5499999999997</v>
      </c>
      <c r="CL78">
        <f ca="1"/>
        <v>2454.5499999999997</v>
      </c>
      <c r="CM78">
        <f ca="1"/>
        <v>2474.5</v>
      </c>
      <c r="CN78">
        <f ca="1"/>
        <v>2473.1</v>
      </c>
      <c r="CO78">
        <f ca="1"/>
        <v>2454.5499999999997</v>
      </c>
      <c r="CP78">
        <f ca="1"/>
        <v>2412.5500000000002</v>
      </c>
      <c r="CQ78">
        <f ca="1"/>
        <v>2405.5500000000002</v>
      </c>
      <c r="CR78">
        <f ca="1"/>
        <v>2409.0499999999997</v>
      </c>
      <c r="CS78">
        <f ca="1"/>
        <v>2392.6</v>
      </c>
      <c r="CT78">
        <f ca="1"/>
        <v>2414.6499999999996</v>
      </c>
      <c r="CU78">
        <f ca="1"/>
        <v>2417.1</v>
      </c>
      <c r="CV78">
        <f ca="1"/>
        <v>2414.6499999999996</v>
      </c>
      <c r="CW78">
        <f ca="1"/>
        <v>2388.75</v>
      </c>
      <c r="CX78">
        <f ca="1"/>
        <v>2378.6</v>
      </c>
      <c r="CY78">
        <f ca="1"/>
        <v>2360.0500000000002</v>
      </c>
      <c r="CZ78">
        <f ca="1"/>
        <v>2375.1</v>
      </c>
      <c r="DA78">
        <f ca="1"/>
        <v>2373.6999999999998</v>
      </c>
      <c r="DB78">
        <f ca="1"/>
        <v>2366.7000000000003</v>
      </c>
      <c r="DC78">
        <f ca="1"/>
        <v>2345.3500000000004</v>
      </c>
      <c r="DD78">
        <f ca="1"/>
        <v>2317.35</v>
      </c>
      <c r="DE78">
        <f ca="1"/>
        <v>2318.3999999999996</v>
      </c>
      <c r="DF78">
        <f ca="1"/>
        <v>2346.4</v>
      </c>
      <c r="DG78">
        <f ca="1"/>
        <v>2326.1</v>
      </c>
      <c r="DH78">
        <f ca="1"/>
        <v>2325.0500000000002</v>
      </c>
      <c r="DI78">
        <f ca="1"/>
        <v>2317.35</v>
      </c>
      <c r="DJ78">
        <f ca="1"/>
        <v>2334.85</v>
      </c>
      <c r="DK78">
        <f ca="1"/>
        <v>2325.75</v>
      </c>
      <c r="DL78">
        <f ca="1"/>
        <v>2309.3000000000002</v>
      </c>
      <c r="DM78">
        <f ca="1"/>
        <v>2298.4500000000003</v>
      </c>
      <c r="DN78">
        <f ca="1"/>
        <v>2311.4</v>
      </c>
      <c r="DO78">
        <f ca="1"/>
        <v>2321.1999999999998</v>
      </c>
      <c r="DP78">
        <f ca="1"/>
        <v>2337.3000000000002</v>
      </c>
      <c r="DQ78">
        <f ca="1"/>
        <v>2313.5</v>
      </c>
      <c r="DR78">
        <f ca="1"/>
        <v>2332.75</v>
      </c>
      <c r="DS78">
        <f ca="1"/>
        <v>2313.5</v>
      </c>
      <c r="DT78">
        <f ca="1"/>
        <v>2337.65</v>
      </c>
      <c r="DU78">
        <f ca="1"/>
        <v>2314.2000000000003</v>
      </c>
      <c r="DV78">
        <f ca="1"/>
        <v>2322.9500000000003</v>
      </c>
      <c r="DW78">
        <f ca="1"/>
        <v>2346.4</v>
      </c>
      <c r="DX78">
        <f ca="1"/>
        <v>2338</v>
      </c>
      <c r="DY78">
        <f ca="1"/>
        <v>2362.8500000000004</v>
      </c>
      <c r="DZ78">
        <f ca="1"/>
        <v>2347.7999999999997</v>
      </c>
      <c r="EA78">
        <f ca="1"/>
        <v>2365.65</v>
      </c>
      <c r="EB78">
        <f ca="1"/>
        <v>2395.4</v>
      </c>
      <c r="EC78">
        <f ca="1"/>
        <v>2395.4</v>
      </c>
      <c r="ED78">
        <f ca="1"/>
        <v>2492.6999999999998</v>
      </c>
      <c r="EE78">
        <f ca="1"/>
        <v>2478.35</v>
      </c>
      <c r="EF78">
        <f ca="1"/>
        <v>2447.9</v>
      </c>
      <c r="EG78">
        <f ca="1"/>
        <v>2439.85</v>
      </c>
      <c r="EH78">
        <f ca="1"/>
        <v>2452.1</v>
      </c>
      <c r="EI78">
        <f ca="1"/>
        <v>2455.6</v>
      </c>
      <c r="EJ78">
        <f ca="1"/>
        <v>2392.25</v>
      </c>
      <c r="EK78">
        <f ca="1"/>
        <v>2414.3000000000002</v>
      </c>
      <c r="EL78">
        <f ca="1"/>
        <v>2411.5</v>
      </c>
      <c r="EM78">
        <f ca="1"/>
        <v>2378.9499999999998</v>
      </c>
      <c r="EN78">
        <f ca="1"/>
        <v>2403.1</v>
      </c>
      <c r="EO78">
        <f ca="1"/>
        <v>2397.8500000000004</v>
      </c>
      <c r="EP78">
        <f ca="1"/>
        <v>2417.1</v>
      </c>
      <c r="EQ78">
        <f ca="1"/>
        <v>2469.25</v>
      </c>
      <c r="ER78">
        <f ca="1"/>
        <v>2468.1999999999998</v>
      </c>
      <c r="ES78">
        <f ca="1"/>
        <v>2506.35</v>
      </c>
      <c r="ET78">
        <f ca="1"/>
        <v>2502.8500000000004</v>
      </c>
      <c r="EU78">
        <f ca="1"/>
        <v>2487.4499999999998</v>
      </c>
      <c r="EV78">
        <f ca="1"/>
        <v>2490.6</v>
      </c>
      <c r="EW78">
        <f ca="1"/>
        <v>2473.8000000000002</v>
      </c>
      <c r="EX78">
        <f ca="1"/>
        <v>2492.6999999999998</v>
      </c>
      <c r="EY78">
        <f ca="1"/>
        <v>2488.85</v>
      </c>
      <c r="EZ78">
        <f ca="1"/>
        <v>2492.35</v>
      </c>
      <c r="FA78">
        <f ca="1"/>
        <v>2553.25</v>
      </c>
      <c r="FB78">
        <f ca="1"/>
        <v>2540.65</v>
      </c>
      <c r="FC78">
        <f ca="1"/>
        <v>2541.35</v>
      </c>
      <c r="FD78">
        <f ca="1"/>
        <v>2550.7999999999997</v>
      </c>
      <c r="FE78">
        <f ca="1"/>
        <v>2559.2000000000003</v>
      </c>
      <c r="FF78">
        <f ca="1"/>
        <v>2518.25</v>
      </c>
      <c r="FG78">
        <f ca="1"/>
        <v>2473.4500000000003</v>
      </c>
      <c r="FH78">
        <f ca="1"/>
        <v>2478.35</v>
      </c>
      <c r="FI78">
        <f ca="1"/>
        <v>2465.75</v>
      </c>
      <c r="FJ78">
        <f ca="1"/>
        <v>2450</v>
      </c>
      <c r="FK78">
        <f ca="1"/>
        <v>2458.75</v>
      </c>
      <c r="FL78">
        <f ca="1"/>
        <v>2453.15</v>
      </c>
      <c r="FM78">
        <f ca="1"/>
        <v>2457.35</v>
      </c>
      <c r="FN78">
        <f ca="1"/>
        <v>2418.85</v>
      </c>
      <c r="FO78">
        <f ca="1"/>
        <v>2468.1999999999998</v>
      </c>
      <c r="FP78">
        <f ca="1"/>
        <v>2483.9499999999998</v>
      </c>
      <c r="FQ78">
        <f ca="1"/>
        <v>2462.9500000000003</v>
      </c>
      <c r="FR78">
        <f ca="1"/>
        <v>2473.4500000000003</v>
      </c>
      <c r="FS78">
        <f ca="1"/>
        <v>2462.6</v>
      </c>
      <c r="FT78">
        <f ca="1"/>
        <v>2452.1</v>
      </c>
      <c r="FU78">
        <f ca="1"/>
        <v>2457.35</v>
      </c>
      <c r="FV78">
        <f ca="1"/>
        <v>2445.4500000000003</v>
      </c>
      <c r="FW78">
        <f ca="1"/>
        <v>2453.85</v>
      </c>
      <c r="FX78">
        <f ca="1"/>
        <v>2445.4500000000003</v>
      </c>
      <c r="FY78">
        <f ca="1"/>
        <v>2455.6</v>
      </c>
      <c r="FZ78">
        <f ca="1"/>
        <v>2452.4499999999998</v>
      </c>
      <c r="GA78">
        <f ca="1"/>
        <v>2446.85</v>
      </c>
      <c r="GB78">
        <f ca="1"/>
        <v>2419.2000000000003</v>
      </c>
      <c r="GC78">
        <f ca="1"/>
        <v>2377.9</v>
      </c>
      <c r="GD78">
        <f ca="1"/>
        <v>2374.4</v>
      </c>
      <c r="GE78">
        <f ca="1"/>
        <v>2363.9</v>
      </c>
      <c r="GF78">
        <f ca="1"/>
        <v>2427.9500000000003</v>
      </c>
      <c r="GG78">
        <f ca="1"/>
        <v>2467.8500000000004</v>
      </c>
      <c r="GH78">
        <f ca="1"/>
        <v>2467.5</v>
      </c>
      <c r="GI78">
        <f ca="1"/>
        <v>2493.3999999999996</v>
      </c>
      <c r="GJ78">
        <f ca="1"/>
        <v>2500.4</v>
      </c>
      <c r="GK78">
        <f ca="1"/>
        <v>2466.8000000000002</v>
      </c>
      <c r="GL78">
        <f ca="1"/>
        <v>2465.4</v>
      </c>
      <c r="GM78">
        <f ca="1"/>
        <v>2511.25</v>
      </c>
      <c r="GN78">
        <f ca="1"/>
        <v>2520.3500000000004</v>
      </c>
      <c r="GO78">
        <f ca="1"/>
        <v>2515.4500000000003</v>
      </c>
      <c r="GP78">
        <f ca="1"/>
        <v>2550.7999999999997</v>
      </c>
      <c r="GQ78">
        <f ca="1"/>
        <v>2539.6</v>
      </c>
      <c r="GR78">
        <f ca="1"/>
        <v>2574.25</v>
      </c>
      <c r="GS78">
        <f ca="1"/>
        <v>2557.1</v>
      </c>
      <c r="GT78">
        <f ca="1"/>
        <v>2570.0500000000002</v>
      </c>
      <c r="GU78">
        <f ca="1"/>
        <v>2618.35</v>
      </c>
      <c r="GV78">
        <f ca="1"/>
        <v>2636.5499999999997</v>
      </c>
      <c r="GW78">
        <f ca="1"/>
        <v>2691.15</v>
      </c>
      <c r="GX78">
        <f ca="1"/>
        <v>2707.25</v>
      </c>
      <c r="GY78">
        <f ca="1"/>
        <v>2747.8500000000004</v>
      </c>
      <c r="GZ78">
        <f ca="1"/>
        <v>2766.05</v>
      </c>
      <c r="HA78">
        <f ca="1"/>
        <v>2728.95</v>
      </c>
      <c r="HB78">
        <f ca="1"/>
        <v>2688.35</v>
      </c>
      <c r="HC78">
        <f ca="1"/>
        <v>2751</v>
      </c>
      <c r="HD78">
        <f ca="1"/>
        <v>2765</v>
      </c>
      <c r="HE78">
        <f ca="1"/>
        <v>2753.8</v>
      </c>
      <c r="HF78">
        <f ca="1"/>
        <v>2784.6</v>
      </c>
      <c r="HG78">
        <f ca="1"/>
        <v>2782.1499999999996</v>
      </c>
      <c r="HH78">
        <f ca="1"/>
        <v>2761.85</v>
      </c>
      <c r="HI78">
        <f ca="1"/>
        <v>2794.4</v>
      </c>
      <c r="HJ78">
        <f ca="1"/>
        <v>2819.6</v>
      </c>
      <c r="HK78">
        <f ca="1"/>
        <v>2825.2</v>
      </c>
      <c r="HL78">
        <f ca="1"/>
        <v>2816.45</v>
      </c>
      <c r="HM78">
        <f ca="1"/>
        <v>2817.5</v>
      </c>
      <c r="HN78">
        <f ca="1"/>
        <v>2854.6</v>
      </c>
      <c r="HO78">
        <f ca="1"/>
        <v>2807.7</v>
      </c>
      <c r="HP78">
        <f ca="1"/>
        <v>2776.9</v>
      </c>
      <c r="HQ78">
        <f ca="1"/>
        <v>2733.5</v>
      </c>
      <c r="HR78">
        <f ca="1"/>
        <v>2696.05</v>
      </c>
      <c r="HS78">
        <f ca="1"/>
        <v>2696.4</v>
      </c>
      <c r="HT78">
        <f ca="1"/>
        <v>2723</v>
      </c>
      <c r="HU78">
        <f ca="1"/>
        <v>2725.7999999999997</v>
      </c>
      <c r="HV78">
        <f ca="1"/>
        <v>2717.0499999999997</v>
      </c>
      <c r="HW78">
        <f ca="1"/>
        <v>2716.35</v>
      </c>
      <c r="HX78">
        <f ca="1"/>
        <v>2706.9</v>
      </c>
      <c r="HY78">
        <f ca="1"/>
        <v>2723.7</v>
      </c>
      <c r="HZ78">
        <f ca="1"/>
        <v>2715.2999999999997</v>
      </c>
      <c r="IA78">
        <f ca="1"/>
        <v>2658.95</v>
      </c>
      <c r="IB78">
        <f ca="1"/>
        <v>2644.25</v>
      </c>
      <c r="IC78">
        <f ca="1"/>
        <v>2616.25</v>
      </c>
      <c r="ID78">
        <f ca="1"/>
        <v>2628.85</v>
      </c>
      <c r="IE78">
        <f ca="1"/>
        <v>2613.4500000000003</v>
      </c>
      <c r="IF78">
        <f ca="1"/>
        <v>2633.75</v>
      </c>
      <c r="IG78">
        <f ca="1"/>
        <v>2614.15</v>
      </c>
      <c r="IH78">
        <f ca="1"/>
        <v>2649.85</v>
      </c>
      <c r="II78">
        <f ca="1"/>
        <v>2669.45</v>
      </c>
      <c r="IJ78">
        <f ca="1"/>
        <v>2661.75</v>
      </c>
      <c r="IK78">
        <f ca="1"/>
        <v>2662.7999999999997</v>
      </c>
      <c r="IL78">
        <f ca="1"/>
        <v>2685.2</v>
      </c>
      <c r="IM78">
        <f ca="1"/>
        <v>2702.7</v>
      </c>
      <c r="IN78">
        <f ca="1"/>
        <v>2656.85</v>
      </c>
      <c r="IO78">
        <f ca="1"/>
        <v>2705.15</v>
      </c>
      <c r="IP78">
        <f ca="1"/>
        <v>2736.3</v>
      </c>
      <c r="IQ78">
        <f ca="1"/>
        <v>2711.45</v>
      </c>
      <c r="IR78">
        <f ca="1"/>
        <v>2674.35</v>
      </c>
      <c r="IS78">
        <f ca="1"/>
        <v>2656.5</v>
      </c>
      <c r="IT78">
        <f ca="1"/>
        <v>2635.85</v>
      </c>
      <c r="IU78">
        <f ca="1"/>
        <v>2631.3</v>
      </c>
      <c r="IV78">
        <f ca="1"/>
        <v>2650.8999999999996</v>
      </c>
      <c r="IW78">
        <f ca="1"/>
        <v>2641.8</v>
      </c>
    </row>
    <row r="79" spans="2:257" x14ac:dyDescent="0.25">
      <c r="B79" t="str">
        <f t="shared" si="641"/>
        <v>20K6HU7</v>
      </c>
      <c r="C79" t="s">
        <v>162</v>
      </c>
      <c r="D79" t="e" vm="545">
        <v>#VALUE!</v>
      </c>
      <c r="E79" t="str" cm="1">
        <f t="array" aca="1" ref="E79" ca="1">_FV(D79,"Code mnémonique",TRUE)</f>
        <v>MCD</v>
      </c>
      <c r="F79" s="12">
        <f>_xlfn.XLOOKUP(D79,Titres[Action],Titres[Nb d''actions])</f>
        <v>13</v>
      </c>
      <c r="G79" cm="1">
        <f t="array" aca="1" ref="G79:IW79" ca="1">IFERROR(TRANSPOSE(_xlfn.STOCKHISTORY(D79,TODAY()-365,TODAY(),0,0,1))*F79,"")</f>
        <v>4013.3600000000006</v>
      </c>
      <c r="H79">
        <f ca="1"/>
        <v>4148.04</v>
      </c>
      <c r="I79">
        <f ca="1"/>
        <v>4140.24</v>
      </c>
      <c r="J79">
        <f ca="1"/>
        <v>4110.8600000000006</v>
      </c>
      <c r="K79">
        <f ca="1"/>
        <v>4117.62</v>
      </c>
      <c r="L79">
        <f ca="1"/>
        <v>4118.53</v>
      </c>
      <c r="M79">
        <f ca="1"/>
        <v>4088.5</v>
      </c>
      <c r="N79">
        <f ca="1"/>
        <v>4155.45</v>
      </c>
      <c r="O79">
        <f ca="1"/>
        <v>4077.3199999999997</v>
      </c>
      <c r="P79">
        <f ca="1"/>
        <v>4055.4799999999996</v>
      </c>
      <c r="Q79">
        <f ca="1"/>
        <v>4104.3600000000006</v>
      </c>
      <c r="R79">
        <f ca="1"/>
        <v>4118.2700000000004</v>
      </c>
      <c r="S79">
        <f ca="1"/>
        <v>4135.6899999999996</v>
      </c>
      <c r="T79">
        <f ca="1"/>
        <v>4075.37</v>
      </c>
      <c r="U79">
        <f ca="1"/>
        <v>4077.84</v>
      </c>
      <c r="V79">
        <f ca="1"/>
        <v>4054.96</v>
      </c>
      <c r="W79">
        <f ca="1"/>
        <v>4012.97</v>
      </c>
      <c r="X79">
        <f ca="1"/>
        <v>3997.5</v>
      </c>
      <c r="Y79">
        <f ca="1"/>
        <v>4088.2400000000002</v>
      </c>
      <c r="Z79">
        <f ca="1"/>
        <v>4141.93</v>
      </c>
      <c r="AA79">
        <f ca="1"/>
        <v>4175.99</v>
      </c>
      <c r="AB79">
        <f ca="1"/>
        <v>4157.4000000000005</v>
      </c>
      <c r="AC79">
        <f ca="1"/>
        <v>4113.72</v>
      </c>
      <c r="AD79">
        <f ca="1"/>
        <v>4086.03</v>
      </c>
      <c r="AE79">
        <f ca="1"/>
        <v>4089.41</v>
      </c>
      <c r="AF79">
        <f ca="1"/>
        <v>4094.35</v>
      </c>
      <c r="AG79">
        <f ca="1"/>
        <v>4066.9199999999996</v>
      </c>
      <c r="AH79">
        <f ca="1"/>
        <v>4054.1800000000003</v>
      </c>
      <c r="AI79">
        <f ca="1"/>
        <v>4080.05</v>
      </c>
      <c r="AJ79">
        <f ca="1"/>
        <v>4064.84</v>
      </c>
      <c r="AK79">
        <f ca="1"/>
        <v>4061.0699999999997</v>
      </c>
      <c r="AL79">
        <f ca="1"/>
        <v>4050.41</v>
      </c>
      <c r="AM79">
        <f ca="1"/>
        <v>4016.7400000000002</v>
      </c>
      <c r="AN79">
        <f ca="1"/>
        <v>3995.6800000000003</v>
      </c>
      <c r="AO79">
        <f ca="1"/>
        <v>3962.1399999999994</v>
      </c>
      <c r="AP79">
        <f ca="1"/>
        <v>3905.59</v>
      </c>
      <c r="AQ79">
        <f ca="1"/>
        <v>3922.3600000000006</v>
      </c>
      <c r="AR79">
        <f ca="1"/>
        <v>3941.0800000000004</v>
      </c>
      <c r="AS79">
        <f ca="1"/>
        <v>3924.8300000000004</v>
      </c>
      <c r="AT79">
        <f ca="1"/>
        <v>3851.7700000000004</v>
      </c>
      <c r="AU79">
        <f ca="1"/>
        <v>3800.03</v>
      </c>
      <c r="AV79">
        <f ca="1"/>
        <v>3765.19</v>
      </c>
      <c r="AW79">
        <f ca="1"/>
        <v>3736.9799999999996</v>
      </c>
      <c r="AX79">
        <f ca="1"/>
        <v>3763.7599999999998</v>
      </c>
      <c r="AY79">
        <f ca="1"/>
        <v>3789.1100000000006</v>
      </c>
      <c r="AZ79">
        <f ca="1"/>
        <v>3712.15</v>
      </c>
      <c r="BA79">
        <f ca="1"/>
        <v>3713.19</v>
      </c>
      <c r="BB79">
        <f ca="1"/>
        <v>3790.15</v>
      </c>
      <c r="BC79">
        <f ca="1"/>
        <v>3798.21</v>
      </c>
      <c r="BD79">
        <f ca="1"/>
        <v>3867.37</v>
      </c>
      <c r="BE79">
        <f ca="1"/>
        <v>3830.19</v>
      </c>
      <c r="BF79">
        <f ca="1"/>
        <v>3823.04</v>
      </c>
      <c r="BG79">
        <f ca="1"/>
        <v>3815.8899999999994</v>
      </c>
      <c r="BH79">
        <f ca="1"/>
        <v>3791.71</v>
      </c>
      <c r="BI79">
        <f ca="1"/>
        <v>3809.2599999999998</v>
      </c>
      <c r="BJ79">
        <f ca="1"/>
        <v>3879.0699999999997</v>
      </c>
      <c r="BK79">
        <f ca="1"/>
        <v>3898.8300000000004</v>
      </c>
      <c r="BL79">
        <f ca="1"/>
        <v>3924.44</v>
      </c>
      <c r="BM79">
        <f ca="1"/>
        <v>3895.06</v>
      </c>
      <c r="BN79">
        <f ca="1"/>
        <v>3885.7</v>
      </c>
      <c r="BO79">
        <f ca="1"/>
        <v>3904.81</v>
      </c>
      <c r="BP79">
        <f ca="1"/>
        <v>3861.91</v>
      </c>
      <c r="BQ79">
        <f ca="1"/>
        <v>3844.62</v>
      </c>
      <c r="BR79">
        <f ca="1"/>
        <v>3889.21</v>
      </c>
      <c r="BS79">
        <f ca="1"/>
        <v>3875.56</v>
      </c>
      <c r="BT79">
        <f ca="1"/>
        <v>3828.2400000000002</v>
      </c>
      <c r="BU79">
        <f ca="1"/>
        <v>3880.1100000000006</v>
      </c>
      <c r="BV79">
        <f ca="1"/>
        <v>3889.8600000000006</v>
      </c>
      <c r="BW79">
        <f ca="1"/>
        <v>3934.71</v>
      </c>
      <c r="BX79">
        <f ca="1"/>
        <v>3946.9300000000003</v>
      </c>
      <c r="BY79">
        <f ca="1"/>
        <v>3900.91</v>
      </c>
      <c r="BZ79">
        <f ca="1"/>
        <v>3937.5699999999997</v>
      </c>
      <c r="CA79">
        <f ca="1"/>
        <v>3954.9900000000002</v>
      </c>
      <c r="CB79">
        <f ca="1"/>
        <v>3884.0099999999998</v>
      </c>
      <c r="CC79">
        <f ca="1"/>
        <v>3999.5800000000004</v>
      </c>
      <c r="CD79">
        <f ca="1"/>
        <v>4002.8300000000004</v>
      </c>
      <c r="CE79">
        <f ca="1"/>
        <v>3970.85</v>
      </c>
      <c r="CF79">
        <f ca="1"/>
        <v>3956.6800000000003</v>
      </c>
      <c r="CG79">
        <f ca="1"/>
        <v>3921.3199999999997</v>
      </c>
      <c r="CH79">
        <f ca="1"/>
        <v>3965.91</v>
      </c>
      <c r="CI79">
        <f ca="1"/>
        <v>4016.35</v>
      </c>
      <c r="CJ79">
        <f ca="1"/>
        <v>4016.09</v>
      </c>
      <c r="CK79">
        <f ca="1"/>
        <v>4013.1</v>
      </c>
      <c r="CL79">
        <f ca="1"/>
        <v>4042.09</v>
      </c>
      <c r="CM79">
        <f ca="1"/>
        <v>4070.04</v>
      </c>
      <c r="CN79">
        <f ca="1"/>
        <v>4071.8600000000006</v>
      </c>
      <c r="CO79">
        <f ca="1"/>
        <v>4082.91</v>
      </c>
      <c r="CP79">
        <f ca="1"/>
        <v>4074.72</v>
      </c>
      <c r="CQ79">
        <f ca="1"/>
        <v>4068.22</v>
      </c>
      <c r="CR79">
        <f ca="1"/>
        <v>4048.59</v>
      </c>
      <c r="CS79">
        <f ca="1"/>
        <v>4058.8600000000006</v>
      </c>
      <c r="CT79">
        <f ca="1"/>
        <v>4076.0200000000004</v>
      </c>
      <c r="CU79">
        <f ca="1"/>
        <v>4104.88</v>
      </c>
      <c r="CV79">
        <f ca="1"/>
        <v>4113.07</v>
      </c>
      <c r="CW79">
        <f ca="1"/>
        <v>4120.87</v>
      </c>
      <c r="CX79">
        <f ca="1"/>
        <v>4086.94</v>
      </c>
      <c r="CY79">
        <f ca="1"/>
        <v>4066.4</v>
      </c>
      <c r="CZ79">
        <f ca="1"/>
        <v>4062.7599999999998</v>
      </c>
      <c r="DA79">
        <f ca="1"/>
        <v>3977.22</v>
      </c>
      <c r="DB79">
        <f ca="1"/>
        <v>4009.59</v>
      </c>
      <c r="DC79">
        <f ca="1"/>
        <v>3970.2</v>
      </c>
      <c r="DD79">
        <f ca="1"/>
        <v>3926.91</v>
      </c>
      <c r="DE79">
        <f ca="1"/>
        <v>3942.7700000000004</v>
      </c>
      <c r="DF79">
        <f ca="1"/>
        <v>3964.6100000000006</v>
      </c>
      <c r="DG79">
        <f ca="1"/>
        <v>3914.8199999999997</v>
      </c>
      <c r="DH79">
        <f ca="1"/>
        <v>3930.94</v>
      </c>
      <c r="DI79">
        <f ca="1"/>
        <v>3938.87</v>
      </c>
      <c r="DJ79">
        <f ca="1"/>
        <v>3941.47</v>
      </c>
      <c r="DK79">
        <f ca="1"/>
        <v>3956.29</v>
      </c>
      <c r="DL79">
        <f ca="1"/>
        <v>3929.9</v>
      </c>
      <c r="DM79">
        <f ca="1"/>
        <v>3968.12</v>
      </c>
      <c r="DN79">
        <f ca="1"/>
        <v>3938.87</v>
      </c>
      <c r="DO79">
        <f ca="1"/>
        <v>3950.5699999999997</v>
      </c>
      <c r="DP79">
        <f ca="1"/>
        <v>3906.7599999999998</v>
      </c>
      <c r="DQ79">
        <f ca="1"/>
        <v>3898.44</v>
      </c>
      <c r="DR79">
        <f ca="1"/>
        <v>3912.7400000000002</v>
      </c>
      <c r="DS79">
        <f ca="1"/>
        <v>3848.5200000000004</v>
      </c>
      <c r="DT79">
        <f ca="1"/>
        <v>3852.16</v>
      </c>
      <c r="DU79">
        <f ca="1"/>
        <v>3827.2</v>
      </c>
      <c r="DV79">
        <f ca="1"/>
        <v>3819.53</v>
      </c>
      <c r="DW79">
        <f ca="1"/>
        <v>3861.13</v>
      </c>
      <c r="DX79">
        <f ca="1"/>
        <v>3901.4300000000003</v>
      </c>
      <c r="DY79">
        <f ca="1"/>
        <v>3959.28</v>
      </c>
      <c r="DZ79">
        <f ca="1"/>
        <v>3968.25</v>
      </c>
      <c r="EA79">
        <f ca="1"/>
        <v>3969.29</v>
      </c>
      <c r="EB79">
        <f ca="1"/>
        <v>4005.1699999999996</v>
      </c>
      <c r="EC79">
        <f ca="1"/>
        <v>4001.0099999999998</v>
      </c>
      <c r="ED79">
        <f ca="1"/>
        <v>3997.2400000000002</v>
      </c>
      <c r="EE79">
        <f ca="1"/>
        <v>4031.4300000000003</v>
      </c>
      <c r="EF79">
        <f ca="1"/>
        <v>3990.6100000000006</v>
      </c>
      <c r="EG79">
        <f ca="1"/>
        <v>3975.2700000000004</v>
      </c>
      <c r="EH79">
        <f ca="1"/>
        <v>4030</v>
      </c>
      <c r="EI79">
        <f ca="1"/>
        <v>3983.2</v>
      </c>
      <c r="EJ79">
        <f ca="1"/>
        <v>3930.55</v>
      </c>
      <c r="EK79">
        <f ca="1"/>
        <v>3931.59</v>
      </c>
      <c r="EL79">
        <f ca="1"/>
        <v>3879.59</v>
      </c>
      <c r="EM79">
        <f ca="1"/>
        <v>3852.81</v>
      </c>
      <c r="EN79">
        <f ca="1"/>
        <v>3889.7299999999996</v>
      </c>
      <c r="EO79">
        <f ca="1"/>
        <v>3973.71</v>
      </c>
      <c r="EP79">
        <f ca="1"/>
        <v>3879.3300000000004</v>
      </c>
      <c r="EQ79">
        <f ca="1"/>
        <v>3895.5800000000004</v>
      </c>
      <c r="ER79">
        <f ca="1"/>
        <v>3888.3</v>
      </c>
      <c r="ES79">
        <f ca="1"/>
        <v>3988.79</v>
      </c>
      <c r="ET79">
        <f ca="1"/>
        <v>3990.22</v>
      </c>
      <c r="EU79">
        <f ca="1"/>
        <v>3998.54</v>
      </c>
      <c r="EV79">
        <f ca="1"/>
        <v>3991.3899999999994</v>
      </c>
      <c r="EW79">
        <f ca="1"/>
        <v>3963.7</v>
      </c>
      <c r="EX79">
        <f ca="1"/>
        <v>3959.6699999999996</v>
      </c>
      <c r="EY79">
        <f ca="1"/>
        <v>3935.62</v>
      </c>
      <c r="EZ79">
        <f ca="1"/>
        <v>3954.0800000000004</v>
      </c>
      <c r="FA79">
        <f ca="1"/>
        <v>4021.55</v>
      </c>
      <c r="FB79">
        <f ca="1"/>
        <v>3963.7</v>
      </c>
      <c r="FC79">
        <f ca="1"/>
        <v>4035.85</v>
      </c>
      <c r="FD79">
        <f ca="1"/>
        <v>4061.2</v>
      </c>
      <c r="FE79">
        <f ca="1"/>
        <v>4053.66</v>
      </c>
      <c r="FF79">
        <f ca="1"/>
        <v>3946.41</v>
      </c>
      <c r="FG79">
        <f ca="1"/>
        <v>3909.3600000000006</v>
      </c>
      <c r="FH79">
        <f ca="1"/>
        <v>4000.2299999999996</v>
      </c>
      <c r="FI79">
        <f ca="1"/>
        <v>4011.0200000000004</v>
      </c>
      <c r="FJ79">
        <f ca="1"/>
        <v>4045.9900000000002</v>
      </c>
      <c r="FK79">
        <f ca="1"/>
        <v>4027.2700000000004</v>
      </c>
      <c r="FL79">
        <f ca="1"/>
        <v>4040.2700000000004</v>
      </c>
      <c r="FM79">
        <f ca="1"/>
        <v>4036.8899999999994</v>
      </c>
      <c r="FN79">
        <f ca="1"/>
        <v>4026.2299999999996</v>
      </c>
      <c r="FO79">
        <f ca="1"/>
        <v>4117.3600000000006</v>
      </c>
      <c r="FP79">
        <f ca="1"/>
        <v>4143.49</v>
      </c>
      <c r="FQ79">
        <f ca="1"/>
        <v>4088.5</v>
      </c>
      <c r="FR79">
        <f ca="1"/>
        <v>4142.97</v>
      </c>
      <c r="FS79">
        <f ca="1"/>
        <v>4155.45</v>
      </c>
      <c r="FT79">
        <f ca="1"/>
        <v>4105.92</v>
      </c>
      <c r="FU79">
        <f ca="1"/>
        <v>4110.8600000000006</v>
      </c>
      <c r="FV79">
        <f ca="1"/>
        <v>4040.9199999999996</v>
      </c>
      <c r="FW79">
        <f ca="1"/>
        <v>4073.29</v>
      </c>
      <c r="FX79">
        <f ca="1"/>
        <v>4038.84</v>
      </c>
      <c r="FY79">
        <f ca="1"/>
        <v>4010.8899999999994</v>
      </c>
      <c r="FZ79">
        <f ca="1"/>
        <v>4004.3899999999994</v>
      </c>
      <c r="GA79">
        <f ca="1"/>
        <v>3973.19</v>
      </c>
      <c r="GB79">
        <f ca="1"/>
        <v>3942.38</v>
      </c>
      <c r="GC79">
        <f ca="1"/>
        <v>3898.1800000000003</v>
      </c>
      <c r="GD79">
        <f ca="1"/>
        <v>3936.0099999999998</v>
      </c>
      <c r="GE79">
        <f ca="1"/>
        <v>3954.0800000000004</v>
      </c>
      <c r="GF79">
        <f ca="1"/>
        <v>4015.44</v>
      </c>
      <c r="GG79">
        <f ca="1"/>
        <v>3995.16</v>
      </c>
      <c r="GH79">
        <f ca="1"/>
        <v>3987.75</v>
      </c>
      <c r="GI79">
        <f ca="1"/>
        <v>4022.72</v>
      </c>
      <c r="GJ79">
        <f ca="1"/>
        <v>4005.69</v>
      </c>
      <c r="GK79">
        <f ca="1"/>
        <v>4012.06</v>
      </c>
      <c r="GL79">
        <f ca="1"/>
        <v>3996.59</v>
      </c>
      <c r="GM79">
        <f ca="1"/>
        <v>3936.9199999999996</v>
      </c>
      <c r="GN79">
        <f ca="1"/>
        <v>3973.97</v>
      </c>
      <c r="GO79">
        <f ca="1"/>
        <v>3978.3899999999994</v>
      </c>
      <c r="GP79">
        <f ca="1"/>
        <v>4020.25</v>
      </c>
      <c r="GQ79">
        <f ca="1"/>
        <v>4068.35</v>
      </c>
      <c r="GR79">
        <f ca="1"/>
        <v>4083.69</v>
      </c>
      <c r="GS79">
        <f ca="1"/>
        <v>4066.4</v>
      </c>
      <c r="GT79">
        <f ca="1"/>
        <v>4101.63</v>
      </c>
      <c r="GU79">
        <f ca="1"/>
        <v>4095</v>
      </c>
      <c r="GV79">
        <f ca="1"/>
        <v>4140.8899999999994</v>
      </c>
      <c r="GW79">
        <f ca="1"/>
        <v>4153.24</v>
      </c>
      <c r="GX79">
        <f ca="1"/>
        <v>4207.97</v>
      </c>
      <c r="GY79">
        <f ca="1"/>
        <v>4205.24</v>
      </c>
      <c r="GZ79">
        <f ca="1"/>
        <v>4253.08</v>
      </c>
      <c r="HA79">
        <f ca="1"/>
        <v>4232.8</v>
      </c>
      <c r="HB79">
        <f ca="1"/>
        <v>4237.6100000000006</v>
      </c>
      <c r="HC79">
        <f ca="1"/>
        <v>4201.7299999999996</v>
      </c>
      <c r="HD79">
        <f ca="1"/>
        <v>4317.04</v>
      </c>
      <c r="HE79">
        <f ca="1"/>
        <v>4258.54</v>
      </c>
      <c r="HF79">
        <f ca="1"/>
        <v>4259.0600000000004</v>
      </c>
      <c r="HG79">
        <f ca="1"/>
        <v>4262.57</v>
      </c>
      <c r="HH79">
        <f ca="1"/>
        <v>4252.43</v>
      </c>
      <c r="HI79">
        <f ca="1"/>
        <v>4279.99</v>
      </c>
      <c r="HJ79">
        <f ca="1"/>
        <v>4349.28</v>
      </c>
      <c r="HK79">
        <f ca="1"/>
        <v>4329.6500000000005</v>
      </c>
      <c r="HL79">
        <f ca="1"/>
        <v>4329.13</v>
      </c>
      <c r="HM79">
        <f ca="1"/>
        <v>4348.8899999999994</v>
      </c>
      <c r="HN79">
        <f ca="1"/>
        <v>4433.78</v>
      </c>
      <c r="HO79">
        <f ca="1"/>
        <v>4352.66</v>
      </c>
      <c r="HP79">
        <f ca="1"/>
        <v>4318.21</v>
      </c>
      <c r="HQ79">
        <f ca="1"/>
        <v>4312.62</v>
      </c>
      <c r="HR79">
        <f ca="1"/>
        <v>4256.8499999999995</v>
      </c>
      <c r="HS79">
        <f ca="1"/>
        <v>4264.78</v>
      </c>
      <c r="HT79">
        <f ca="1"/>
        <v>4300.4000000000005</v>
      </c>
      <c r="HU79">
        <f ca="1"/>
        <v>4263.22</v>
      </c>
      <c r="HV79">
        <f ca="1"/>
        <v>4227.7299999999996</v>
      </c>
      <c r="HW79">
        <f ca="1"/>
        <v>4210.83</v>
      </c>
      <c r="HX79">
        <f ca="1"/>
        <v>4243.9799999999996</v>
      </c>
      <c r="HY79">
        <f ca="1"/>
        <v>4246.45</v>
      </c>
      <c r="HZ79">
        <f ca="1"/>
        <v>4241.9000000000005</v>
      </c>
      <c r="IA79">
        <f ca="1"/>
        <v>4104.49</v>
      </c>
      <c r="IB79">
        <f ca="1"/>
        <v>4024.54</v>
      </c>
      <c r="IC79">
        <f ca="1"/>
        <v>4015.05</v>
      </c>
      <c r="ID79">
        <f ca="1"/>
        <v>4010.1100000000006</v>
      </c>
      <c r="IE79">
        <f ca="1"/>
        <v>4001.9199999999996</v>
      </c>
      <c r="IF79">
        <f ca="1"/>
        <v>4052.1</v>
      </c>
      <c r="IG79">
        <f ca="1"/>
        <v>4016.09</v>
      </c>
      <c r="IH79">
        <f ca="1"/>
        <v>3976.7</v>
      </c>
      <c r="II79">
        <f ca="1"/>
        <v>4010.8899999999994</v>
      </c>
      <c r="IJ79">
        <f ca="1"/>
        <v>4040.2700000000004</v>
      </c>
      <c r="IK79">
        <f ca="1"/>
        <v>3994.7700000000004</v>
      </c>
      <c r="IL79">
        <f ca="1"/>
        <v>3992.8199999999997</v>
      </c>
      <c r="IM79">
        <f ca="1"/>
        <v>4026.88</v>
      </c>
      <c r="IN79">
        <f ca="1"/>
        <v>3963.05</v>
      </c>
      <c r="IO79">
        <f ca="1"/>
        <v>3991.13</v>
      </c>
      <c r="IP79">
        <f ca="1"/>
        <v>4024.15</v>
      </c>
      <c r="IQ79">
        <f ca="1"/>
        <v>3973.84</v>
      </c>
      <c r="IR79">
        <f ca="1"/>
        <v>3958.63</v>
      </c>
      <c r="IS79">
        <f ca="1"/>
        <v>3941.8600000000006</v>
      </c>
      <c r="IT79">
        <f ca="1"/>
        <v>3981.38</v>
      </c>
      <c r="IU79">
        <f ca="1"/>
        <v>3990.4799999999996</v>
      </c>
      <c r="IV79">
        <f ca="1"/>
        <v>4047.6800000000003</v>
      </c>
      <c r="IW79">
        <f ca="1"/>
        <v>3990.22</v>
      </c>
    </row>
    <row r="80" spans="2:257" x14ac:dyDescent="0.25">
      <c r="B80" t="str">
        <f t="shared" si="641"/>
        <v>20K6HU7</v>
      </c>
      <c r="C80" t="s">
        <v>162</v>
      </c>
      <c r="D80" t="e" vm="511">
        <v>#VALUE!</v>
      </c>
      <c r="E80" t="str" cm="1">
        <f t="array" aca="1" ref="E80" ca="1">_FV(D80,"Code mnémonique",TRUE)</f>
        <v>MO</v>
      </c>
      <c r="F80" s="12">
        <f>_xlfn.XLOOKUP(D80,Titres[Action],Titres[Nb d''actions])</f>
        <v>65</v>
      </c>
      <c r="G80" cm="1">
        <f t="array" aca="1" ref="G80:IW80" ca="1">IFERROR(TRANSPOSE(_xlfn.STOCKHISTORY(D80,TODAY()-365,TODAY(),0,0,1))*F80,"")</f>
        <v>3745.9500000000003</v>
      </c>
      <c r="H80">
        <f ca="1"/>
        <v>3823.3</v>
      </c>
      <c r="I80">
        <f ca="1"/>
        <v>3806.4</v>
      </c>
      <c r="J80">
        <f ca="1"/>
        <v>3816.15</v>
      </c>
      <c r="K80">
        <f ca="1"/>
        <v>3786.9</v>
      </c>
      <c r="L80">
        <f ca="1"/>
        <v>3782.35</v>
      </c>
      <c r="M80">
        <f ca="1"/>
        <v>3820.05</v>
      </c>
      <c r="N80">
        <f ca="1"/>
        <v>3844.75</v>
      </c>
      <c r="O80">
        <f ca="1"/>
        <v>3855.15</v>
      </c>
      <c r="P80">
        <f ca="1"/>
        <v>3874.65</v>
      </c>
      <c r="Q80">
        <f ca="1"/>
        <v>3891.5499999999997</v>
      </c>
      <c r="R80">
        <f ca="1"/>
        <v>3931.2</v>
      </c>
      <c r="S80">
        <f ca="1"/>
        <v>3959.1499999999996</v>
      </c>
      <c r="T80">
        <f ca="1"/>
        <v>3926</v>
      </c>
      <c r="U80">
        <f ca="1"/>
        <v>3862.95</v>
      </c>
      <c r="V80">
        <f ca="1"/>
        <v>3701.75</v>
      </c>
      <c r="W80">
        <f ca="1"/>
        <v>3670.5499999999997</v>
      </c>
      <c r="X80">
        <f ca="1"/>
        <v>3661.45</v>
      </c>
      <c r="Y80">
        <f ca="1"/>
        <v>3773.9</v>
      </c>
      <c r="Z80">
        <f ca="1"/>
        <v>3827.85</v>
      </c>
      <c r="AA80">
        <f ca="1"/>
        <v>3865.5499999999997</v>
      </c>
      <c r="AB80">
        <f ca="1"/>
        <v>3893.5</v>
      </c>
      <c r="AC80">
        <f ca="1"/>
        <v>3864.25</v>
      </c>
      <c r="AD80">
        <f ca="1"/>
        <v>3854.5</v>
      </c>
      <c r="AE80">
        <f ca="1"/>
        <v>3883.1</v>
      </c>
      <c r="AF80">
        <f ca="1"/>
        <v>3875.2999999999997</v>
      </c>
      <c r="AG80">
        <f ca="1"/>
        <v>3866.2</v>
      </c>
      <c r="AH80">
        <f ca="1"/>
        <v>3866.2</v>
      </c>
      <c r="AI80">
        <f ca="1"/>
        <v>3939.65</v>
      </c>
      <c r="AJ80">
        <f ca="1"/>
        <v>3940.9500000000003</v>
      </c>
      <c r="AK80">
        <f ca="1"/>
        <v>3924.0499999999997</v>
      </c>
      <c r="AL80">
        <f ca="1"/>
        <v>3855.15</v>
      </c>
      <c r="AM80">
        <f ca="1"/>
        <v>3860.35</v>
      </c>
      <c r="AN80">
        <f ca="1"/>
        <v>3850.6</v>
      </c>
      <c r="AO80">
        <f ca="1"/>
        <v>3839.55</v>
      </c>
      <c r="AP80">
        <f ca="1"/>
        <v>3806.4</v>
      </c>
      <c r="AQ80">
        <f ca="1"/>
        <v>3894.1499999999996</v>
      </c>
      <c r="AR80">
        <f ca="1"/>
        <v>3894.8</v>
      </c>
      <c r="AS80">
        <f ca="1"/>
        <v>3887.65</v>
      </c>
      <c r="AT80">
        <f ca="1"/>
        <v>3822</v>
      </c>
      <c r="AU80">
        <f ca="1"/>
        <v>3834.35</v>
      </c>
      <c r="AV80">
        <f ca="1"/>
        <v>3866.85</v>
      </c>
      <c r="AW80">
        <f ca="1"/>
        <v>3883.75</v>
      </c>
      <c r="AX80">
        <f ca="1"/>
        <v>3931.85</v>
      </c>
      <c r="AY80">
        <f ca="1"/>
        <v>3894.1499999999996</v>
      </c>
      <c r="AZ80">
        <f ca="1"/>
        <v>3831.1</v>
      </c>
      <c r="BA80">
        <f ca="1"/>
        <v>3821.35</v>
      </c>
      <c r="BB80">
        <f ca="1"/>
        <v>3818.75</v>
      </c>
      <c r="BC80">
        <f ca="1"/>
        <v>3810.9500000000003</v>
      </c>
      <c r="BD80">
        <f ca="1"/>
        <v>3779.1</v>
      </c>
      <c r="BE80">
        <f ca="1"/>
        <v>3846.05</v>
      </c>
      <c r="BF80">
        <f ca="1"/>
        <v>3877.25</v>
      </c>
      <c r="BG80">
        <f ca="1"/>
        <v>3916.25</v>
      </c>
      <c r="BH80">
        <f ca="1"/>
        <v>3870.1</v>
      </c>
      <c r="BI80">
        <f ca="1"/>
        <v>3753.75</v>
      </c>
      <c r="BJ80">
        <f ca="1"/>
        <v>3805.75</v>
      </c>
      <c r="BK80">
        <f ca="1"/>
        <v>3757</v>
      </c>
      <c r="BL80">
        <f ca="1"/>
        <v>3778.4500000000003</v>
      </c>
      <c r="BM80">
        <f ca="1"/>
        <v>3801.2</v>
      </c>
      <c r="BN80">
        <f ca="1"/>
        <v>3825.9</v>
      </c>
      <c r="BO80">
        <f ca="1"/>
        <v>3768.7</v>
      </c>
      <c r="BP80">
        <f ca="1"/>
        <v>3771.3</v>
      </c>
      <c r="BQ80">
        <f ca="1"/>
        <v>3829.8</v>
      </c>
      <c r="BR80">
        <f ca="1"/>
        <v>3863.6</v>
      </c>
      <c r="BS80">
        <f ca="1"/>
        <v>3885.05</v>
      </c>
      <c r="BT80">
        <f ca="1"/>
        <v>3874.65</v>
      </c>
      <c r="BU80">
        <f ca="1"/>
        <v>3889.6000000000004</v>
      </c>
      <c r="BV80">
        <f ca="1"/>
        <v>3816.7999999999997</v>
      </c>
      <c r="BW80">
        <f ca="1"/>
        <v>3858.4</v>
      </c>
      <c r="BX80">
        <f ca="1"/>
        <v>3997.5</v>
      </c>
      <c r="BY80">
        <f ca="1"/>
        <v>4026.1</v>
      </c>
      <c r="BZ80">
        <f ca="1"/>
        <v>4015.7000000000003</v>
      </c>
      <c r="CA80">
        <f ca="1"/>
        <v>4026.1</v>
      </c>
      <c r="CB80">
        <f ca="1"/>
        <v>4063.8</v>
      </c>
      <c r="CC80">
        <f ca="1"/>
        <v>4104.75</v>
      </c>
      <c r="CD80">
        <f ca="1"/>
        <v>4130.75</v>
      </c>
      <c r="CE80">
        <f ca="1"/>
        <v>4172.3499999999995</v>
      </c>
      <c r="CF80">
        <f ca="1"/>
        <v>4268.55</v>
      </c>
      <c r="CG80">
        <f ca="1"/>
        <v>4290.6500000000005</v>
      </c>
      <c r="CH80">
        <f ca="1"/>
        <v>4257.5</v>
      </c>
      <c r="CI80">
        <f ca="1"/>
        <v>4260.75</v>
      </c>
      <c r="CJ80">
        <f ca="1"/>
        <v>4278.2999999999993</v>
      </c>
      <c r="CK80">
        <f ca="1"/>
        <v>4289.3499999999995</v>
      </c>
      <c r="CL80">
        <f ca="1"/>
        <v>4326.4000000000005</v>
      </c>
      <c r="CM80">
        <f ca="1"/>
        <v>4392.7</v>
      </c>
      <c r="CN80">
        <f ca="1"/>
        <v>4399.2000000000007</v>
      </c>
      <c r="CO80">
        <f ca="1"/>
        <v>4398.55</v>
      </c>
      <c r="CP80">
        <f ca="1"/>
        <v>4358.25</v>
      </c>
      <c r="CQ80">
        <f ca="1"/>
        <v>4319.25</v>
      </c>
      <c r="CR80">
        <f ca="1"/>
        <v>4316.6499999999996</v>
      </c>
      <c r="CS80">
        <f ca="1"/>
        <v>4317.3</v>
      </c>
      <c r="CT80">
        <f ca="1"/>
        <v>4368.6499999999996</v>
      </c>
      <c r="CU80">
        <f ca="1"/>
        <v>4363.45</v>
      </c>
      <c r="CV80">
        <f ca="1"/>
        <v>4330.95</v>
      </c>
      <c r="CW80">
        <f ca="1"/>
        <v>4328.3500000000004</v>
      </c>
      <c r="CX80">
        <f ca="1"/>
        <v>4325.75</v>
      </c>
      <c r="CY80">
        <f ca="1"/>
        <v>4275.05</v>
      </c>
      <c r="CZ80">
        <f ca="1"/>
        <v>4302.3499999999995</v>
      </c>
      <c r="DA80">
        <f ca="1"/>
        <v>4304.95</v>
      </c>
      <c r="DB80">
        <f ca="1"/>
        <v>4313.3999999999996</v>
      </c>
      <c r="DC80">
        <f ca="1"/>
        <v>4332.25</v>
      </c>
      <c r="DD80">
        <f ca="1"/>
        <v>4217.8500000000004</v>
      </c>
      <c r="DE80">
        <f ca="1"/>
        <v>4212.6500000000005</v>
      </c>
      <c r="DF80">
        <f ca="1"/>
        <v>4258.1500000000005</v>
      </c>
      <c r="DG80">
        <f ca="1"/>
        <v>4156.0999999999995</v>
      </c>
      <c r="DH80">
        <f ca="1"/>
        <v>4217.8500000000004</v>
      </c>
      <c r="DI80">
        <f ca="1"/>
        <v>4146.3500000000004</v>
      </c>
      <c r="DJ80">
        <f ca="1"/>
        <v>4216.55</v>
      </c>
      <c r="DK80">
        <f ca="1"/>
        <v>4233.45</v>
      </c>
      <c r="DL80">
        <f ca="1"/>
        <v>4237.3499999999995</v>
      </c>
      <c r="DM80">
        <f ca="1"/>
        <v>4271.1499999999996</v>
      </c>
      <c r="DN80">
        <f ca="1"/>
        <v>4268.55</v>
      </c>
      <c r="DO80">
        <f ca="1"/>
        <v>4293.9000000000005</v>
      </c>
      <c r="DP80">
        <f ca="1"/>
        <v>4308.8500000000004</v>
      </c>
      <c r="DQ80">
        <f ca="1"/>
        <v>4273.75</v>
      </c>
      <c r="DR80">
        <f ca="1"/>
        <v>4272.45</v>
      </c>
      <c r="DS80">
        <f ca="1"/>
        <v>4249.05</v>
      </c>
      <c r="DT80">
        <f ca="1"/>
        <v>4332.25</v>
      </c>
      <c r="DU80">
        <f ca="1"/>
        <v>4252.3</v>
      </c>
      <c r="DV80">
        <f ca="1"/>
        <v>4271.8</v>
      </c>
      <c r="DW80">
        <f ca="1"/>
        <v>4325.1000000000004</v>
      </c>
      <c r="DX80">
        <f ca="1"/>
        <v>4221.75</v>
      </c>
      <c r="DY80">
        <f ca="1"/>
        <v>4251</v>
      </c>
      <c r="DZ80">
        <f ca="1"/>
        <v>4216.55</v>
      </c>
      <c r="EA80">
        <f ca="1"/>
        <v>4176.9000000000005</v>
      </c>
      <c r="EB80">
        <f ca="1"/>
        <v>4228.25</v>
      </c>
      <c r="EC80">
        <f ca="1"/>
        <v>4186</v>
      </c>
      <c r="ED80">
        <f ca="1"/>
        <v>4143.75</v>
      </c>
      <c r="EE80">
        <f ca="1"/>
        <v>4187.9500000000007</v>
      </c>
      <c r="EF80">
        <f ca="1"/>
        <v>4197.0499999999993</v>
      </c>
      <c r="EG80">
        <f ca="1"/>
        <v>4203.55</v>
      </c>
      <c r="EH80">
        <f ca="1"/>
        <v>4143.1000000000004</v>
      </c>
      <c r="EI80">
        <f ca="1"/>
        <v>4113.2</v>
      </c>
      <c r="EJ80">
        <f ca="1"/>
        <v>4028.0499999999997</v>
      </c>
      <c r="EK80">
        <f ca="1"/>
        <v>3713.4500000000003</v>
      </c>
      <c r="EL80">
        <f ca="1"/>
        <v>3664.7000000000003</v>
      </c>
      <c r="EM80">
        <f ca="1"/>
        <v>3683.55</v>
      </c>
      <c r="EN80">
        <f ca="1"/>
        <v>3725.15</v>
      </c>
      <c r="EO80">
        <f ca="1"/>
        <v>3715.3999999999996</v>
      </c>
      <c r="EP80">
        <f ca="1"/>
        <v>3722.55</v>
      </c>
      <c r="EQ80">
        <f ca="1"/>
        <v>3771.9500000000003</v>
      </c>
      <c r="ER80">
        <f ca="1"/>
        <v>3740.75</v>
      </c>
      <c r="ES80">
        <f ca="1"/>
        <v>3796.6499999999996</v>
      </c>
      <c r="ET80">
        <f ca="1"/>
        <v>3773.25</v>
      </c>
      <c r="EU80">
        <f ca="1"/>
        <v>3757.65</v>
      </c>
      <c r="EV80">
        <f ca="1"/>
        <v>3782.35</v>
      </c>
      <c r="EW80">
        <f ca="1"/>
        <v>3778.4500000000003</v>
      </c>
      <c r="EX80">
        <f ca="1"/>
        <v>3831.1</v>
      </c>
      <c r="EY80">
        <f ca="1"/>
        <v>3809.65</v>
      </c>
      <c r="EZ80">
        <f ca="1"/>
        <v>3781.7</v>
      </c>
      <c r="FA80">
        <f ca="1"/>
        <v>3782.35</v>
      </c>
      <c r="FB80">
        <f ca="1"/>
        <v>3726.45</v>
      </c>
      <c r="FC80">
        <f ca="1"/>
        <v>3792.1000000000004</v>
      </c>
      <c r="FD80">
        <f ca="1"/>
        <v>3814.85</v>
      </c>
      <c r="FE80">
        <f ca="1"/>
        <v>3835.65</v>
      </c>
      <c r="FF80">
        <f ca="1"/>
        <v>3844.1</v>
      </c>
      <c r="FG80">
        <f ca="1"/>
        <v>3823.3</v>
      </c>
      <c r="FH80">
        <f ca="1"/>
        <v>3796.6499999999996</v>
      </c>
      <c r="FI80">
        <f ca="1"/>
        <v>3792.1000000000004</v>
      </c>
      <c r="FJ80">
        <f ca="1"/>
        <v>3769.35</v>
      </c>
      <c r="FK80">
        <f ca="1"/>
        <v>3777.15</v>
      </c>
      <c r="FL80">
        <f ca="1"/>
        <v>3781.7</v>
      </c>
      <c r="FM80">
        <f ca="1"/>
        <v>3814.85</v>
      </c>
      <c r="FN80">
        <f ca="1"/>
        <v>3816.7999999999997</v>
      </c>
      <c r="FO80">
        <f ca="1"/>
        <v>3818.75</v>
      </c>
      <c r="FP80">
        <f ca="1"/>
        <v>3840.8500000000004</v>
      </c>
      <c r="FQ80">
        <f ca="1"/>
        <v>3856.45</v>
      </c>
      <c r="FR80">
        <f ca="1"/>
        <v>3846.7</v>
      </c>
      <c r="FS80">
        <f ca="1"/>
        <v>3795.35</v>
      </c>
      <c r="FT80">
        <f ca="1"/>
        <v>3774.55</v>
      </c>
      <c r="FU80">
        <f ca="1"/>
        <v>3809.65</v>
      </c>
      <c r="FV80">
        <f ca="1"/>
        <v>3818.75</v>
      </c>
      <c r="FW80">
        <f ca="1"/>
        <v>3833.7</v>
      </c>
      <c r="FX80">
        <f ca="1"/>
        <v>3744</v>
      </c>
      <c r="FY80">
        <f ca="1"/>
        <v>3745.2999999999997</v>
      </c>
      <c r="FZ80">
        <f ca="1"/>
        <v>3755.05</v>
      </c>
      <c r="GA80">
        <f ca="1"/>
        <v>3747.8999999999996</v>
      </c>
      <c r="GB80">
        <f ca="1"/>
        <v>3725.15</v>
      </c>
      <c r="GC80">
        <f ca="1"/>
        <v>3659.5</v>
      </c>
      <c r="GD80">
        <f ca="1"/>
        <v>3585.3999999999996</v>
      </c>
      <c r="GE80">
        <f ca="1"/>
        <v>3556.7999999999997</v>
      </c>
      <c r="GF80">
        <f ca="1"/>
        <v>3633.5</v>
      </c>
      <c r="GG80">
        <f ca="1"/>
        <v>3739.4500000000003</v>
      </c>
      <c r="GH80">
        <f ca="1"/>
        <v>3805.1</v>
      </c>
      <c r="GI80">
        <f ca="1"/>
        <v>3909.75</v>
      </c>
      <c r="GJ80">
        <f ca="1"/>
        <v>3995.5499999999997</v>
      </c>
      <c r="GK80">
        <f ca="1"/>
        <v>4002.7</v>
      </c>
      <c r="GL80">
        <f ca="1"/>
        <v>4014.4</v>
      </c>
      <c r="GM80">
        <f ca="1"/>
        <v>3974.75</v>
      </c>
      <c r="GN80">
        <f ca="1"/>
        <v>3970.2</v>
      </c>
      <c r="GO80">
        <f ca="1"/>
        <v>3966.9500000000003</v>
      </c>
      <c r="GP80">
        <f ca="1"/>
        <v>4024.1499999999996</v>
      </c>
      <c r="GQ80">
        <f ca="1"/>
        <v>4093.7</v>
      </c>
      <c r="GR80">
        <f ca="1"/>
        <v>4135.3</v>
      </c>
      <c r="GS80">
        <f ca="1"/>
        <v>4103.45</v>
      </c>
      <c r="GT80">
        <f ca="1"/>
        <v>3884.4</v>
      </c>
      <c r="GU80">
        <f ca="1"/>
        <v>4029.35</v>
      </c>
      <c r="GV80">
        <f ca="1"/>
        <v>4044.95</v>
      </c>
      <c r="GW80">
        <f ca="1"/>
        <v>4170.3999999999996</v>
      </c>
      <c r="GX80">
        <f ca="1"/>
        <v>4235.3999999999996</v>
      </c>
      <c r="GY80">
        <f ca="1"/>
        <v>4250.3500000000004</v>
      </c>
      <c r="GZ80">
        <f ca="1"/>
        <v>4251</v>
      </c>
      <c r="HA80">
        <f ca="1"/>
        <v>4186</v>
      </c>
      <c r="HB80">
        <f ca="1"/>
        <v>4186</v>
      </c>
      <c r="HC80">
        <f ca="1"/>
        <v>4284.8</v>
      </c>
      <c r="HD80">
        <f ca="1"/>
        <v>4355.6500000000005</v>
      </c>
      <c r="HE80">
        <f ca="1"/>
        <v>4371.25</v>
      </c>
      <c r="HF80">
        <f ca="1"/>
        <v>4325.1000000000004</v>
      </c>
      <c r="HG80">
        <f ca="1"/>
        <v>4340.05</v>
      </c>
      <c r="HH80">
        <f ca="1"/>
        <v>4419.3499999999995</v>
      </c>
      <c r="HI80">
        <f ca="1"/>
        <v>4392.0499999999993</v>
      </c>
      <c r="HJ80">
        <f ca="1"/>
        <v>4483.7</v>
      </c>
      <c r="HK80">
        <f ca="1"/>
        <v>4501.25</v>
      </c>
      <c r="HL80">
        <f ca="1"/>
        <v>4530.5</v>
      </c>
      <c r="HM80">
        <f ca="1"/>
        <v>4515.55</v>
      </c>
      <c r="HN80">
        <f ca="1"/>
        <v>4487.6000000000004</v>
      </c>
      <c r="HO80">
        <f ca="1"/>
        <v>4464.8499999999995</v>
      </c>
      <c r="HP80">
        <f ca="1"/>
        <v>4477.8500000000004</v>
      </c>
      <c r="HQ80">
        <f ca="1"/>
        <v>4427.8</v>
      </c>
      <c r="HR80">
        <f ca="1"/>
        <v>4353.7</v>
      </c>
      <c r="HS80">
        <f ca="1"/>
        <v>4323.1500000000005</v>
      </c>
      <c r="HT80">
        <f ca="1"/>
        <v>4357.6000000000004</v>
      </c>
      <c r="HU80">
        <f ca="1"/>
        <v>4364.1000000000004</v>
      </c>
      <c r="HV80">
        <f ca="1"/>
        <v>4312.1000000000004</v>
      </c>
      <c r="HW80">
        <f ca="1"/>
        <v>4401.8</v>
      </c>
      <c r="HX80">
        <f ca="1"/>
        <v>4412.8500000000004</v>
      </c>
      <c r="HY80">
        <f ca="1"/>
        <v>4389.45</v>
      </c>
      <c r="HZ80">
        <f ca="1"/>
        <v>4353.05</v>
      </c>
      <c r="IA80">
        <f ca="1"/>
        <v>4233.45</v>
      </c>
      <c r="IB80">
        <f ca="1"/>
        <v>4229.5499999999993</v>
      </c>
      <c r="IC80">
        <f ca="1"/>
        <v>4190.55</v>
      </c>
      <c r="ID80">
        <f ca="1"/>
        <v>4185.3500000000004</v>
      </c>
      <c r="IE80">
        <f ca="1"/>
        <v>4180.7999999999993</v>
      </c>
      <c r="IF80">
        <f ca="1"/>
        <v>4145.7</v>
      </c>
      <c r="IG80">
        <f ca="1"/>
        <v>4200.3</v>
      </c>
      <c r="IH80">
        <f ca="1"/>
        <v>4321.2</v>
      </c>
      <c r="II80">
        <f ca="1"/>
        <v>4356.3</v>
      </c>
      <c r="IJ80">
        <f ca="1"/>
        <v>4289.3499999999995</v>
      </c>
      <c r="IK80">
        <f ca="1"/>
        <v>4256.2</v>
      </c>
      <c r="IL80">
        <f ca="1"/>
        <v>4274.4000000000005</v>
      </c>
      <c r="IM80">
        <f ca="1"/>
        <v>4325.75</v>
      </c>
      <c r="IN80">
        <f ca="1"/>
        <v>4306.25</v>
      </c>
      <c r="IO80">
        <f ca="1"/>
        <v>4342</v>
      </c>
      <c r="IP80">
        <f ca="1"/>
        <v>4384.8999999999996</v>
      </c>
      <c r="IQ80">
        <f ca="1"/>
        <v>4379.7</v>
      </c>
      <c r="IR80">
        <f ca="1"/>
        <v>4342.6500000000005</v>
      </c>
      <c r="IS80">
        <f ca="1"/>
        <v>4265.3</v>
      </c>
      <c r="IT80">
        <f ca="1"/>
        <v>4187.3</v>
      </c>
      <c r="IU80">
        <f ca="1"/>
        <v>4221.0999999999995</v>
      </c>
      <c r="IV80">
        <f ca="1"/>
        <v>4171.05</v>
      </c>
      <c r="IW80">
        <f ca="1"/>
        <v>4199.6499999999996</v>
      </c>
    </row>
    <row r="81" spans="2:267" x14ac:dyDescent="0.25">
      <c r="B81" t="str">
        <f t="shared" si="641"/>
        <v>20K6HU7</v>
      </c>
      <c r="C81" t="s">
        <v>162</v>
      </c>
      <c r="D81" t="e" vm="546">
        <v>#VALUE!</v>
      </c>
      <c r="E81" t="str" cm="1">
        <f t="array" aca="1" ref="E81" ca="1">_FV(D81,"Code mnémonique",TRUE)</f>
        <v>MSFT</v>
      </c>
      <c r="F81" s="12">
        <f>_xlfn.XLOOKUP(D81,Titres[Action],Titres[Nb d''actions])</f>
        <v>20</v>
      </c>
      <c r="G81" cm="1">
        <f t="array" aca="1" ref="G81:IW81" ca="1">IFERROR(TRANSPOSE(_xlfn.STOCKHISTORY(D81,TODAY()-365,TODAY(),0,0,1))*F81,"")</f>
        <v>7182.4</v>
      </c>
      <c r="H81">
        <f ca="1"/>
        <v>7336.4</v>
      </c>
      <c r="I81">
        <f ca="1"/>
        <v>7487.7999999999993</v>
      </c>
      <c r="J81">
        <f ca="1"/>
        <v>7746</v>
      </c>
      <c r="K81">
        <f ca="1"/>
        <v>7837</v>
      </c>
      <c r="L81">
        <f ca="1"/>
        <v>7823.2000000000007</v>
      </c>
      <c r="M81">
        <f ca="1"/>
        <v>7880.8</v>
      </c>
      <c r="N81">
        <f ca="1"/>
        <v>7905.2</v>
      </c>
      <c r="O81">
        <f ca="1"/>
        <v>8508</v>
      </c>
      <c r="P81">
        <f ca="1"/>
        <v>8705.5999999999985</v>
      </c>
      <c r="Q81">
        <f ca="1"/>
        <v>8723.4</v>
      </c>
      <c r="R81">
        <f ca="1"/>
        <v>8666.2000000000007</v>
      </c>
      <c r="S81">
        <f ca="1"/>
        <v>8667</v>
      </c>
      <c r="T81">
        <f ca="1"/>
        <v>8763.4</v>
      </c>
      <c r="U81">
        <f ca="1"/>
        <v>8774.6</v>
      </c>
      <c r="V81">
        <f ca="1"/>
        <v>8985.2000000000007</v>
      </c>
      <c r="W81">
        <f ca="1"/>
        <v>8982.7999999999993</v>
      </c>
      <c r="X81">
        <f ca="1"/>
        <v>9058.7999999999993</v>
      </c>
      <c r="Y81">
        <f ca="1"/>
        <v>9062.6</v>
      </c>
      <c r="Z81">
        <f ca="1"/>
        <v>9085.4</v>
      </c>
      <c r="AA81">
        <f ca="1"/>
        <v>9177.4</v>
      </c>
      <c r="AB81">
        <f ca="1"/>
        <v>9163.4</v>
      </c>
      <c r="AC81">
        <f ca="1"/>
        <v>9051.4</v>
      </c>
      <c r="AD81">
        <f ca="1"/>
        <v>9097.2000000000007</v>
      </c>
      <c r="AE81">
        <f ca="1"/>
        <v>9003.6</v>
      </c>
      <c r="AF81">
        <f ca="1"/>
        <v>9213.7999999999993</v>
      </c>
      <c r="AG81">
        <f ca="1"/>
        <v>9147.2000000000007</v>
      </c>
      <c r="AH81">
        <f ca="1"/>
        <v>9173.6</v>
      </c>
      <c r="AI81">
        <f ca="1"/>
        <v>9207.2000000000007</v>
      </c>
      <c r="AJ81">
        <f ca="1"/>
        <v>9239.4000000000015</v>
      </c>
      <c r="AK81">
        <f ca="1"/>
        <v>9259.4000000000015</v>
      </c>
      <c r="AL81">
        <f ca="1"/>
        <v>9277.4</v>
      </c>
      <c r="AM81">
        <f ca="1"/>
        <v>9353.6</v>
      </c>
      <c r="AN81">
        <f ca="1"/>
        <v>9407.6</v>
      </c>
      <c r="AO81">
        <f ca="1"/>
        <v>9455</v>
      </c>
      <c r="AP81">
        <f ca="1"/>
        <v>9418.4</v>
      </c>
      <c r="AQ81">
        <f ca="1"/>
        <v>9452.4</v>
      </c>
      <c r="AR81">
        <f ca="1"/>
        <v>9577.4</v>
      </c>
      <c r="AS81">
        <f ca="1"/>
        <v>9499.1999999999989</v>
      </c>
      <c r="AT81">
        <f ca="1"/>
        <v>9582.7999999999993</v>
      </c>
      <c r="AU81">
        <f ca="1"/>
        <v>9560.8000000000011</v>
      </c>
      <c r="AV81">
        <f ca="1"/>
        <v>9604.7999999999993</v>
      </c>
      <c r="AW81">
        <f ca="1"/>
        <v>9548</v>
      </c>
      <c r="AX81">
        <f ca="1"/>
        <v>9720</v>
      </c>
      <c r="AY81">
        <f ca="1"/>
        <v>9802.2000000000007</v>
      </c>
      <c r="AZ81">
        <f ca="1"/>
        <v>9845.4</v>
      </c>
      <c r="BA81">
        <f ca="1"/>
        <v>9949</v>
      </c>
      <c r="BB81">
        <f ca="1"/>
        <v>9918.7999999999993</v>
      </c>
      <c r="BC81">
        <f ca="1"/>
        <v>9948.2000000000007</v>
      </c>
      <c r="BD81">
        <f ca="1"/>
        <v>9841</v>
      </c>
      <c r="BE81">
        <f ca="1"/>
        <v>9821.7999999999993</v>
      </c>
      <c r="BF81">
        <f ca="1"/>
        <v>9976.7999999999993</v>
      </c>
      <c r="BG81">
        <f ca="1"/>
        <v>9954.4000000000015</v>
      </c>
      <c r="BH81">
        <f ca="1"/>
        <v>9932.4</v>
      </c>
      <c r="BI81">
        <f ca="1"/>
        <v>10070.200000000001</v>
      </c>
      <c r="BJ81">
        <f ca="1"/>
        <v>10029.6</v>
      </c>
      <c r="BK81">
        <f ca="1"/>
        <v>10066.4</v>
      </c>
      <c r="BL81">
        <f ca="1"/>
        <v>10060.4</v>
      </c>
      <c r="BM81">
        <f ca="1"/>
        <v>10116.4</v>
      </c>
      <c r="BN81">
        <f ca="1"/>
        <v>10112.4</v>
      </c>
      <c r="BO81">
        <f ca="1"/>
        <v>10234</v>
      </c>
      <c r="BP81">
        <f ca="1"/>
        <v>10201</v>
      </c>
      <c r="BQ81">
        <f ca="1"/>
        <v>10201.200000000001</v>
      </c>
      <c r="BR81">
        <f ca="1"/>
        <v>10105.4</v>
      </c>
      <c r="BS81">
        <f ca="1"/>
        <v>10117.4</v>
      </c>
      <c r="BT81">
        <f ca="1"/>
        <v>10217.6</v>
      </c>
      <c r="BU81">
        <f ca="1"/>
        <v>10274.200000000001</v>
      </c>
      <c r="BV81">
        <f ca="1"/>
        <v>10250</v>
      </c>
      <c r="BW81">
        <f ca="1"/>
        <v>10251.400000000001</v>
      </c>
      <c r="BX81">
        <f ca="1"/>
        <v>10264.799999999999</v>
      </c>
      <c r="BY81">
        <f ca="1"/>
        <v>10670</v>
      </c>
      <c r="BZ81">
        <f ca="1"/>
        <v>10482.200000000001</v>
      </c>
      <c r="CA81">
        <f ca="1"/>
        <v>10712.8</v>
      </c>
      <c r="CB81">
        <f ca="1"/>
        <v>10555</v>
      </c>
      <c r="CC81">
        <f ca="1"/>
        <v>10498.800000000001</v>
      </c>
      <c r="CD81">
        <f ca="1"/>
        <v>10416.800000000001</v>
      </c>
      <c r="CE81">
        <f ca="1"/>
        <v>10440.799999999999</v>
      </c>
      <c r="CF81">
        <f ca="1"/>
        <v>10435.4</v>
      </c>
      <c r="CG81">
        <f ca="1"/>
        <v>10584.8</v>
      </c>
      <c r="CH81">
        <f ca="1"/>
        <v>10411.6</v>
      </c>
      <c r="CI81">
        <f ca="1"/>
        <v>10449.6</v>
      </c>
      <c r="CJ81">
        <f ca="1"/>
        <v>10403.4</v>
      </c>
      <c r="CK81">
        <f ca="1"/>
        <v>10342</v>
      </c>
      <c r="CL81">
        <f ca="1"/>
        <v>10195.4</v>
      </c>
      <c r="CM81">
        <f ca="1"/>
        <v>10114.400000000001</v>
      </c>
      <c r="CN81">
        <f ca="1"/>
        <v>10084.799999999999</v>
      </c>
      <c r="CO81">
        <f ca="1"/>
        <v>10144.6</v>
      </c>
      <c r="CP81">
        <f ca="1"/>
        <v>10085.200000000001</v>
      </c>
      <c r="CQ81">
        <f ca="1"/>
        <v>10040.800000000001</v>
      </c>
      <c r="CR81">
        <f ca="1"/>
        <v>10134.799999999999</v>
      </c>
      <c r="CS81">
        <f ca="1"/>
        <v>10192.799999999999</v>
      </c>
      <c r="CT81">
        <f ca="1"/>
        <v>10133.799999999999</v>
      </c>
      <c r="CU81">
        <f ca="1"/>
        <v>10102.4</v>
      </c>
      <c r="CV81">
        <f ca="1"/>
        <v>10107</v>
      </c>
      <c r="CW81">
        <f ca="1"/>
        <v>10159.400000000001</v>
      </c>
      <c r="CX81">
        <f ca="1"/>
        <v>9900</v>
      </c>
      <c r="CY81">
        <f ca="1"/>
        <v>9964</v>
      </c>
      <c r="CZ81">
        <f ca="1"/>
        <v>9968.2000000000007</v>
      </c>
      <c r="DA81">
        <f ca="1"/>
        <v>10007.4</v>
      </c>
      <c r="DB81">
        <f ca="1"/>
        <v>10020.200000000001</v>
      </c>
      <c r="DC81">
        <f ca="1"/>
        <v>10198</v>
      </c>
      <c r="DD81">
        <f ca="1"/>
        <v>10307.200000000001</v>
      </c>
      <c r="DE81">
        <f ca="1"/>
        <v>10180.800000000001</v>
      </c>
      <c r="DF81">
        <f ca="1"/>
        <v>10200.4</v>
      </c>
      <c r="DG81">
        <f ca="1"/>
        <v>10169</v>
      </c>
      <c r="DH81">
        <f ca="1"/>
        <v>10358.599999999999</v>
      </c>
      <c r="DI81">
        <f ca="1"/>
        <v>10289</v>
      </c>
      <c r="DJ81">
        <f ca="1"/>
        <v>10184.6</v>
      </c>
      <c r="DK81">
        <f ca="1"/>
        <v>10203</v>
      </c>
      <c r="DL81">
        <f ca="1"/>
        <v>10140.599999999999</v>
      </c>
      <c r="DM81">
        <f ca="1"/>
        <v>10229.199999999999</v>
      </c>
      <c r="DN81">
        <f ca="1"/>
        <v>10292</v>
      </c>
      <c r="DO81">
        <f ca="1"/>
        <v>10359</v>
      </c>
      <c r="DP81">
        <f ca="1"/>
        <v>10394.200000000001</v>
      </c>
      <c r="DQ81">
        <f ca="1"/>
        <v>10314.799999999999</v>
      </c>
      <c r="DR81">
        <f ca="1"/>
        <v>10347</v>
      </c>
      <c r="DS81">
        <f ca="1"/>
        <v>10571.400000000001</v>
      </c>
      <c r="DT81">
        <f ca="1"/>
        <v>10479.6</v>
      </c>
      <c r="DU81">
        <f ca="1"/>
        <v>10497</v>
      </c>
      <c r="DV81">
        <f ca="1"/>
        <v>10448</v>
      </c>
      <c r="DW81">
        <f ca="1"/>
        <v>10219.199999999999</v>
      </c>
      <c r="DX81">
        <f ca="1"/>
        <v>10281</v>
      </c>
      <c r="DY81">
        <f ca="1"/>
        <v>10271.400000000001</v>
      </c>
      <c r="DZ81">
        <f ca="1"/>
        <v>10268.599999999999</v>
      </c>
      <c r="EA81">
        <f ca="1"/>
        <v>10232.200000000001</v>
      </c>
      <c r="EB81">
        <f ca="1"/>
        <v>10271.6</v>
      </c>
      <c r="EC81">
        <f ca="1"/>
        <v>10335.799999999999</v>
      </c>
      <c r="ED81">
        <f ca="1"/>
        <v>10353.199999999999</v>
      </c>
      <c r="EE81">
        <f ca="1"/>
        <v>10410.799999999999</v>
      </c>
      <c r="EF81">
        <f ca="1"/>
        <v>10411.199999999999</v>
      </c>
      <c r="EG81">
        <f ca="1"/>
        <v>10472.200000000001</v>
      </c>
      <c r="EH81">
        <f ca="1"/>
        <v>10630.4</v>
      </c>
      <c r="EI81">
        <f ca="1"/>
        <v>10841.400000000001</v>
      </c>
      <c r="EJ81">
        <f ca="1"/>
        <v>10831</v>
      </c>
      <c r="EK81">
        <f ca="1"/>
        <v>10515.2</v>
      </c>
      <c r="EL81">
        <f ca="1"/>
        <v>10356.199999999999</v>
      </c>
      <c r="EM81">
        <f ca="1"/>
        <v>10340.599999999999</v>
      </c>
      <c r="EN81">
        <f ca="1"/>
        <v>10286.6</v>
      </c>
      <c r="EO81">
        <f ca="1"/>
        <v>10143.200000000001</v>
      </c>
      <c r="EP81">
        <f ca="1"/>
        <v>9942</v>
      </c>
      <c r="EQ81">
        <f ca="1"/>
        <v>9936.4</v>
      </c>
      <c r="ER81">
        <f ca="1"/>
        <v>10120</v>
      </c>
      <c r="ES81">
        <f ca="1"/>
        <v>10173.6</v>
      </c>
      <c r="ET81">
        <f ca="1"/>
        <v>10222.799999999999</v>
      </c>
      <c r="EU81">
        <f ca="1"/>
        <v>10065.800000000001</v>
      </c>
      <c r="EV81">
        <f ca="1"/>
        <v>10203.6</v>
      </c>
      <c r="EW81">
        <f ca="1"/>
        <v>10149.799999999999</v>
      </c>
      <c r="EX81">
        <f ca="1"/>
        <v>9875.8000000000011</v>
      </c>
      <c r="EY81">
        <f ca="1"/>
        <v>9742.4</v>
      </c>
      <c r="EZ81">
        <f ca="1"/>
        <v>9568.6</v>
      </c>
      <c r="FA81">
        <f ca="1"/>
        <v>9442.4</v>
      </c>
      <c r="FB81">
        <f ca="1"/>
        <v>9480</v>
      </c>
      <c r="FC81">
        <f ca="1"/>
        <v>9539.7999999999993</v>
      </c>
      <c r="FD81">
        <f ca="1"/>
        <v>9710</v>
      </c>
      <c r="FE81">
        <f ca="1"/>
        <v>9840.2000000000007</v>
      </c>
      <c r="FF81">
        <f ca="1"/>
        <v>9734.7999999999993</v>
      </c>
      <c r="FG81">
        <f ca="1"/>
        <v>9800</v>
      </c>
      <c r="FH81">
        <f ca="1"/>
        <v>9554.6</v>
      </c>
      <c r="FI81">
        <f ca="1"/>
        <v>9616.7999999999993</v>
      </c>
      <c r="FJ81">
        <f ca="1"/>
        <v>9663.2000000000007</v>
      </c>
      <c r="FK81">
        <f ca="1"/>
        <v>9820.4</v>
      </c>
      <c r="FL81">
        <f ca="1"/>
        <v>9840.4</v>
      </c>
      <c r="FM81">
        <f ca="1"/>
        <v>9571.2000000000007</v>
      </c>
      <c r="FN81">
        <f ca="1"/>
        <v>9669.4000000000015</v>
      </c>
      <c r="FO81">
        <f ca="1"/>
        <v>9570.5999999999985</v>
      </c>
      <c r="FP81">
        <f ca="1"/>
        <v>9496.4</v>
      </c>
      <c r="FQ81">
        <f ca="1"/>
        <v>9527.7999999999993</v>
      </c>
      <c r="FR81">
        <f ca="1"/>
        <v>9522.4</v>
      </c>
      <c r="FS81">
        <f ca="1"/>
        <v>9679.6</v>
      </c>
      <c r="FT81">
        <f ca="1"/>
        <v>9718.4</v>
      </c>
      <c r="FU81">
        <f ca="1"/>
        <v>9698.4</v>
      </c>
      <c r="FV81">
        <f ca="1"/>
        <v>9737</v>
      </c>
      <c r="FW81">
        <f ca="1"/>
        <v>9760.4</v>
      </c>
      <c r="FX81">
        <f ca="1"/>
        <v>9754.1999999999989</v>
      </c>
      <c r="FY81">
        <f ca="1"/>
        <v>9742</v>
      </c>
      <c r="FZ81">
        <f ca="1"/>
        <v>9749.6</v>
      </c>
      <c r="GA81">
        <f ca="1"/>
        <v>9672.4</v>
      </c>
      <c r="GB81">
        <f ca="1"/>
        <v>9458.7999999999993</v>
      </c>
      <c r="GC81">
        <f ca="1"/>
        <v>9457</v>
      </c>
      <c r="GD81">
        <f ca="1"/>
        <v>9570.2000000000007</v>
      </c>
      <c r="GE81">
        <f ca="1"/>
        <v>9669.4000000000015</v>
      </c>
      <c r="GF81">
        <f ca="1"/>
        <v>9562.2000000000007</v>
      </c>
      <c r="GG81">
        <f ca="1"/>
        <v>9585.5999999999985</v>
      </c>
      <c r="GH81">
        <f ca="1"/>
        <v>9543.6</v>
      </c>
      <c r="GI81">
        <f ca="1"/>
        <v>9413.4</v>
      </c>
      <c r="GJ81">
        <f ca="1"/>
        <v>9187.6</v>
      </c>
      <c r="GK81">
        <f ca="1"/>
        <v>9133.2000000000007</v>
      </c>
      <c r="GL81">
        <f ca="1"/>
        <v>9197.2000000000007</v>
      </c>
      <c r="GM81">
        <f ca="1"/>
        <v>9090.4</v>
      </c>
      <c r="GN81">
        <f ca="1"/>
        <v>8882.2000000000007</v>
      </c>
      <c r="GO81">
        <f ca="1"/>
        <v>9022.7999999999993</v>
      </c>
      <c r="GP81">
        <f ca="1"/>
        <v>9319</v>
      </c>
      <c r="GQ81">
        <f ca="1"/>
        <v>9405.5999999999985</v>
      </c>
      <c r="GR81">
        <f ca="1"/>
        <v>9611.6</v>
      </c>
      <c r="GS81">
        <f ca="1"/>
        <v>9632.6</v>
      </c>
      <c r="GT81">
        <f ca="1"/>
        <v>8670</v>
      </c>
      <c r="GU81">
        <f ca="1"/>
        <v>8605.8000000000011</v>
      </c>
      <c r="GV81">
        <f ca="1"/>
        <v>8467.4</v>
      </c>
      <c r="GW81">
        <f ca="1"/>
        <v>8224.1999999999989</v>
      </c>
      <c r="GX81">
        <f ca="1"/>
        <v>8283.7999999999993</v>
      </c>
      <c r="GY81">
        <f ca="1"/>
        <v>7873.4000000000005</v>
      </c>
      <c r="GZ81">
        <f ca="1"/>
        <v>8022.7999999999993</v>
      </c>
      <c r="HA81">
        <f ca="1"/>
        <v>8272</v>
      </c>
      <c r="HB81">
        <f ca="1"/>
        <v>8265.4</v>
      </c>
      <c r="HC81">
        <f ca="1"/>
        <v>8087.4</v>
      </c>
      <c r="HD81">
        <f ca="1"/>
        <v>8036.7999999999993</v>
      </c>
      <c r="HE81">
        <f ca="1"/>
        <v>8026.4</v>
      </c>
      <c r="HF81">
        <f ca="1"/>
        <v>7937.2000000000007</v>
      </c>
      <c r="HG81">
        <f ca="1"/>
        <v>7992</v>
      </c>
      <c r="HH81">
        <f ca="1"/>
        <v>7969.2</v>
      </c>
      <c r="HI81">
        <f ca="1"/>
        <v>7944.6</v>
      </c>
      <c r="HJ81">
        <f ca="1"/>
        <v>7689.4000000000005</v>
      </c>
      <c r="HK81">
        <f ca="1"/>
        <v>7780</v>
      </c>
      <c r="HL81">
        <f ca="1"/>
        <v>8012</v>
      </c>
      <c r="HM81">
        <f ca="1"/>
        <v>8034.4000000000005</v>
      </c>
      <c r="HN81">
        <f ca="1"/>
        <v>7854.8</v>
      </c>
      <c r="HO81">
        <f ca="1"/>
        <v>7971</v>
      </c>
      <c r="HP81">
        <f ca="1"/>
        <v>8078.6</v>
      </c>
      <c r="HQ81">
        <f ca="1"/>
        <v>8104</v>
      </c>
      <c r="HR81">
        <f ca="1"/>
        <v>8213.6</v>
      </c>
      <c r="HS81">
        <f ca="1"/>
        <v>8179.2</v>
      </c>
      <c r="HT81">
        <f ca="1"/>
        <v>8188.2000000000007</v>
      </c>
      <c r="HU81">
        <f ca="1"/>
        <v>8115.2</v>
      </c>
      <c r="HV81">
        <f ca="1"/>
        <v>8097.6</v>
      </c>
      <c r="HW81">
        <f ca="1"/>
        <v>8037.2000000000007</v>
      </c>
      <c r="HX81">
        <f ca="1"/>
        <v>7911</v>
      </c>
      <c r="HY81">
        <f ca="1"/>
        <v>7999</v>
      </c>
      <c r="HZ81">
        <f ca="1"/>
        <v>7988.2000000000007</v>
      </c>
      <c r="IA81">
        <f ca="1"/>
        <v>7835.8</v>
      </c>
      <c r="IB81">
        <f ca="1"/>
        <v>7780.4</v>
      </c>
      <c r="IC81">
        <f ca="1"/>
        <v>7637.4</v>
      </c>
      <c r="ID81">
        <f ca="1"/>
        <v>7660</v>
      </c>
      <c r="IE81">
        <f ca="1"/>
        <v>7454.8</v>
      </c>
      <c r="IF81">
        <f ca="1"/>
        <v>7420.8</v>
      </c>
      <c r="IG81">
        <f ca="1"/>
        <v>7319.4000000000005</v>
      </c>
      <c r="IH81">
        <f ca="1"/>
        <v>7135.4</v>
      </c>
      <c r="II81">
        <f ca="1"/>
        <v>7179.2</v>
      </c>
      <c r="IJ81">
        <f ca="1"/>
        <v>7403.4000000000005</v>
      </c>
      <c r="IK81">
        <f ca="1"/>
        <v>7387.4</v>
      </c>
      <c r="IL81">
        <f ca="1"/>
        <v>7469.2</v>
      </c>
      <c r="IM81">
        <f ca="1"/>
        <v>7457.6</v>
      </c>
      <c r="IN81">
        <f ca="1"/>
        <v>7445.8</v>
      </c>
      <c r="IO81">
        <f ca="1"/>
        <v>7486.5999999999995</v>
      </c>
      <c r="IP81">
        <f ca="1"/>
        <v>7461.4</v>
      </c>
      <c r="IQ81">
        <f ca="1"/>
        <v>7417.4</v>
      </c>
      <c r="IR81">
        <f ca="1"/>
        <v>7687.4</v>
      </c>
      <c r="IS81">
        <f ca="1"/>
        <v>7862.2000000000007</v>
      </c>
      <c r="IT81">
        <f ca="1"/>
        <v>8224.4000000000015</v>
      </c>
      <c r="IU81">
        <f ca="1"/>
        <v>8405.2000000000007</v>
      </c>
      <c r="IV81">
        <f ca="1"/>
        <v>8455.8000000000011</v>
      </c>
      <c r="IW81">
        <f ca="1"/>
        <v>8361.4</v>
      </c>
    </row>
    <row r="82" spans="2:267" x14ac:dyDescent="0.25">
      <c r="B82" t="str">
        <f t="shared" si="641"/>
        <v>20K6HU7</v>
      </c>
      <c r="C82" t="s">
        <v>162</v>
      </c>
      <c r="D82" t="e" vm="550">
        <v>#VALUE!</v>
      </c>
      <c r="E82" t="str" cm="1">
        <f t="array" aca="1" ref="E82" ca="1">_FV(D82,"Code mnémonique",TRUE)</f>
        <v>PEP</v>
      </c>
      <c r="F82" s="12">
        <f>_xlfn.XLOOKUP(D82,Titres[Action],Titres[Nb d''actions])</f>
        <v>18</v>
      </c>
      <c r="G82" cm="1">
        <f t="array" aca="1" ref="G82:IW82" ca="1">IFERROR(TRANSPOSE(_xlfn.STOCKHISTORY(D82,TODAY()-365,TODAY(),0,0,1))*F82,"")</f>
        <v>2551.14</v>
      </c>
      <c r="H82">
        <f ca="1"/>
        <v>2582.2800000000002</v>
      </c>
      <c r="I82">
        <f ca="1"/>
        <v>2560.6799999999998</v>
      </c>
      <c r="J82">
        <f ca="1"/>
        <v>2435.58</v>
      </c>
      <c r="K82">
        <f ca="1"/>
        <v>2400.84</v>
      </c>
      <c r="L82">
        <f ca="1"/>
        <v>2407.6799999999998</v>
      </c>
      <c r="M82">
        <f ca="1"/>
        <v>2417.58</v>
      </c>
      <c r="N82">
        <f ca="1"/>
        <v>2440.44</v>
      </c>
      <c r="O82">
        <f ca="1"/>
        <v>2403.9</v>
      </c>
      <c r="P82">
        <f ca="1"/>
        <v>2407.5</v>
      </c>
      <c r="Q82">
        <f ca="1"/>
        <v>2375.8200000000002</v>
      </c>
      <c r="R82">
        <f ca="1"/>
        <v>2353.3200000000002</v>
      </c>
      <c r="S82">
        <f ca="1"/>
        <v>2374.4699999999998</v>
      </c>
      <c r="T82">
        <f ca="1"/>
        <v>2365.7400000000002</v>
      </c>
      <c r="U82">
        <f ca="1"/>
        <v>2347.92</v>
      </c>
      <c r="V82">
        <f ca="1"/>
        <v>2370.2400000000002</v>
      </c>
      <c r="W82">
        <f ca="1"/>
        <v>2345.58</v>
      </c>
      <c r="X82">
        <f ca="1"/>
        <v>2312.1</v>
      </c>
      <c r="Y82">
        <f ca="1"/>
        <v>2367</v>
      </c>
      <c r="Z82">
        <f ca="1"/>
        <v>2375.64</v>
      </c>
      <c r="AA82">
        <f ca="1"/>
        <v>2372.2199999999998</v>
      </c>
      <c r="AB82">
        <f ca="1"/>
        <v>2372.4</v>
      </c>
      <c r="AC82">
        <f ca="1"/>
        <v>2342.7000000000003</v>
      </c>
      <c r="AD82">
        <f ca="1"/>
        <v>2342.16</v>
      </c>
      <c r="AE82">
        <f ca="1"/>
        <v>2328.12</v>
      </c>
      <c r="AF82">
        <f ca="1"/>
        <v>2364.66</v>
      </c>
      <c r="AG82">
        <f ca="1"/>
        <v>2352.06</v>
      </c>
      <c r="AH82">
        <f ca="1"/>
        <v>2374.56</v>
      </c>
      <c r="AI82">
        <f ca="1"/>
        <v>2366.1</v>
      </c>
      <c r="AJ82">
        <f ca="1"/>
        <v>2356.38</v>
      </c>
      <c r="AK82">
        <f ca="1"/>
        <v>2373.2999999999997</v>
      </c>
      <c r="AL82">
        <f ca="1"/>
        <v>2371.3200000000002</v>
      </c>
      <c r="AM82">
        <f ca="1"/>
        <v>2359.9800000000005</v>
      </c>
      <c r="AN82">
        <f ca="1"/>
        <v>2340.54</v>
      </c>
      <c r="AO82">
        <f ca="1"/>
        <v>2339.2800000000002</v>
      </c>
      <c r="AP82">
        <f ca="1"/>
        <v>2372.94</v>
      </c>
      <c r="AQ82">
        <f ca="1"/>
        <v>2338.2000000000003</v>
      </c>
      <c r="AR82">
        <f ca="1"/>
        <v>2381.4</v>
      </c>
      <c r="AS82">
        <f ca="1"/>
        <v>2355.2999999999997</v>
      </c>
      <c r="AT82">
        <f ca="1"/>
        <v>2365.38</v>
      </c>
      <c r="AU82">
        <f ca="1"/>
        <v>2327.2199999999998</v>
      </c>
      <c r="AV82">
        <f ca="1"/>
        <v>2323.2599999999998</v>
      </c>
      <c r="AW82">
        <f ca="1"/>
        <v>2323.2599999999998</v>
      </c>
      <c r="AX82">
        <f ca="1"/>
        <v>2323.62</v>
      </c>
      <c r="AY82">
        <f ca="1"/>
        <v>2358.9</v>
      </c>
      <c r="AZ82">
        <f ca="1"/>
        <v>2304.36</v>
      </c>
      <c r="BA82">
        <f ca="1"/>
        <v>2307.96</v>
      </c>
      <c r="BB82">
        <f ca="1"/>
        <v>2358.7199999999998</v>
      </c>
      <c r="BC82">
        <f ca="1"/>
        <v>2376.7199999999998</v>
      </c>
      <c r="BD82">
        <f ca="1"/>
        <v>2434.6799999999998</v>
      </c>
      <c r="BE82">
        <f ca="1"/>
        <v>2456.64</v>
      </c>
      <c r="BF82">
        <f ca="1"/>
        <v>2436.84</v>
      </c>
      <c r="BG82">
        <f ca="1"/>
        <v>2420.1</v>
      </c>
      <c r="BH82">
        <f ca="1"/>
        <v>2430.7199999999998</v>
      </c>
      <c r="BI82">
        <f ca="1"/>
        <v>2420.64</v>
      </c>
      <c r="BJ82">
        <f ca="1"/>
        <v>2449.44</v>
      </c>
      <c r="BK82">
        <f ca="1"/>
        <v>2434.6799999999998</v>
      </c>
      <c r="BL82">
        <f ca="1"/>
        <v>2440.2599999999998</v>
      </c>
      <c r="BM82">
        <f ca="1"/>
        <v>2408.58</v>
      </c>
      <c r="BN82">
        <f ca="1"/>
        <v>2436.2999999999997</v>
      </c>
      <c r="BO82">
        <f ca="1"/>
        <v>2617.92</v>
      </c>
      <c r="BP82">
        <f ca="1"/>
        <v>2578.3200000000002</v>
      </c>
      <c r="BQ82">
        <f ca="1"/>
        <v>2550.6</v>
      </c>
      <c r="BR82">
        <f ca="1"/>
        <v>2628.72</v>
      </c>
      <c r="BS82">
        <f ca="1"/>
        <v>2621.88</v>
      </c>
      <c r="BT82">
        <f ca="1"/>
        <v>2601.1799999999998</v>
      </c>
      <c r="BU82">
        <f ca="1"/>
        <v>2582.1</v>
      </c>
      <c r="BV82">
        <f ca="1"/>
        <v>2548.2599999999998</v>
      </c>
      <c r="BW82">
        <f ca="1"/>
        <v>2590.0199999999995</v>
      </c>
      <c r="BX82">
        <f ca="1"/>
        <v>2571.4800000000005</v>
      </c>
      <c r="BY82">
        <f ca="1"/>
        <v>2482.56</v>
      </c>
      <c r="BZ82">
        <f ca="1"/>
        <v>2507.04</v>
      </c>
      <c r="CA82">
        <f ca="1"/>
        <v>2512.08</v>
      </c>
      <c r="CB82">
        <f ca="1"/>
        <v>2510.1</v>
      </c>
      <c r="CC82">
        <f ca="1"/>
        <v>2534.4</v>
      </c>
      <c r="CD82">
        <f ca="1"/>
        <v>2590.56</v>
      </c>
      <c r="CE82">
        <f ca="1"/>
        <v>2613.7800000000002</v>
      </c>
      <c r="CF82">
        <f ca="1"/>
        <v>2607.66</v>
      </c>
      <c r="CG82">
        <f ca="1"/>
        <v>2643.66</v>
      </c>
      <c r="CH82">
        <f ca="1"/>
        <v>2688.2999999999997</v>
      </c>
      <c r="CI82">
        <f ca="1"/>
        <v>2675.16</v>
      </c>
      <c r="CJ82">
        <f ca="1"/>
        <v>2707.2000000000003</v>
      </c>
      <c r="CK82">
        <f ca="1"/>
        <v>2691.9</v>
      </c>
      <c r="CL82">
        <f ca="1"/>
        <v>2738.88</v>
      </c>
      <c r="CM82">
        <f ca="1"/>
        <v>2713.14</v>
      </c>
      <c r="CN82">
        <f ca="1"/>
        <v>2681.64</v>
      </c>
      <c r="CO82">
        <f ca="1"/>
        <v>2693.5199999999995</v>
      </c>
      <c r="CP82">
        <f ca="1"/>
        <v>2667.6</v>
      </c>
      <c r="CQ82">
        <f ca="1"/>
        <v>2646</v>
      </c>
      <c r="CR82">
        <f ca="1"/>
        <v>2657.5199999999995</v>
      </c>
      <c r="CS82">
        <f ca="1"/>
        <v>2645.64</v>
      </c>
      <c r="CT82">
        <f ca="1"/>
        <v>2675.7000000000003</v>
      </c>
      <c r="CU82">
        <f ca="1"/>
        <v>2705.04</v>
      </c>
      <c r="CV82">
        <f ca="1"/>
        <v>2675.5199999999995</v>
      </c>
      <c r="CW82">
        <f ca="1"/>
        <v>2644.0199999999995</v>
      </c>
      <c r="CX82">
        <f ca="1"/>
        <v>2635.0199999999995</v>
      </c>
      <c r="CY82">
        <f ca="1"/>
        <v>2550.7800000000002</v>
      </c>
      <c r="CZ82">
        <f ca="1"/>
        <v>2575.7999999999997</v>
      </c>
      <c r="DA82">
        <f ca="1"/>
        <v>2567.88</v>
      </c>
      <c r="DB82">
        <f ca="1"/>
        <v>2596.14</v>
      </c>
      <c r="DC82">
        <f ca="1"/>
        <v>2583.54</v>
      </c>
      <c r="DD82">
        <f ca="1"/>
        <v>2531.5199999999995</v>
      </c>
      <c r="DE82">
        <f ca="1"/>
        <v>2520.54</v>
      </c>
      <c r="DF82">
        <f ca="1"/>
        <v>2542.14</v>
      </c>
      <c r="DG82">
        <f ca="1"/>
        <v>2533.14</v>
      </c>
      <c r="DH82">
        <f ca="1"/>
        <v>2551.6799999999998</v>
      </c>
      <c r="DI82">
        <f ca="1"/>
        <v>2538.54</v>
      </c>
      <c r="DJ82">
        <f ca="1"/>
        <v>2554.2000000000003</v>
      </c>
      <c r="DK82">
        <f ca="1"/>
        <v>2559.06</v>
      </c>
      <c r="DL82">
        <f ca="1"/>
        <v>2518.56</v>
      </c>
      <c r="DM82">
        <f ca="1"/>
        <v>2527.92</v>
      </c>
      <c r="DN82">
        <f ca="1"/>
        <v>2523.06</v>
      </c>
      <c r="DO82">
        <f ca="1"/>
        <v>2527.92</v>
      </c>
      <c r="DP82">
        <f ca="1"/>
        <v>2576.5199999999995</v>
      </c>
      <c r="DQ82">
        <f ca="1"/>
        <v>2561.58</v>
      </c>
      <c r="DR82">
        <f ca="1"/>
        <v>2555.64</v>
      </c>
      <c r="DS82">
        <f ca="1"/>
        <v>2514.6</v>
      </c>
      <c r="DT82">
        <f ca="1"/>
        <v>2534.2199999999998</v>
      </c>
      <c r="DU82">
        <f ca="1"/>
        <v>2499.12</v>
      </c>
      <c r="DV82">
        <f ca="1"/>
        <v>2604.7800000000002</v>
      </c>
      <c r="DW82">
        <f ca="1"/>
        <v>2701.44</v>
      </c>
      <c r="DX82">
        <f ca="1"/>
        <v>2680.0199999999995</v>
      </c>
      <c r="DY82">
        <f ca="1"/>
        <v>2727.72</v>
      </c>
      <c r="DZ82">
        <f ca="1"/>
        <v>2720.88</v>
      </c>
      <c r="EA82">
        <f ca="1"/>
        <v>2748.06</v>
      </c>
      <c r="EB82">
        <f ca="1"/>
        <v>2766.78</v>
      </c>
      <c r="EC82">
        <f ca="1"/>
        <v>2765.5199999999995</v>
      </c>
      <c r="ED82">
        <f ca="1"/>
        <v>2757.2400000000002</v>
      </c>
      <c r="EE82">
        <f ca="1"/>
        <v>2754.54</v>
      </c>
      <c r="EF82">
        <f ca="1"/>
        <v>2727.18</v>
      </c>
      <c r="EG82">
        <f ca="1"/>
        <v>2727.9</v>
      </c>
      <c r="EH82">
        <f ca="1"/>
        <v>2747.34</v>
      </c>
      <c r="EI82">
        <f ca="1"/>
        <v>2702.16</v>
      </c>
      <c r="EJ82">
        <f ca="1"/>
        <v>2630.88</v>
      </c>
      <c r="EK82">
        <f ca="1"/>
        <v>2655.9</v>
      </c>
      <c r="EL82">
        <f ca="1"/>
        <v>2629.62</v>
      </c>
      <c r="EM82">
        <f ca="1"/>
        <v>2584.7999999999997</v>
      </c>
      <c r="EN82">
        <f ca="1"/>
        <v>2572.2000000000003</v>
      </c>
      <c r="EO82">
        <f ca="1"/>
        <v>2571.4800000000005</v>
      </c>
      <c r="EP82">
        <f ca="1"/>
        <v>2548.44</v>
      </c>
      <c r="EQ82">
        <f ca="1"/>
        <v>2573.1</v>
      </c>
      <c r="ER82">
        <f ca="1"/>
        <v>2567.16</v>
      </c>
      <c r="ES82">
        <f ca="1"/>
        <v>2611.44</v>
      </c>
      <c r="ET82">
        <f ca="1"/>
        <v>2599.0199999999995</v>
      </c>
      <c r="EU82">
        <f ca="1"/>
        <v>2610.36</v>
      </c>
      <c r="EV82">
        <f ca="1"/>
        <v>2625.2999999999997</v>
      </c>
      <c r="EW82">
        <f ca="1"/>
        <v>2660.94</v>
      </c>
      <c r="EX82">
        <f ca="1"/>
        <v>2677.86</v>
      </c>
      <c r="EY82">
        <f ca="1"/>
        <v>2647.9800000000005</v>
      </c>
      <c r="EZ82">
        <f ca="1"/>
        <v>2629.7999999999997</v>
      </c>
      <c r="FA82">
        <f ca="1"/>
        <v>2633.94</v>
      </c>
      <c r="FB82">
        <f ca="1"/>
        <v>2619</v>
      </c>
      <c r="FC82">
        <f ca="1"/>
        <v>2629.9800000000005</v>
      </c>
      <c r="FD82">
        <f ca="1"/>
        <v>2663.64</v>
      </c>
      <c r="FE82">
        <f ca="1"/>
        <v>2677.32</v>
      </c>
      <c r="FF82">
        <f ca="1"/>
        <v>2691.18</v>
      </c>
      <c r="FG82">
        <f ca="1"/>
        <v>2674.9800000000005</v>
      </c>
      <c r="FH82">
        <f ca="1"/>
        <v>2665.08</v>
      </c>
      <c r="FI82">
        <f ca="1"/>
        <v>2644.38</v>
      </c>
      <c r="FJ82">
        <f ca="1"/>
        <v>2610.36</v>
      </c>
      <c r="FK82">
        <f ca="1"/>
        <v>2621.34</v>
      </c>
      <c r="FL82">
        <f ca="1"/>
        <v>2603.5199999999995</v>
      </c>
      <c r="FM82">
        <f ca="1"/>
        <v>2694.6</v>
      </c>
      <c r="FN82">
        <f ca="1"/>
        <v>2682.72</v>
      </c>
      <c r="FO82">
        <f ca="1"/>
        <v>2711.7000000000003</v>
      </c>
      <c r="FP82">
        <f ca="1"/>
        <v>2721.96</v>
      </c>
      <c r="FQ82">
        <f ca="1"/>
        <v>2706.66</v>
      </c>
      <c r="FR82">
        <f ca="1"/>
        <v>2701.44</v>
      </c>
      <c r="FS82">
        <f ca="1"/>
        <v>2688.66</v>
      </c>
      <c r="FT82">
        <f ca="1"/>
        <v>2666.88</v>
      </c>
      <c r="FU82">
        <f ca="1"/>
        <v>2646.9</v>
      </c>
      <c r="FV82">
        <f ca="1"/>
        <v>2586.2400000000002</v>
      </c>
      <c r="FW82">
        <f ca="1"/>
        <v>2587.3200000000002</v>
      </c>
      <c r="FX82">
        <f ca="1"/>
        <v>2588.04</v>
      </c>
      <c r="FY82">
        <f ca="1"/>
        <v>2596.3200000000002</v>
      </c>
      <c r="FZ82">
        <f ca="1"/>
        <v>2594.88</v>
      </c>
      <c r="GA82">
        <f ca="1"/>
        <v>2583.36</v>
      </c>
      <c r="GB82">
        <f ca="1"/>
        <v>2560.14</v>
      </c>
      <c r="GC82">
        <f ca="1"/>
        <v>2518.56</v>
      </c>
      <c r="GD82">
        <f ca="1"/>
        <v>2501.2800000000002</v>
      </c>
      <c r="GE82">
        <f ca="1"/>
        <v>2466.1799999999998</v>
      </c>
      <c r="GF82">
        <f ca="1"/>
        <v>2508.66</v>
      </c>
      <c r="GG82">
        <f ca="1"/>
        <v>2518.38</v>
      </c>
      <c r="GH82">
        <f ca="1"/>
        <v>2544.4800000000005</v>
      </c>
      <c r="GI82">
        <f ca="1"/>
        <v>2582.64</v>
      </c>
      <c r="GJ82">
        <f ca="1"/>
        <v>2626.56</v>
      </c>
      <c r="GK82">
        <f ca="1"/>
        <v>2638.2599999999998</v>
      </c>
      <c r="GL82">
        <f ca="1"/>
        <v>2633.7599999999998</v>
      </c>
      <c r="GM82">
        <f ca="1"/>
        <v>2657.88</v>
      </c>
      <c r="GN82">
        <f ca="1"/>
        <v>2641.32</v>
      </c>
      <c r="GO82">
        <f ca="1"/>
        <v>2599.2000000000003</v>
      </c>
      <c r="GP82">
        <f ca="1"/>
        <v>2602.44</v>
      </c>
      <c r="GQ82">
        <f ca="1"/>
        <v>2625.66</v>
      </c>
      <c r="GR82">
        <f ca="1"/>
        <v>2678.04</v>
      </c>
      <c r="GS82">
        <f ca="1"/>
        <v>2673</v>
      </c>
      <c r="GT82">
        <f ca="1"/>
        <v>2676.42</v>
      </c>
      <c r="GU82">
        <f ca="1"/>
        <v>2765.34</v>
      </c>
      <c r="GV82">
        <f ca="1"/>
        <v>2793.6</v>
      </c>
      <c r="GW82">
        <f ca="1"/>
        <v>2931.2999999999997</v>
      </c>
      <c r="GX82">
        <f ca="1"/>
        <v>2991.2400000000002</v>
      </c>
      <c r="GY82">
        <f ca="1"/>
        <v>3015.54</v>
      </c>
      <c r="GZ82">
        <f ca="1"/>
        <v>3068.82</v>
      </c>
      <c r="HA82">
        <f ca="1"/>
        <v>2996.46</v>
      </c>
      <c r="HB82">
        <f ca="1"/>
        <v>3005.46</v>
      </c>
      <c r="HC82">
        <f ca="1"/>
        <v>3044.7000000000003</v>
      </c>
      <c r="HD82">
        <f ca="1"/>
        <v>3009.6</v>
      </c>
      <c r="HE82">
        <f ca="1"/>
        <v>2986.92</v>
      </c>
      <c r="HF82">
        <f ca="1"/>
        <v>2914.56</v>
      </c>
      <c r="HG82">
        <f ca="1"/>
        <v>2959.0199999999995</v>
      </c>
      <c r="HH82">
        <f ca="1"/>
        <v>2962.62</v>
      </c>
      <c r="HI82">
        <f ca="1"/>
        <v>2968.92</v>
      </c>
      <c r="HJ82">
        <f ca="1"/>
        <v>3029.7599999999998</v>
      </c>
      <c r="HK82">
        <f ca="1"/>
        <v>3051.72</v>
      </c>
      <c r="HL82">
        <f ca="1"/>
        <v>3045.06</v>
      </c>
      <c r="HM82">
        <f ca="1"/>
        <v>3016.44</v>
      </c>
      <c r="HN82">
        <f ca="1"/>
        <v>3055.32</v>
      </c>
      <c r="HO82">
        <f ca="1"/>
        <v>3011.04</v>
      </c>
      <c r="HP82">
        <f ca="1"/>
        <v>2968.38</v>
      </c>
      <c r="HQ82">
        <f ca="1"/>
        <v>2950.56</v>
      </c>
      <c r="HR82">
        <f ca="1"/>
        <v>2892.6</v>
      </c>
      <c r="HS82">
        <f ca="1"/>
        <v>2869.7400000000002</v>
      </c>
      <c r="HT82">
        <f ca="1"/>
        <v>2907.54</v>
      </c>
      <c r="HU82">
        <f ca="1"/>
        <v>2894.04</v>
      </c>
      <c r="HV82">
        <f ca="1"/>
        <v>2882.7000000000003</v>
      </c>
      <c r="HW82">
        <f ca="1"/>
        <v>2859.4800000000005</v>
      </c>
      <c r="HX82">
        <f ca="1"/>
        <v>2877.84</v>
      </c>
      <c r="HY82">
        <f ca="1"/>
        <v>2838.96</v>
      </c>
      <c r="HZ82">
        <f ca="1"/>
        <v>2817</v>
      </c>
      <c r="IA82">
        <f ca="1"/>
        <v>2763.72</v>
      </c>
      <c r="IB82">
        <f ca="1"/>
        <v>2749.32</v>
      </c>
      <c r="IC82">
        <f ca="1"/>
        <v>2700.72</v>
      </c>
      <c r="ID82">
        <f ca="1"/>
        <v>2715.84</v>
      </c>
      <c r="IE82">
        <f ca="1"/>
        <v>2710.62</v>
      </c>
      <c r="IF82">
        <f ca="1"/>
        <v>2731.14</v>
      </c>
      <c r="IG82">
        <f ca="1"/>
        <v>2714.94</v>
      </c>
      <c r="IH82">
        <f ca="1"/>
        <v>2754.72</v>
      </c>
      <c r="II82">
        <f ca="1"/>
        <v>2822.7599999999998</v>
      </c>
      <c r="IJ82">
        <f ca="1"/>
        <v>2795.22</v>
      </c>
      <c r="IK82">
        <f ca="1"/>
        <v>2783.7000000000003</v>
      </c>
      <c r="IL82">
        <f ca="1"/>
        <v>2826.18</v>
      </c>
      <c r="IM82">
        <f ca="1"/>
        <v>2821.14</v>
      </c>
      <c r="IN82">
        <f ca="1"/>
        <v>2757.78</v>
      </c>
      <c r="IO82">
        <f ca="1"/>
        <v>2786.4</v>
      </c>
      <c r="IP82">
        <f ca="1"/>
        <v>2834.82</v>
      </c>
      <c r="IQ82">
        <f ca="1"/>
        <v>2827.08</v>
      </c>
      <c r="IR82">
        <f ca="1"/>
        <v>2805.84</v>
      </c>
      <c r="IS82">
        <f ca="1"/>
        <v>2802.96</v>
      </c>
      <c r="IT82">
        <f ca="1"/>
        <v>2787.2999999999997</v>
      </c>
      <c r="IU82">
        <f ca="1"/>
        <v>2850.84</v>
      </c>
      <c r="IV82">
        <f ca="1"/>
        <v>2838.06</v>
      </c>
      <c r="IW82">
        <f ca="1"/>
        <v>2825.82</v>
      </c>
    </row>
    <row r="83" spans="2:267" x14ac:dyDescent="0.25">
      <c r="B83" t="str">
        <f t="shared" si="641"/>
        <v>20K6HU7</v>
      </c>
      <c r="C83" t="s">
        <v>162</v>
      </c>
      <c r="D83" t="e" vm="564">
        <v>#VALUE!</v>
      </c>
      <c r="E83" t="str" cm="1">
        <f t="array" aca="1" ref="E83" ca="1">_FV(D83,"Code mnémonique",TRUE)</f>
        <v>PG</v>
      </c>
      <c r="F83" s="12">
        <f>_xlfn.XLOOKUP(D83,Titres[Action],Titres[Nb d''actions])</f>
        <v>22</v>
      </c>
      <c r="G83" cm="1">
        <f t="array" aca="1" ref="G83:IW83" ca="1">IFERROR(TRANSPOSE(_xlfn.STOCKHISTORY(D83,TODAY()-365,TODAY(),0,0,1))*F83,"")</f>
        <v>3646.5</v>
      </c>
      <c r="H83">
        <f ca="1"/>
        <v>3693.3599999999997</v>
      </c>
      <c r="I83">
        <f ca="1"/>
        <v>3646.06</v>
      </c>
      <c r="J83">
        <f ca="1"/>
        <v>3509.66</v>
      </c>
      <c r="K83">
        <f ca="1"/>
        <v>3542.44</v>
      </c>
      <c r="L83">
        <f ca="1"/>
        <v>3560.7</v>
      </c>
      <c r="M83">
        <f ca="1"/>
        <v>3569.72</v>
      </c>
      <c r="N83">
        <f ca="1"/>
        <v>3576.54</v>
      </c>
      <c r="O83">
        <f ca="1"/>
        <v>3519.56</v>
      </c>
      <c r="P83">
        <f ca="1"/>
        <v>3531.44</v>
      </c>
      <c r="Q83">
        <f ca="1"/>
        <v>3494.26</v>
      </c>
      <c r="R83">
        <f ca="1"/>
        <v>3503.5</v>
      </c>
      <c r="S83">
        <f ca="1"/>
        <v>3504.3799999999997</v>
      </c>
      <c r="T83">
        <f ca="1"/>
        <v>3490.3</v>
      </c>
      <c r="U83">
        <f ca="1"/>
        <v>3468.52</v>
      </c>
      <c r="V83">
        <f ca="1"/>
        <v>3539.8</v>
      </c>
      <c r="W83">
        <f ca="1"/>
        <v>3492.06</v>
      </c>
      <c r="X83">
        <f ca="1"/>
        <v>3476.44</v>
      </c>
      <c r="Y83">
        <f ca="1"/>
        <v>3573.02</v>
      </c>
      <c r="Z83">
        <f ca="1"/>
        <v>3592.16</v>
      </c>
      <c r="AA83">
        <f ca="1"/>
        <v>3624.94</v>
      </c>
      <c r="AB83">
        <f ca="1"/>
        <v>3644.08</v>
      </c>
      <c r="AC83">
        <f ca="1"/>
        <v>3639.46</v>
      </c>
      <c r="AD83">
        <f ca="1"/>
        <v>3630.66</v>
      </c>
      <c r="AE83">
        <f ca="1"/>
        <v>3648.92</v>
      </c>
      <c r="AF83">
        <f ca="1"/>
        <v>3690.72</v>
      </c>
      <c r="AG83">
        <f ca="1"/>
        <v>3681.92</v>
      </c>
      <c r="AH83">
        <f ca="1"/>
        <v>3708.32</v>
      </c>
      <c r="AI83">
        <f ca="1"/>
        <v>3737.58</v>
      </c>
      <c r="AJ83">
        <f ca="1"/>
        <v>3691.16</v>
      </c>
      <c r="AK83">
        <f ca="1"/>
        <v>3670.7</v>
      </c>
      <c r="AL83">
        <f ca="1"/>
        <v>3650.8999999999996</v>
      </c>
      <c r="AM83">
        <f ca="1"/>
        <v>3581.6000000000004</v>
      </c>
      <c r="AN83">
        <f ca="1"/>
        <v>3608.44</v>
      </c>
      <c r="AO83">
        <f ca="1"/>
        <v>3576.32</v>
      </c>
      <c r="AP83">
        <f ca="1"/>
        <v>3582.48</v>
      </c>
      <c r="AQ83">
        <f ca="1"/>
        <v>3566.42</v>
      </c>
      <c r="AR83">
        <f ca="1"/>
        <v>3589.96</v>
      </c>
      <c r="AS83">
        <f ca="1"/>
        <v>3526.16</v>
      </c>
      <c r="AT83">
        <f ca="1"/>
        <v>3539.3599999999997</v>
      </c>
      <c r="AU83">
        <f ca="1"/>
        <v>3487.44</v>
      </c>
      <c r="AV83">
        <f ca="1"/>
        <v>3476.44</v>
      </c>
      <c r="AW83">
        <f ca="1"/>
        <v>3499.76</v>
      </c>
      <c r="AX83">
        <f ca="1"/>
        <v>3542.66</v>
      </c>
      <c r="AY83">
        <f ca="1"/>
        <v>3527.92</v>
      </c>
      <c r="AZ83">
        <f ca="1"/>
        <v>3497.34</v>
      </c>
      <c r="BA83">
        <f ca="1"/>
        <v>3489.8599999999997</v>
      </c>
      <c r="BB83">
        <f ca="1"/>
        <v>3516.92</v>
      </c>
      <c r="BC83">
        <f ca="1"/>
        <v>3505.04</v>
      </c>
      <c r="BD83">
        <f ca="1"/>
        <v>3546.84</v>
      </c>
      <c r="BE83">
        <f ca="1"/>
        <v>3546.3999999999996</v>
      </c>
      <c r="BF83">
        <f ca="1"/>
        <v>3538.26</v>
      </c>
      <c r="BG83">
        <f ca="1"/>
        <v>3531</v>
      </c>
      <c r="BH83">
        <f ca="1"/>
        <v>3473.58</v>
      </c>
      <c r="BI83">
        <f ca="1"/>
        <v>3465.44</v>
      </c>
      <c r="BJ83">
        <f ca="1"/>
        <v>3486.78</v>
      </c>
      <c r="BK83">
        <f ca="1"/>
        <v>3455.1000000000004</v>
      </c>
      <c r="BL83">
        <f ca="1"/>
        <v>3382.72</v>
      </c>
      <c r="BM83">
        <f ca="1"/>
        <v>3358.96</v>
      </c>
      <c r="BN83">
        <f ca="1"/>
        <v>3382.06</v>
      </c>
      <c r="BO83">
        <f ca="1"/>
        <v>3423.6400000000003</v>
      </c>
      <c r="BP83">
        <f ca="1"/>
        <v>3412.2</v>
      </c>
      <c r="BQ83">
        <f ca="1"/>
        <v>3410.66</v>
      </c>
      <c r="BR83">
        <f ca="1"/>
        <v>3483.04</v>
      </c>
      <c r="BS83">
        <f ca="1"/>
        <v>3482.16</v>
      </c>
      <c r="BT83">
        <f ca="1"/>
        <v>3493.82</v>
      </c>
      <c r="BU83">
        <f ca="1"/>
        <v>3482.6000000000004</v>
      </c>
      <c r="BV83">
        <f ca="1"/>
        <v>3456.42</v>
      </c>
      <c r="BW83">
        <f ca="1"/>
        <v>3445.42</v>
      </c>
      <c r="BX83">
        <f ca="1"/>
        <v>3363.3599999999997</v>
      </c>
      <c r="BY83">
        <f ca="1"/>
        <v>3310.34</v>
      </c>
      <c r="BZ83">
        <f ca="1"/>
        <v>3314.3</v>
      </c>
      <c r="CA83">
        <f ca="1"/>
        <v>3316.72</v>
      </c>
      <c r="CB83">
        <f ca="1"/>
        <v>3311.22</v>
      </c>
      <c r="CC83">
        <f ca="1"/>
        <v>3362.92</v>
      </c>
      <c r="CD83">
        <f ca="1"/>
        <v>3376.78</v>
      </c>
      <c r="CE83">
        <f ca="1"/>
        <v>3377.22</v>
      </c>
      <c r="CF83">
        <f ca="1"/>
        <v>3409.56</v>
      </c>
      <c r="CG83">
        <f ca="1"/>
        <v>3411.98</v>
      </c>
      <c r="CH83">
        <f ca="1"/>
        <v>3419.02</v>
      </c>
      <c r="CI83">
        <f ca="1"/>
        <v>3382.28</v>
      </c>
      <c r="CJ83">
        <f ca="1"/>
        <v>3395.92</v>
      </c>
      <c r="CK83">
        <f ca="1"/>
        <v>3425.84</v>
      </c>
      <c r="CL83">
        <f ca="1"/>
        <v>3484.8</v>
      </c>
      <c r="CM83">
        <f ca="1"/>
        <v>3509.22</v>
      </c>
      <c r="CN83">
        <f ca="1"/>
        <v>3492.06</v>
      </c>
      <c r="CO83">
        <f ca="1"/>
        <v>3490.74</v>
      </c>
      <c r="CP83">
        <f ca="1"/>
        <v>3435.3</v>
      </c>
      <c r="CQ83">
        <f ca="1"/>
        <v>3431.34</v>
      </c>
      <c r="CR83">
        <f ca="1"/>
        <v>3453.1200000000003</v>
      </c>
      <c r="CS83">
        <f ca="1"/>
        <v>3424.3</v>
      </c>
      <c r="CT83">
        <f ca="1"/>
        <v>3454.8799999999997</v>
      </c>
      <c r="CU83">
        <f ca="1"/>
        <v>3475.78</v>
      </c>
      <c r="CV83">
        <f ca="1"/>
        <v>3479.74</v>
      </c>
      <c r="CW83">
        <f ca="1"/>
        <v>3502.18</v>
      </c>
      <c r="CX83">
        <f ca="1"/>
        <v>3520.44</v>
      </c>
      <c r="CY83">
        <f ca="1"/>
        <v>3498.22</v>
      </c>
      <c r="CZ83">
        <f ca="1"/>
        <v>3508.1200000000003</v>
      </c>
      <c r="DA83">
        <f ca="1"/>
        <v>3461.7</v>
      </c>
      <c r="DB83">
        <f ca="1"/>
        <v>3489.8599999999997</v>
      </c>
      <c r="DC83">
        <f ca="1"/>
        <v>3473.8</v>
      </c>
      <c r="DD83">
        <f ca="1"/>
        <v>3450.26</v>
      </c>
      <c r="DE83">
        <f ca="1"/>
        <v>3477.1000000000004</v>
      </c>
      <c r="DF83">
        <f ca="1"/>
        <v>3527.26</v>
      </c>
      <c r="DG83">
        <f ca="1"/>
        <v>3461.04</v>
      </c>
      <c r="DH83">
        <f ca="1"/>
        <v>3432.8799999999997</v>
      </c>
      <c r="DI83">
        <f ca="1"/>
        <v>3367.54</v>
      </c>
      <c r="DJ83">
        <f ca="1"/>
        <v>3355</v>
      </c>
      <c r="DK83">
        <f ca="1"/>
        <v>3353.24</v>
      </c>
      <c r="DL83">
        <f ca="1"/>
        <v>3347.3</v>
      </c>
      <c r="DM83">
        <f ca="1"/>
        <v>3355</v>
      </c>
      <c r="DN83">
        <f ca="1"/>
        <v>3377.66</v>
      </c>
      <c r="DO83">
        <f ca="1"/>
        <v>3380.3</v>
      </c>
      <c r="DP83">
        <f ca="1"/>
        <v>3369.96</v>
      </c>
      <c r="DQ83">
        <f ca="1"/>
        <v>3345.1000000000004</v>
      </c>
      <c r="DR83">
        <f ca="1"/>
        <v>3349.94</v>
      </c>
      <c r="DS83">
        <f ca="1"/>
        <v>3309.02</v>
      </c>
      <c r="DT83">
        <f ca="1"/>
        <v>3355.8799999999997</v>
      </c>
      <c r="DU83">
        <f ca="1"/>
        <v>3315.18</v>
      </c>
      <c r="DV83">
        <f ca="1"/>
        <v>3312.76</v>
      </c>
      <c r="DW83">
        <f ca="1"/>
        <v>3293.18</v>
      </c>
      <c r="DX83">
        <f ca="1"/>
        <v>3244.78</v>
      </c>
      <c r="DY83">
        <f ca="1"/>
        <v>3281.52</v>
      </c>
      <c r="DZ83">
        <f ca="1"/>
        <v>3243.24</v>
      </c>
      <c r="EA83">
        <f ca="1"/>
        <v>3291.2</v>
      </c>
      <c r="EB83">
        <f ca="1"/>
        <v>3330.8</v>
      </c>
      <c r="EC83">
        <f ca="1"/>
        <v>3343.1200000000003</v>
      </c>
      <c r="ED83">
        <f ca="1"/>
        <v>3335.6400000000003</v>
      </c>
      <c r="EE83">
        <f ca="1"/>
        <v>3348.3999999999996</v>
      </c>
      <c r="EF83">
        <f ca="1"/>
        <v>3348.6200000000003</v>
      </c>
      <c r="EG83">
        <f ca="1"/>
        <v>3354.78</v>
      </c>
      <c r="EH83">
        <f ca="1"/>
        <v>3338.28</v>
      </c>
      <c r="EI83">
        <f ca="1"/>
        <v>3330.1400000000003</v>
      </c>
      <c r="EJ83">
        <f ca="1"/>
        <v>3272.94</v>
      </c>
      <c r="EK83">
        <f ca="1"/>
        <v>3290.76</v>
      </c>
      <c r="EL83">
        <f ca="1"/>
        <v>3308.1400000000003</v>
      </c>
      <c r="EM83">
        <f ca="1"/>
        <v>3256.44</v>
      </c>
      <c r="EN83">
        <f ca="1"/>
        <v>3237.74</v>
      </c>
      <c r="EO83">
        <f ca="1"/>
        <v>3207.3799999999997</v>
      </c>
      <c r="EP83">
        <f ca="1"/>
        <v>3214.8599999999997</v>
      </c>
      <c r="EQ83">
        <f ca="1"/>
        <v>3233.56</v>
      </c>
      <c r="ER83">
        <f ca="1"/>
        <v>3201</v>
      </c>
      <c r="ES83">
        <f ca="1"/>
        <v>3267.8799999999997</v>
      </c>
      <c r="ET83">
        <f ca="1"/>
        <v>3256.22</v>
      </c>
      <c r="EU83">
        <f ca="1"/>
        <v>3255.1200000000003</v>
      </c>
      <c r="EV83">
        <f ca="1"/>
        <v>3248.74</v>
      </c>
      <c r="EW83">
        <f ca="1"/>
        <v>3208.04</v>
      </c>
      <c r="EX83">
        <f ca="1"/>
        <v>3233.78</v>
      </c>
      <c r="EY83">
        <f ca="1"/>
        <v>3233.78</v>
      </c>
      <c r="EZ83">
        <f ca="1"/>
        <v>3260.18</v>
      </c>
      <c r="FA83">
        <f ca="1"/>
        <v>3320.24</v>
      </c>
      <c r="FB83">
        <f ca="1"/>
        <v>3233.56</v>
      </c>
      <c r="FC83">
        <f ca="1"/>
        <v>3266.78</v>
      </c>
      <c r="FD83">
        <f ca="1"/>
        <v>3261.5</v>
      </c>
      <c r="FE83">
        <f ca="1"/>
        <v>3259.52</v>
      </c>
      <c r="FF83">
        <f ca="1"/>
        <v>3243.68</v>
      </c>
      <c r="FG83">
        <f ca="1"/>
        <v>3208.92</v>
      </c>
      <c r="FH83">
        <f ca="1"/>
        <v>3227.6200000000003</v>
      </c>
      <c r="FI83">
        <f ca="1"/>
        <v>3197.92</v>
      </c>
      <c r="FJ83">
        <f ca="1"/>
        <v>3155.8999999999996</v>
      </c>
      <c r="FK83">
        <f ca="1"/>
        <v>3043.48</v>
      </c>
      <c r="FL83">
        <f ca="1"/>
        <v>3071.8599999999997</v>
      </c>
      <c r="FM83">
        <f ca="1"/>
        <v>3076.04</v>
      </c>
      <c r="FN83">
        <f ca="1"/>
        <v>3096.72</v>
      </c>
      <c r="FO83">
        <f ca="1"/>
        <v>3142.48</v>
      </c>
      <c r="FP83">
        <f ca="1"/>
        <v>3192.8599999999997</v>
      </c>
      <c r="FQ83">
        <f ca="1"/>
        <v>3194.6200000000003</v>
      </c>
      <c r="FR83">
        <f ca="1"/>
        <v>3251.82</v>
      </c>
      <c r="FS83">
        <f ca="1"/>
        <v>3201.44</v>
      </c>
      <c r="FT83">
        <f ca="1"/>
        <v>3178.1200000000003</v>
      </c>
      <c r="FU83">
        <f ca="1"/>
        <v>3139.18</v>
      </c>
      <c r="FV83">
        <f ca="1"/>
        <v>3149.96</v>
      </c>
      <c r="FW83">
        <f ca="1"/>
        <v>3178.78</v>
      </c>
      <c r="FX83">
        <f ca="1"/>
        <v>3184.28</v>
      </c>
      <c r="FY83">
        <f ca="1"/>
        <v>3180.54</v>
      </c>
      <c r="FZ83">
        <f ca="1"/>
        <v>3169.1000000000004</v>
      </c>
      <c r="GA83">
        <f ca="1"/>
        <v>3152.82</v>
      </c>
      <c r="GB83">
        <f ca="1"/>
        <v>3119.3799999999997</v>
      </c>
      <c r="GC83">
        <f ca="1"/>
        <v>3088.1400000000003</v>
      </c>
      <c r="GD83">
        <f ca="1"/>
        <v>3078.02</v>
      </c>
      <c r="GE83">
        <f ca="1"/>
        <v>3036.8799999999997</v>
      </c>
      <c r="GF83">
        <f ca="1"/>
        <v>3113.66</v>
      </c>
      <c r="GG83">
        <f ca="1"/>
        <v>3121.1400000000003</v>
      </c>
      <c r="GH83">
        <f ca="1"/>
        <v>3156.1200000000003</v>
      </c>
      <c r="GI83">
        <f ca="1"/>
        <v>3173.28</v>
      </c>
      <c r="GJ83">
        <f ca="1"/>
        <v>3219.7</v>
      </c>
      <c r="GK83">
        <f ca="1"/>
        <v>3181.8599999999997</v>
      </c>
      <c r="GL83">
        <f ca="1"/>
        <v>3179.66</v>
      </c>
      <c r="GM83">
        <f ca="1"/>
        <v>3234</v>
      </c>
      <c r="GN83">
        <f ca="1"/>
        <v>3213.32</v>
      </c>
      <c r="GO83">
        <f ca="1"/>
        <v>3298.46</v>
      </c>
      <c r="GP83">
        <f ca="1"/>
        <v>3303.3</v>
      </c>
      <c r="GQ83">
        <f ca="1"/>
        <v>3288.78</v>
      </c>
      <c r="GR83">
        <f ca="1"/>
        <v>3263.48</v>
      </c>
      <c r="GS83">
        <f ca="1"/>
        <v>3241.48</v>
      </c>
      <c r="GT83">
        <f ca="1"/>
        <v>3297.8</v>
      </c>
      <c r="GU83">
        <f ca="1"/>
        <v>3338.94</v>
      </c>
      <c r="GV83">
        <f ca="1"/>
        <v>3370.18</v>
      </c>
      <c r="GW83">
        <f ca="1"/>
        <v>3417.04</v>
      </c>
      <c r="GX83">
        <f ca="1"/>
        <v>3451.1400000000003</v>
      </c>
      <c r="GY83">
        <f ca="1"/>
        <v>3489.42</v>
      </c>
      <c r="GZ83">
        <f ca="1"/>
        <v>3501.74</v>
      </c>
      <c r="HA83">
        <f ca="1"/>
        <v>3461.26</v>
      </c>
      <c r="HB83">
        <f ca="1"/>
        <v>3499.76</v>
      </c>
      <c r="HC83">
        <f ca="1"/>
        <v>3520</v>
      </c>
      <c r="HD83">
        <f ca="1"/>
        <v>3546.6200000000003</v>
      </c>
      <c r="HE83">
        <f ca="1"/>
        <v>3521.54</v>
      </c>
      <c r="HF83">
        <f ca="1"/>
        <v>3510.1000000000004</v>
      </c>
      <c r="HG83">
        <f ca="1"/>
        <v>3450.92</v>
      </c>
      <c r="HH83">
        <f ca="1"/>
        <v>3488.32</v>
      </c>
      <c r="HI83">
        <f ca="1"/>
        <v>3537.16</v>
      </c>
      <c r="HJ83">
        <f ca="1"/>
        <v>3633.74</v>
      </c>
      <c r="HK83">
        <f ca="1"/>
        <v>3636.16</v>
      </c>
      <c r="HL83">
        <f ca="1"/>
        <v>3594.58</v>
      </c>
      <c r="HM83">
        <f ca="1"/>
        <v>3602.5</v>
      </c>
      <c r="HN83">
        <f ca="1"/>
        <v>3678.3999999999996</v>
      </c>
      <c r="HO83">
        <f ca="1"/>
        <v>3597.22</v>
      </c>
      <c r="HP83">
        <f ca="1"/>
        <v>3513.84</v>
      </c>
      <c r="HQ83">
        <f ca="1"/>
        <v>3482.6000000000004</v>
      </c>
      <c r="HR83">
        <f ca="1"/>
        <v>3387.78</v>
      </c>
      <c r="HS83">
        <f ca="1"/>
        <v>3379.8599999999997</v>
      </c>
      <c r="HT83">
        <f ca="1"/>
        <v>3414.84</v>
      </c>
      <c r="HU83">
        <f ca="1"/>
        <v>3432.22</v>
      </c>
      <c r="HV83">
        <f ca="1"/>
        <v>3373.04</v>
      </c>
      <c r="HW83">
        <f ca="1"/>
        <v>3311</v>
      </c>
      <c r="HX83">
        <f ca="1"/>
        <v>3314.3</v>
      </c>
      <c r="HY83">
        <f ca="1"/>
        <v>3346.6400000000003</v>
      </c>
      <c r="HZ83">
        <f ca="1"/>
        <v>3332.56</v>
      </c>
      <c r="IA83">
        <f ca="1"/>
        <v>3227.6200000000003</v>
      </c>
      <c r="IB83">
        <f ca="1"/>
        <v>3186.48</v>
      </c>
      <c r="IC83">
        <f ca="1"/>
        <v>3174.16</v>
      </c>
      <c r="ID83">
        <f ca="1"/>
        <v>3167.78</v>
      </c>
      <c r="IE83">
        <f ca="1"/>
        <v>3149.52</v>
      </c>
      <c r="IF83">
        <f ca="1"/>
        <v>3166.24</v>
      </c>
      <c r="IG83">
        <f ca="1"/>
        <v>3133.24</v>
      </c>
      <c r="IH83">
        <f ca="1"/>
        <v>3139.6200000000003</v>
      </c>
      <c r="II83">
        <f ca="1"/>
        <v>3183.84</v>
      </c>
      <c r="IJ83">
        <f ca="1"/>
        <v>3177.68</v>
      </c>
      <c r="IK83">
        <f ca="1"/>
        <v>3169.98</v>
      </c>
      <c r="IL83">
        <f ca="1"/>
        <v>3148.6400000000003</v>
      </c>
      <c r="IM83">
        <f ca="1"/>
        <v>3140.94</v>
      </c>
      <c r="IN83">
        <f ca="1"/>
        <v>3108.6000000000004</v>
      </c>
      <c r="IO83">
        <f ca="1"/>
        <v>3187.8</v>
      </c>
      <c r="IP83">
        <f ca="1"/>
        <v>3226.52</v>
      </c>
      <c r="IQ83">
        <f ca="1"/>
        <v>3193.52</v>
      </c>
      <c r="IR83">
        <f ca="1"/>
        <v>3158.76</v>
      </c>
      <c r="IS83">
        <f ca="1"/>
        <v>3176.3599999999997</v>
      </c>
      <c r="IT83">
        <f ca="1"/>
        <v>3154.3599999999997</v>
      </c>
      <c r="IU83">
        <f ca="1"/>
        <v>3148.42</v>
      </c>
      <c r="IV83">
        <f ca="1"/>
        <v>3232.46</v>
      </c>
      <c r="IW83">
        <f ca="1"/>
        <v>3178.78</v>
      </c>
    </row>
    <row r="84" spans="2:267" x14ac:dyDescent="0.25">
      <c r="B84" t="str">
        <f t="shared" si="641"/>
        <v>20K6HU7</v>
      </c>
      <c r="C84" t="s">
        <v>162</v>
      </c>
      <c r="D84" t="e" vm="512">
        <v>#VALUE!</v>
      </c>
      <c r="E84" t="str" cm="1">
        <f t="array" aca="1" ref="E84" ca="1">_FV(D84,"Code mnémonique",TRUE)</f>
        <v>T</v>
      </c>
      <c r="F84" s="12">
        <f>_xlfn.XLOOKUP(D84,Titres[Action],Titres[Nb d''actions])</f>
        <v>124</v>
      </c>
      <c r="G84" cm="1">
        <f t="array" aca="1" ref="G84:IW84" ca="1">IFERROR(TRANSPOSE(_xlfn.STOCKHISTORY(D84,TODAY()-365,TODAY(),0,0,1))*F84,"")</f>
        <v>3264.9199999999996</v>
      </c>
      <c r="H84">
        <f ca="1"/>
        <v>3343.04</v>
      </c>
      <c r="I84">
        <f ca="1"/>
        <v>3371.56</v>
      </c>
      <c r="J84">
        <f ca="1"/>
        <v>3413.7200000000003</v>
      </c>
      <c r="K84">
        <f ca="1"/>
        <v>3324.44</v>
      </c>
      <c r="L84">
        <f ca="1"/>
        <v>3380.2400000000002</v>
      </c>
      <c r="M84">
        <f ca="1"/>
        <v>3385.2000000000003</v>
      </c>
      <c r="N84">
        <f ca="1"/>
        <v>3434.7999999999997</v>
      </c>
      <c r="O84">
        <f ca="1"/>
        <v>3427.36</v>
      </c>
      <c r="P84">
        <f ca="1"/>
        <v>3423.64</v>
      </c>
      <c r="Q84">
        <f ca="1"/>
        <v>3411.2400000000002</v>
      </c>
      <c r="R84">
        <f ca="1"/>
        <v>3491.84</v>
      </c>
      <c r="S84">
        <f ca="1"/>
        <v>3484.4</v>
      </c>
      <c r="T84">
        <f ca="1"/>
        <v>3406.2799999999997</v>
      </c>
      <c r="U84">
        <f ca="1"/>
        <v>3452.16</v>
      </c>
      <c r="V84">
        <f ca="1"/>
        <v>3349.2400000000002</v>
      </c>
      <c r="W84">
        <f ca="1"/>
        <v>3279.7999999999997</v>
      </c>
      <c r="X84">
        <f ca="1"/>
        <v>3278.56</v>
      </c>
      <c r="Y84">
        <f ca="1"/>
        <v>3388.9199999999996</v>
      </c>
      <c r="Z84">
        <f ca="1"/>
        <v>3437.2799999999997</v>
      </c>
      <c r="AA84">
        <f ca="1"/>
        <v>3474.48</v>
      </c>
      <c r="AB84">
        <f ca="1"/>
        <v>3444.7200000000003</v>
      </c>
      <c r="AC84">
        <f ca="1"/>
        <v>3406.2799999999997</v>
      </c>
      <c r="AD84">
        <f ca="1"/>
        <v>3376.52</v>
      </c>
      <c r="AE84">
        <f ca="1"/>
        <v>3400.0800000000004</v>
      </c>
      <c r="AF84">
        <f ca="1"/>
        <v>3396.36</v>
      </c>
      <c r="AG84">
        <f ca="1"/>
        <v>3410</v>
      </c>
      <c r="AH84">
        <f ca="1"/>
        <v>3395.12</v>
      </c>
      <c r="AI84">
        <f ca="1"/>
        <v>3447.2000000000003</v>
      </c>
      <c r="AJ84">
        <f ca="1"/>
        <v>3463.32</v>
      </c>
      <c r="AK84">
        <f ca="1"/>
        <v>3467.04</v>
      </c>
      <c r="AL84">
        <f ca="1"/>
        <v>3392.64</v>
      </c>
      <c r="AM84">
        <f ca="1"/>
        <v>3442.2400000000002</v>
      </c>
      <c r="AN84">
        <f ca="1"/>
        <v>3481.9199999999996</v>
      </c>
      <c r="AO84">
        <f ca="1"/>
        <v>3454.64</v>
      </c>
      <c r="AP84">
        <f ca="1"/>
        <v>3524.0800000000004</v>
      </c>
      <c r="AQ84">
        <f ca="1"/>
        <v>3514.16</v>
      </c>
      <c r="AR84">
        <f ca="1"/>
        <v>3505.48</v>
      </c>
      <c r="AS84">
        <f ca="1"/>
        <v>3495.56</v>
      </c>
      <c r="AT84">
        <f ca="1"/>
        <v>3468.2799999999997</v>
      </c>
      <c r="AU84">
        <f ca="1"/>
        <v>3428.6</v>
      </c>
      <c r="AV84">
        <f ca="1"/>
        <v>3429.84</v>
      </c>
      <c r="AW84">
        <f ca="1"/>
        <v>3443.48</v>
      </c>
      <c r="AX84">
        <f ca="1"/>
        <v>3496.7999999999997</v>
      </c>
      <c r="AY84">
        <f ca="1"/>
        <v>3506.7200000000003</v>
      </c>
      <c r="AZ84">
        <f ca="1"/>
        <v>3462.0800000000004</v>
      </c>
      <c r="BA84">
        <f ca="1"/>
        <v>3472</v>
      </c>
      <c r="BB84">
        <f ca="1"/>
        <v>3481.9199999999996</v>
      </c>
      <c r="BC84">
        <f ca="1"/>
        <v>3588.56</v>
      </c>
      <c r="BD84">
        <f ca="1"/>
        <v>3581.12</v>
      </c>
      <c r="BE84">
        <f ca="1"/>
        <v>3510.44</v>
      </c>
      <c r="BF84">
        <f ca="1"/>
        <v>3516.64</v>
      </c>
      <c r="BG84">
        <f ca="1"/>
        <v>3522.84</v>
      </c>
      <c r="BH84">
        <f ca="1"/>
        <v>3507.96</v>
      </c>
      <c r="BI84">
        <f ca="1"/>
        <v>3484.4</v>
      </c>
      <c r="BJ84">
        <f ca="1"/>
        <v>3424.88</v>
      </c>
      <c r="BK84">
        <f ca="1"/>
        <v>3344.2799999999997</v>
      </c>
      <c r="BL84">
        <f ca="1"/>
        <v>3367.84</v>
      </c>
      <c r="BM84">
        <f ca="1"/>
        <v>3350.48</v>
      </c>
      <c r="BN84">
        <f ca="1"/>
        <v>3341.7999999999997</v>
      </c>
      <c r="BO84">
        <f ca="1"/>
        <v>3346.7599999999998</v>
      </c>
      <c r="BP84">
        <f ca="1"/>
        <v>3340.56</v>
      </c>
      <c r="BQ84">
        <f ca="1"/>
        <v>3395.12</v>
      </c>
      <c r="BR84">
        <f ca="1"/>
        <v>3400.0800000000004</v>
      </c>
      <c r="BS84">
        <f ca="1"/>
        <v>3441</v>
      </c>
      <c r="BT84">
        <f ca="1"/>
        <v>3462.0800000000004</v>
      </c>
      <c r="BU84">
        <f ca="1"/>
        <v>3472</v>
      </c>
      <c r="BV84">
        <f ca="1"/>
        <v>3422.4</v>
      </c>
      <c r="BW84">
        <f ca="1"/>
        <v>3398.84</v>
      </c>
      <c r="BX84">
        <f ca="1"/>
        <v>3410</v>
      </c>
      <c r="BY84">
        <f ca="1"/>
        <v>3398.84</v>
      </c>
      <c r="BZ84">
        <f ca="1"/>
        <v>3441</v>
      </c>
      <c r="CA84">
        <f ca="1"/>
        <v>3432.32</v>
      </c>
      <c r="CB84">
        <f ca="1"/>
        <v>3443.48</v>
      </c>
      <c r="CC84">
        <f ca="1"/>
        <v>3408.7599999999998</v>
      </c>
      <c r="CD84">
        <f ca="1"/>
        <v>3479.44</v>
      </c>
      <c r="CE84">
        <f ca="1"/>
        <v>3481.9199999999996</v>
      </c>
      <c r="CF84">
        <f ca="1"/>
        <v>3489.36</v>
      </c>
      <c r="CG84">
        <f ca="1"/>
        <v>3531.52</v>
      </c>
      <c r="CH84">
        <f ca="1"/>
        <v>3521.6</v>
      </c>
      <c r="CI84">
        <f ca="1"/>
        <v>3565</v>
      </c>
      <c r="CJ84">
        <f ca="1"/>
        <v>3579.88</v>
      </c>
      <c r="CK84">
        <f ca="1"/>
        <v>3586.0800000000004</v>
      </c>
      <c r="CL84">
        <f ca="1"/>
        <v>3593.52</v>
      </c>
      <c r="CM84">
        <f ca="1"/>
        <v>3630.7200000000003</v>
      </c>
      <c r="CN84">
        <f ca="1"/>
        <v>3650.56</v>
      </c>
      <c r="CO84">
        <f ca="1"/>
        <v>3567.48</v>
      </c>
      <c r="CP84">
        <f ca="1"/>
        <v>3563.7599999999998</v>
      </c>
      <c r="CQ84">
        <f ca="1"/>
        <v>3541.44</v>
      </c>
      <c r="CR84">
        <f ca="1"/>
        <v>3603.44</v>
      </c>
      <c r="CS84">
        <f ca="1"/>
        <v>3588.56</v>
      </c>
      <c r="CT84">
        <f ca="1"/>
        <v>3631.96</v>
      </c>
      <c r="CU84">
        <f ca="1"/>
        <v>3605.9199999999996</v>
      </c>
      <c r="CV84">
        <f ca="1"/>
        <v>3600.96</v>
      </c>
      <c r="CW84">
        <f ca="1"/>
        <v>3667.9199999999996</v>
      </c>
      <c r="CX84">
        <f ca="1"/>
        <v>3669.16</v>
      </c>
      <c r="CY84">
        <f ca="1"/>
        <v>3583.6</v>
      </c>
      <c r="CZ84">
        <f ca="1"/>
        <v>3648.0800000000004</v>
      </c>
      <c r="DA84">
        <f ca="1"/>
        <v>3620.7999999999997</v>
      </c>
      <c r="DB84">
        <f ca="1"/>
        <v>3656.7599999999998</v>
      </c>
      <c r="DC84">
        <f ca="1"/>
        <v>3666.68</v>
      </c>
      <c r="DD84">
        <f ca="1"/>
        <v>3672.88</v>
      </c>
      <c r="DE84">
        <f ca="1"/>
        <v>3636.9199999999996</v>
      </c>
      <c r="DF84">
        <f ca="1"/>
        <v>3662.96</v>
      </c>
      <c r="DG84">
        <f ca="1"/>
        <v>3620.7999999999997</v>
      </c>
      <c r="DH84">
        <f ca="1"/>
        <v>3597.2400000000002</v>
      </c>
      <c r="DI84">
        <f ca="1"/>
        <v>3586.0800000000004</v>
      </c>
      <c r="DJ84">
        <f ca="1"/>
        <v>3569.96</v>
      </c>
      <c r="DK84">
        <f ca="1"/>
        <v>3511.68</v>
      </c>
      <c r="DL84">
        <f ca="1"/>
        <v>3509.2000000000003</v>
      </c>
      <c r="DM84">
        <f ca="1"/>
        <v>3510.44</v>
      </c>
      <c r="DN84">
        <f ca="1"/>
        <v>3480.68</v>
      </c>
      <c r="DO84">
        <f ca="1"/>
        <v>3501.7599999999998</v>
      </c>
      <c r="DP84">
        <f ca="1"/>
        <v>3416.2000000000003</v>
      </c>
      <c r="DQ84">
        <f ca="1"/>
        <v>3349.2400000000002</v>
      </c>
      <c r="DR84">
        <f ca="1"/>
        <v>3355.44</v>
      </c>
      <c r="DS84">
        <f ca="1"/>
        <v>3207.88</v>
      </c>
      <c r="DT84">
        <f ca="1"/>
        <v>3243.84</v>
      </c>
      <c r="DU84">
        <f ca="1"/>
        <v>3255</v>
      </c>
      <c r="DV84">
        <f ca="1"/>
        <v>3236.4</v>
      </c>
      <c r="DW84">
        <f ca="1"/>
        <v>3207.88</v>
      </c>
      <c r="DX84">
        <f ca="1"/>
        <v>3173.16</v>
      </c>
      <c r="DY84">
        <f ca="1"/>
        <v>3240.12</v>
      </c>
      <c r="DZ84">
        <f ca="1"/>
        <v>3232.68</v>
      </c>
      <c r="EA84">
        <f ca="1"/>
        <v>3248.7999999999997</v>
      </c>
      <c r="EB84">
        <f ca="1"/>
        <v>3266.16</v>
      </c>
      <c r="EC84">
        <f ca="1"/>
        <v>3236.4</v>
      </c>
      <c r="ED84">
        <f ca="1"/>
        <v>3230.2000000000003</v>
      </c>
      <c r="EE84">
        <f ca="1"/>
        <v>3168.2000000000003</v>
      </c>
      <c r="EF84">
        <f ca="1"/>
        <v>3052.88</v>
      </c>
      <c r="EG84">
        <f ca="1"/>
        <v>3117.36</v>
      </c>
      <c r="EH84">
        <f ca="1"/>
        <v>3165.7200000000003</v>
      </c>
      <c r="EI84">
        <f ca="1"/>
        <v>3186.7999999999997</v>
      </c>
      <c r="EJ84">
        <f ca="1"/>
        <v>3117.36</v>
      </c>
      <c r="EK84">
        <f ca="1"/>
        <v>3060.32</v>
      </c>
      <c r="EL84">
        <f ca="1"/>
        <v>3069</v>
      </c>
      <c r="EM84">
        <f ca="1"/>
        <v>3041.7200000000003</v>
      </c>
      <c r="EN84">
        <f ca="1"/>
        <v>3030.56</v>
      </c>
      <c r="EO84">
        <f ca="1"/>
        <v>3045.44</v>
      </c>
      <c r="EP84">
        <f ca="1"/>
        <v>3067.7599999999998</v>
      </c>
      <c r="EQ84">
        <f ca="1"/>
        <v>3078.9199999999996</v>
      </c>
      <c r="ER84">
        <f ca="1"/>
        <v>3078.9199999999996</v>
      </c>
      <c r="ES84">
        <f ca="1"/>
        <v>3122.32</v>
      </c>
      <c r="ET84">
        <f ca="1"/>
        <v>3180.6</v>
      </c>
      <c r="EU84">
        <f ca="1"/>
        <v>3193</v>
      </c>
      <c r="EV84">
        <f ca="1"/>
        <v>3173.16</v>
      </c>
      <c r="EW84">
        <f ca="1"/>
        <v>3158.2799999999997</v>
      </c>
      <c r="EX84">
        <f ca="1"/>
        <v>3174.4</v>
      </c>
      <c r="EY84">
        <f ca="1"/>
        <v>3133.48</v>
      </c>
      <c r="EZ84">
        <f ca="1"/>
        <v>3164.48</v>
      </c>
      <c r="FA84">
        <f ca="1"/>
        <v>3215.32</v>
      </c>
      <c r="FB84">
        <f ca="1"/>
        <v>3176.88</v>
      </c>
      <c r="FC84">
        <f ca="1"/>
        <v>3206.64</v>
      </c>
      <c r="FD84">
        <f ca="1"/>
        <v>3201.68</v>
      </c>
      <c r="FE84">
        <f ca="1"/>
        <v>3226.48</v>
      </c>
      <c r="FF84">
        <f ca="1"/>
        <v>3197.96</v>
      </c>
      <c r="FG84">
        <f ca="1"/>
        <v>3164.48</v>
      </c>
      <c r="FH84">
        <f ca="1"/>
        <v>3139.68</v>
      </c>
      <c r="FI84">
        <f ca="1"/>
        <v>3148.36</v>
      </c>
      <c r="FJ84">
        <f ca="1"/>
        <v>3134.7200000000003</v>
      </c>
      <c r="FK84">
        <f ca="1"/>
        <v>3080.16</v>
      </c>
      <c r="FL84">
        <f ca="1"/>
        <v>3039.2400000000002</v>
      </c>
      <c r="FM84">
        <f ca="1"/>
        <v>3024.36</v>
      </c>
      <c r="FN84">
        <f ca="1"/>
        <v>3013.2000000000003</v>
      </c>
      <c r="FO84">
        <f ca="1"/>
        <v>3047.9199999999996</v>
      </c>
      <c r="FP84">
        <f ca="1"/>
        <v>3014.44</v>
      </c>
      <c r="FQ84">
        <f ca="1"/>
        <v>2984.68</v>
      </c>
      <c r="FR84">
        <f ca="1"/>
        <v>3020.64</v>
      </c>
      <c r="FS84">
        <f ca="1"/>
        <v>3008.2400000000002</v>
      </c>
      <c r="FT84">
        <f ca="1"/>
        <v>2994.6</v>
      </c>
      <c r="FU84">
        <f ca="1"/>
        <v>3013.2000000000003</v>
      </c>
      <c r="FV84">
        <f ca="1"/>
        <v>3033.04</v>
      </c>
      <c r="FW84">
        <f ca="1"/>
        <v>3057.84</v>
      </c>
      <c r="FX84">
        <f ca="1"/>
        <v>3056.6</v>
      </c>
      <c r="FY84">
        <f ca="1"/>
        <v>3071.48</v>
      </c>
      <c r="FZ84">
        <f ca="1"/>
        <v>3076.44</v>
      </c>
      <c r="GA84">
        <f ca="1"/>
        <v>3080.16</v>
      </c>
      <c r="GB84">
        <f ca="1"/>
        <v>3045.44</v>
      </c>
      <c r="GC84">
        <f ca="1"/>
        <v>3064.04</v>
      </c>
      <c r="GD84">
        <f ca="1"/>
        <v>3018.16</v>
      </c>
      <c r="GE84">
        <f ca="1"/>
        <v>2972.2799999999997</v>
      </c>
      <c r="GF84">
        <f ca="1"/>
        <v>2997.0800000000004</v>
      </c>
      <c r="GG84">
        <f ca="1"/>
        <v>2974.7599999999998</v>
      </c>
      <c r="GH84">
        <f ca="1"/>
        <v>2943.7599999999998</v>
      </c>
      <c r="GI84">
        <f ca="1"/>
        <v>2889.2000000000003</v>
      </c>
      <c r="GJ84">
        <f ca="1"/>
        <v>2927.64</v>
      </c>
      <c r="GK84">
        <f ca="1"/>
        <v>2942.52</v>
      </c>
      <c r="GL84">
        <f ca="1"/>
        <v>2912.7599999999998</v>
      </c>
      <c r="GM84">
        <f ca="1"/>
        <v>2907.7999999999997</v>
      </c>
      <c r="GN84">
        <f ca="1"/>
        <v>2914</v>
      </c>
      <c r="GO84">
        <f ca="1"/>
        <v>2923.9199999999996</v>
      </c>
      <c r="GP84">
        <f ca="1"/>
        <v>2925.16</v>
      </c>
      <c r="GQ84">
        <f ca="1"/>
        <v>2907.7999999999997</v>
      </c>
      <c r="GR84">
        <f ca="1"/>
        <v>2852</v>
      </c>
      <c r="GS84">
        <f ca="1"/>
        <v>2984.68</v>
      </c>
      <c r="GT84">
        <f ca="1"/>
        <v>3116.12</v>
      </c>
      <c r="GU84">
        <f ca="1"/>
        <v>3250.04</v>
      </c>
      <c r="GV84">
        <f ca="1"/>
        <v>3261.2000000000003</v>
      </c>
      <c r="GW84">
        <f ca="1"/>
        <v>3326.9199999999996</v>
      </c>
      <c r="GX84">
        <f ca="1"/>
        <v>3375.2799999999997</v>
      </c>
      <c r="GY84">
        <f ca="1"/>
        <v>3386.44</v>
      </c>
      <c r="GZ84">
        <f ca="1"/>
        <v>3364.12</v>
      </c>
      <c r="HA84">
        <f ca="1"/>
        <v>3361.64</v>
      </c>
      <c r="HB84">
        <f ca="1"/>
        <v>3398.84</v>
      </c>
      <c r="HC84">
        <f ca="1"/>
        <v>3530.2799999999997</v>
      </c>
      <c r="HD84">
        <f ca="1"/>
        <v>3571.2000000000003</v>
      </c>
      <c r="HE84">
        <f ca="1"/>
        <v>3557.56</v>
      </c>
      <c r="HF84">
        <f ca="1"/>
        <v>3556.32</v>
      </c>
      <c r="HG84">
        <f ca="1"/>
        <v>3457.12</v>
      </c>
      <c r="HH84">
        <f ca="1"/>
        <v>3457.12</v>
      </c>
      <c r="HI84">
        <f ca="1"/>
        <v>3469.52</v>
      </c>
      <c r="HJ84">
        <f ca="1"/>
        <v>3536.48</v>
      </c>
      <c r="HK84">
        <f ca="1"/>
        <v>3515.4</v>
      </c>
      <c r="HL84">
        <f ca="1"/>
        <v>3455.88</v>
      </c>
      <c r="HM84">
        <f ca="1"/>
        <v>3405.04</v>
      </c>
      <c r="HN84">
        <f ca="1"/>
        <v>3473.2400000000002</v>
      </c>
      <c r="HO84">
        <f ca="1"/>
        <v>3473.2400000000002</v>
      </c>
      <c r="HP84">
        <f ca="1"/>
        <v>3555.0800000000004</v>
      </c>
      <c r="HQ84">
        <f ca="1"/>
        <v>3593.52</v>
      </c>
      <c r="HR84">
        <f ca="1"/>
        <v>3592.2799999999997</v>
      </c>
      <c r="HS84">
        <f ca="1"/>
        <v>3551.36</v>
      </c>
      <c r="HT84">
        <f ca="1"/>
        <v>3413.7200000000003</v>
      </c>
      <c r="HU84">
        <f ca="1"/>
        <v>3436.04</v>
      </c>
      <c r="HV84">
        <f ca="1"/>
        <v>3367.84</v>
      </c>
      <c r="HW84">
        <f ca="1"/>
        <v>3396.36</v>
      </c>
      <c r="HX84">
        <f ca="1"/>
        <v>3437.2799999999997</v>
      </c>
      <c r="HY84">
        <f ca="1"/>
        <v>3438.52</v>
      </c>
      <c r="HZ84">
        <f ca="1"/>
        <v>3453.4</v>
      </c>
      <c r="IA84">
        <f ca="1"/>
        <v>3398.84</v>
      </c>
      <c r="IB84">
        <f ca="1"/>
        <v>3439.7599999999998</v>
      </c>
      <c r="IC84">
        <f ca="1"/>
        <v>3510.44</v>
      </c>
      <c r="ID84">
        <f ca="1"/>
        <v>3566.2400000000002</v>
      </c>
      <c r="IE84">
        <f ca="1"/>
        <v>3579.88</v>
      </c>
      <c r="IF84">
        <f ca="1"/>
        <v>3572.44</v>
      </c>
      <c r="IG84">
        <f ca="1"/>
        <v>3586.0800000000004</v>
      </c>
      <c r="IH84">
        <f ca="1"/>
        <v>3608.4</v>
      </c>
      <c r="II84">
        <f ca="1"/>
        <v>3568.7200000000003</v>
      </c>
      <c r="IJ84">
        <f ca="1"/>
        <v>3594.7599999999998</v>
      </c>
      <c r="IK84">
        <f ca="1"/>
        <v>3510.44</v>
      </c>
      <c r="IL84">
        <f ca="1"/>
        <v>3512.9199999999996</v>
      </c>
      <c r="IM84">
        <f ca="1"/>
        <v>3511.68</v>
      </c>
      <c r="IN84">
        <f ca="1"/>
        <v>3476.96</v>
      </c>
      <c r="IO84">
        <f ca="1"/>
        <v>3391.4</v>
      </c>
      <c r="IP84">
        <f ca="1"/>
        <v>3328.16</v>
      </c>
      <c r="IQ84">
        <f ca="1"/>
        <v>3281.04</v>
      </c>
      <c r="IR84">
        <f ca="1"/>
        <v>3175.64</v>
      </c>
      <c r="IS84">
        <f ca="1"/>
        <v>3176.88</v>
      </c>
      <c r="IT84">
        <f ca="1"/>
        <v>3157.04</v>
      </c>
      <c r="IU84">
        <f ca="1"/>
        <v>3273.6</v>
      </c>
      <c r="IV84">
        <f ca="1"/>
        <v>3287.2400000000002</v>
      </c>
      <c r="IW84">
        <f ca="1"/>
        <v>3246.32</v>
      </c>
    </row>
    <row r="85" spans="2:267" x14ac:dyDescent="0.25">
      <c r="B85" t="str">
        <f t="shared" si="641"/>
        <v>20K6HU7</v>
      </c>
      <c r="C85" t="s">
        <v>162</v>
      </c>
      <c r="D85" t="e" vm="565">
        <v>#VALUE!</v>
      </c>
      <c r="E85" t="str" cm="1">
        <f t="array" aca="1" ref="E85" ca="1">_FV(D85,"Code mnémonique",TRUE)</f>
        <v>TTE</v>
      </c>
      <c r="F85" s="12">
        <f>_xlfn.XLOOKUP(D85,Titres[Action],Titres[Nb d''actions])</f>
        <v>135</v>
      </c>
      <c r="G85" cm="1">
        <f t="array" aca="1" ref="G85:FJ85" ca="1">IFERROR(TRANSPOSE(_xlfn.STOCKHISTORY(D85,TODAY()-365,TODAY(),0,0,1))*F85,"")</f>
        <v>7815.15</v>
      </c>
      <c r="H85">
        <f ca="1"/>
        <v>8017.65</v>
      </c>
      <c r="I85">
        <f ca="1"/>
        <v>7924.5</v>
      </c>
      <c r="J85">
        <f ca="1"/>
        <v>8002.8</v>
      </c>
      <c r="K85">
        <f ca="1"/>
        <v>8093.25</v>
      </c>
      <c r="L85">
        <f ca="1"/>
        <v>8110.8</v>
      </c>
      <c r="M85">
        <f ca="1"/>
        <v>7890.75</v>
      </c>
      <c r="N85">
        <f ca="1"/>
        <v>7674.75</v>
      </c>
      <c r="O85">
        <f ca="1"/>
        <v>7798.9500000000007</v>
      </c>
      <c r="P85">
        <f ca="1"/>
        <v>7793.5499999999993</v>
      </c>
      <c r="Q85">
        <f ca="1"/>
        <v>7747.65</v>
      </c>
      <c r="R85">
        <f ca="1"/>
        <v>7759.7999999999993</v>
      </c>
      <c r="S85">
        <f ca="1"/>
        <v>7728.75</v>
      </c>
      <c r="T85">
        <f ca="1"/>
        <v>7749</v>
      </c>
      <c r="U85">
        <f ca="1"/>
        <v>7939.35</v>
      </c>
      <c r="V85">
        <f ca="1"/>
        <v>7924.5</v>
      </c>
      <c r="W85">
        <f ca="1"/>
        <v>8086.5</v>
      </c>
      <c r="X85">
        <f ca="1"/>
        <v>8005.5</v>
      </c>
      <c r="Y85">
        <f ca="1"/>
        <v>7993.35</v>
      </c>
      <c r="Z85">
        <f ca="1"/>
        <v>8056.8</v>
      </c>
      <c r="AA85">
        <f ca="1"/>
        <v>8017.65</v>
      </c>
      <c r="AB85">
        <f ca="1"/>
        <v>8019</v>
      </c>
      <c r="AC85">
        <f ca="1"/>
        <v>7942.05</v>
      </c>
      <c r="AD85">
        <f ca="1"/>
        <v>7851.5999999999995</v>
      </c>
      <c r="AE85">
        <f ca="1"/>
        <v>7815.15</v>
      </c>
      <c r="AF85">
        <f ca="1"/>
        <v>7896.1500000000005</v>
      </c>
      <c r="AG85">
        <f ca="1"/>
        <v>7869.15</v>
      </c>
      <c r="AH85">
        <f ca="1"/>
        <v>7906.95</v>
      </c>
      <c r="AI85">
        <f ca="1"/>
        <v>7921.8</v>
      </c>
      <c r="AJ85">
        <f ca="1"/>
        <v>8168.8499999999995</v>
      </c>
      <c r="AK85">
        <f ca="1"/>
        <v>8109.45</v>
      </c>
      <c r="AL85">
        <f ca="1"/>
        <v>7971.75</v>
      </c>
      <c r="AM85">
        <f ca="1"/>
        <v>7997.4000000000005</v>
      </c>
      <c r="AN85">
        <f ca="1"/>
        <v>8008.2</v>
      </c>
      <c r="AO85">
        <f ca="1"/>
        <v>8052.75</v>
      </c>
      <c r="AP85">
        <f ca="1"/>
        <v>8221.5</v>
      </c>
      <c r="AQ85">
        <f ca="1"/>
        <v>8384.85</v>
      </c>
      <c r="AR85">
        <f ca="1"/>
        <v>8514.4500000000007</v>
      </c>
      <c r="AS85">
        <f ca="1"/>
        <v>8569.7999999999993</v>
      </c>
      <c r="AT85">
        <f ca="1"/>
        <v>8446.9500000000007</v>
      </c>
      <c r="AU85">
        <f ca="1"/>
        <v>8631.9</v>
      </c>
      <c r="AV85">
        <f ca="1"/>
        <v>8374.0499999999993</v>
      </c>
      <c r="AW85">
        <f ca="1"/>
        <v>8449.65</v>
      </c>
      <c r="AX85">
        <f ca="1"/>
        <v>8272.7999999999993</v>
      </c>
      <c r="AY85">
        <f ca="1"/>
        <v>8154</v>
      </c>
      <c r="AZ85">
        <f ca="1"/>
        <v>8240.4</v>
      </c>
      <c r="BA85">
        <f ca="1"/>
        <v>8310.6</v>
      </c>
      <c r="BB85">
        <f ca="1"/>
        <v>8302.5</v>
      </c>
      <c r="BC85">
        <f ca="1"/>
        <v>8287.65</v>
      </c>
      <c r="BD85">
        <f ca="1"/>
        <v>8357.85</v>
      </c>
      <c r="BE85">
        <f ca="1"/>
        <v>8571.15</v>
      </c>
      <c r="BF85">
        <f ca="1"/>
        <v>8467.2000000000007</v>
      </c>
      <c r="BG85">
        <f ca="1"/>
        <v>8156.7</v>
      </c>
      <c r="BH85">
        <f ca="1"/>
        <v>8375.4</v>
      </c>
      <c r="BI85">
        <f ca="1"/>
        <v>8445.6</v>
      </c>
      <c r="BJ85">
        <f ca="1"/>
        <v>8452.35</v>
      </c>
      <c r="BK85">
        <f ca="1"/>
        <v>8506.35</v>
      </c>
      <c r="BL85">
        <f ca="1"/>
        <v>8399.7000000000007</v>
      </c>
      <c r="BM85">
        <f ca="1"/>
        <v>8380.7999999999993</v>
      </c>
      <c r="BN85">
        <f ca="1"/>
        <v>8349.75</v>
      </c>
      <c r="BO85">
        <f ca="1"/>
        <v>8334.9</v>
      </c>
      <c r="BP85">
        <f ca="1"/>
        <v>8329.5</v>
      </c>
      <c r="BQ85">
        <f ca="1"/>
        <v>8302.5</v>
      </c>
      <c r="BR85">
        <f ca="1"/>
        <v>8360.5499999999993</v>
      </c>
      <c r="BS85">
        <f ca="1"/>
        <v>8421.3000000000011</v>
      </c>
      <c r="BT85">
        <f ca="1"/>
        <v>8159.4</v>
      </c>
      <c r="BU85">
        <f ca="1"/>
        <v>8190.45</v>
      </c>
      <c r="BV85">
        <f ca="1"/>
        <v>8229.6</v>
      </c>
      <c r="BW85">
        <f ca="1"/>
        <v>8297.1</v>
      </c>
      <c r="BX85">
        <f ca="1"/>
        <v>8067.5999999999995</v>
      </c>
      <c r="BY85">
        <f ca="1"/>
        <v>8039.25</v>
      </c>
      <c r="BZ85">
        <f ca="1"/>
        <v>7986.5999999999995</v>
      </c>
      <c r="CA85">
        <f ca="1"/>
        <v>8031.1500000000005</v>
      </c>
      <c r="CB85">
        <f ca="1"/>
        <v>8137.8</v>
      </c>
      <c r="CC85">
        <f ca="1"/>
        <v>8127</v>
      </c>
      <c r="CD85">
        <f ca="1"/>
        <v>8208</v>
      </c>
      <c r="CE85">
        <f ca="1"/>
        <v>8279.5499999999993</v>
      </c>
      <c r="CF85">
        <f ca="1"/>
        <v>8233.65</v>
      </c>
      <c r="CG85">
        <f ca="1"/>
        <v>8324.1</v>
      </c>
      <c r="CH85">
        <f ca="1"/>
        <v>8284.9499999999989</v>
      </c>
      <c r="CI85">
        <f ca="1"/>
        <v>8305.2000000000007</v>
      </c>
      <c r="CJ85">
        <f ca="1"/>
        <v>8402.4</v>
      </c>
      <c r="CK85">
        <f ca="1"/>
        <v>8305.2000000000007</v>
      </c>
      <c r="CL85">
        <f ca="1"/>
        <v>8413.2000000000007</v>
      </c>
      <c r="CM85">
        <f ca="1"/>
        <v>8518.5</v>
      </c>
      <c r="CN85">
        <f ca="1"/>
        <v>8565.75</v>
      </c>
      <c r="CO85">
        <f ca="1"/>
        <v>8644.0499999999993</v>
      </c>
      <c r="CP85">
        <f ca="1"/>
        <v>8468.5499999999993</v>
      </c>
      <c r="CQ85">
        <f ca="1"/>
        <v>8359.2000000000007</v>
      </c>
      <c r="CR85">
        <f ca="1"/>
        <v>8382.15</v>
      </c>
      <c r="CS85">
        <f ca="1"/>
        <v>8384.85</v>
      </c>
      <c r="CT85">
        <f ca="1"/>
        <v>8471.25</v>
      </c>
      <c r="CU85">
        <f ca="1"/>
        <v>8449.65</v>
      </c>
      <c r="CV85">
        <f ca="1"/>
        <v>8329.5</v>
      </c>
      <c r="CW85">
        <f ca="1"/>
        <v>8307.9</v>
      </c>
      <c r="CX85">
        <f ca="1"/>
        <v>8228.25</v>
      </c>
      <c r="CY85">
        <f ca="1"/>
        <v>8248.5</v>
      </c>
      <c r="CZ85">
        <f ca="1"/>
        <v>8310.6</v>
      </c>
      <c r="DA85">
        <f ca="1"/>
        <v>8397</v>
      </c>
      <c r="DB85">
        <f ca="1"/>
        <v>8289</v>
      </c>
      <c r="DC85">
        <f ca="1"/>
        <v>8253.9</v>
      </c>
      <c r="DD85">
        <f ca="1"/>
        <v>8357.85</v>
      </c>
      <c r="DE85">
        <f ca="1"/>
        <v>8383.5</v>
      </c>
      <c r="DF85">
        <f ca="1"/>
        <v>8260.65</v>
      </c>
      <c r="DG85">
        <f ca="1"/>
        <v>8286.3000000000011</v>
      </c>
      <c r="DH85">
        <f ca="1"/>
        <v>8172.9</v>
      </c>
      <c r="DI85">
        <f ca="1"/>
        <v>8203.9500000000007</v>
      </c>
      <c r="DJ85">
        <f ca="1"/>
        <v>8313.2999999999993</v>
      </c>
      <c r="DK85">
        <f ca="1"/>
        <v>8433.4500000000007</v>
      </c>
      <c r="DL85">
        <f ca="1"/>
        <v>8426.7000000000007</v>
      </c>
      <c r="DM85">
        <f ca="1"/>
        <v>8525.25</v>
      </c>
      <c r="DN85">
        <f ca="1"/>
        <v>8332.2000000000007</v>
      </c>
      <c r="DO85">
        <f ca="1"/>
        <v>8058.15</v>
      </c>
      <c r="DP85">
        <f ca="1"/>
        <v>8162.1</v>
      </c>
      <c r="DQ85">
        <f ca="1"/>
        <v>8029.7999999999993</v>
      </c>
      <c r="DR85">
        <f ca="1"/>
        <v>8060.85</v>
      </c>
      <c r="DS85">
        <f ca="1"/>
        <v>8070.3</v>
      </c>
      <c r="DT85">
        <f ca="1"/>
        <v>8016.3</v>
      </c>
      <c r="DU85">
        <f ca="1"/>
        <v>7977.1500000000005</v>
      </c>
      <c r="DV85">
        <f ca="1"/>
        <v>7912.35</v>
      </c>
      <c r="DW85">
        <f ca="1"/>
        <v>7747.65</v>
      </c>
      <c r="DX85">
        <f ca="1"/>
        <v>7774.6500000000005</v>
      </c>
      <c r="DY85">
        <f ca="1"/>
        <v>7878.6</v>
      </c>
      <c r="DZ85">
        <f ca="1"/>
        <v>8163.45</v>
      </c>
      <c r="EA85">
        <f ca="1"/>
        <v>8159.4</v>
      </c>
      <c r="EB85">
        <f ca="1"/>
        <v>8314.65</v>
      </c>
      <c r="EC85">
        <f ca="1"/>
        <v>8240.4</v>
      </c>
      <c r="ED85">
        <f ca="1"/>
        <v>8233.65</v>
      </c>
      <c r="EE85">
        <f ca="1"/>
        <v>8403.75</v>
      </c>
      <c r="EF85">
        <f ca="1"/>
        <v>8448.2999999999993</v>
      </c>
      <c r="EG85">
        <f ca="1"/>
        <v>8383.5</v>
      </c>
      <c r="EH85">
        <f ca="1"/>
        <v>8419.9499999999989</v>
      </c>
      <c r="EI85">
        <f ca="1"/>
        <v>8378.1</v>
      </c>
      <c r="EJ85">
        <f ca="1"/>
        <v>8399.7000000000007</v>
      </c>
      <c r="EK85">
        <f ca="1"/>
        <v>8321.4</v>
      </c>
      <c r="EL85">
        <f ca="1"/>
        <v>8402.4</v>
      </c>
      <c r="EM85">
        <f ca="1"/>
        <v>8311.9500000000007</v>
      </c>
      <c r="EN85">
        <f ca="1"/>
        <v>8268.75</v>
      </c>
      <c r="EO85">
        <f ca="1"/>
        <v>8233.65</v>
      </c>
      <c r="EP85">
        <f ca="1"/>
        <v>8249.85</v>
      </c>
      <c r="EQ85">
        <f ca="1"/>
        <v>8405.1</v>
      </c>
      <c r="ER85">
        <f ca="1"/>
        <v>8495.5499999999993</v>
      </c>
      <c r="ES85">
        <f ca="1"/>
        <v>8634.6</v>
      </c>
      <c r="ET85">
        <f ca="1"/>
        <v>8633.25</v>
      </c>
      <c r="EU85">
        <f ca="1"/>
        <v>8762.85</v>
      </c>
      <c r="EV85">
        <f ca="1"/>
        <v>8829</v>
      </c>
      <c r="EW85">
        <f ca="1"/>
        <v>8776.35</v>
      </c>
      <c r="EX85">
        <f ca="1"/>
        <v>8768.25</v>
      </c>
      <c r="EY85">
        <f ca="1"/>
        <v>8665.65</v>
      </c>
      <c r="EZ85">
        <f ca="1"/>
        <v>8568.4500000000007</v>
      </c>
      <c r="FA85">
        <f ca="1"/>
        <v>8727.75</v>
      </c>
      <c r="FB85">
        <f ca="1"/>
        <v>8708.85</v>
      </c>
      <c r="FC85">
        <f ca="1"/>
        <v>8802</v>
      </c>
      <c r="FD85">
        <f ca="1"/>
        <v>8845.1999999999989</v>
      </c>
      <c r="FE85">
        <f ca="1"/>
        <v>8869.5</v>
      </c>
      <c r="FF85">
        <f ca="1"/>
        <v>8860.0499999999993</v>
      </c>
      <c r="FG85">
        <f ca="1"/>
        <v>8869.5</v>
      </c>
      <c r="FH85">
        <f ca="1"/>
        <v>9034.2000000000007</v>
      </c>
      <c r="FI85">
        <f ca="1"/>
        <v>9015.2999999999993</v>
      </c>
      <c r="FJ85">
        <f ca="1"/>
        <v>8750.6999999999989</v>
      </c>
    </row>
    <row r="86" spans="2:267" x14ac:dyDescent="0.25">
      <c r="B86" t="str">
        <f t="shared" si="641"/>
        <v>20K6HU7</v>
      </c>
      <c r="C86" t="s">
        <v>162</v>
      </c>
      <c r="D86" t="e" vm="569">
        <v>#VALUE!</v>
      </c>
      <c r="E86" t="str" cm="1">
        <f t="array" aca="1" ref="E86" ca="1">_FV(D86,"Code mnémonique",TRUE)</f>
        <v>WBD</v>
      </c>
      <c r="F86" s="12">
        <f>_xlfn.XLOOKUP(D86,Titres[Action],Titres[Nb d''actions])</f>
        <v>10</v>
      </c>
      <c r="G86" cm="1">
        <f t="array" aca="1" ref="G86:IW86" ca="1">IFERROR(TRANSPOSE(_xlfn.STOCKHISTORY(D86,TODAY()-365,TODAY(),0,0,1))*F86,"")</f>
        <v>79.400000000000006</v>
      </c>
      <c r="H86">
        <f ca="1"/>
        <v>79.5</v>
      </c>
      <c r="I86">
        <f ca="1"/>
        <v>83.3</v>
      </c>
      <c r="J86">
        <f ca="1"/>
        <v>85</v>
      </c>
      <c r="K86">
        <f ca="1"/>
        <v>85.9</v>
      </c>
      <c r="L86">
        <f ca="1"/>
        <v>87</v>
      </c>
      <c r="M86">
        <f ca="1"/>
        <v>87.699999999999989</v>
      </c>
      <c r="N86">
        <f ca="1"/>
        <v>86.7</v>
      </c>
      <c r="O86">
        <f ca="1"/>
        <v>84.3</v>
      </c>
      <c r="P86">
        <f ca="1"/>
        <v>85.399999999999991</v>
      </c>
      <c r="Q86">
        <f ca="1"/>
        <v>83.699999999999989</v>
      </c>
      <c r="R86">
        <f ca="1"/>
        <v>84.3</v>
      </c>
      <c r="S86">
        <f ca="1"/>
        <v>85.600000000000009</v>
      </c>
      <c r="T86">
        <f ca="1"/>
        <v>90.1</v>
      </c>
      <c r="U86">
        <f ca="1"/>
        <v>90.7</v>
      </c>
      <c r="V86">
        <f ca="1"/>
        <v>92.300000000000011</v>
      </c>
      <c r="W86">
        <f ca="1"/>
        <v>91.8</v>
      </c>
      <c r="X86">
        <f ca="1"/>
        <v>92.100000000000009</v>
      </c>
      <c r="Y86">
        <f ca="1"/>
        <v>91.4</v>
      </c>
      <c r="Z86">
        <f ca="1"/>
        <v>91.6</v>
      </c>
      <c r="AA86">
        <f ca="1"/>
        <v>90.5</v>
      </c>
      <c r="AB86">
        <f ca="1"/>
        <v>92.300000000000011</v>
      </c>
      <c r="AC86">
        <f ca="1"/>
        <v>89.5</v>
      </c>
      <c r="AD86">
        <f ca="1"/>
        <v>90.199999999999989</v>
      </c>
      <c r="AE86">
        <f ca="1"/>
        <v>90</v>
      </c>
      <c r="AF86">
        <f ca="1"/>
        <v>95.5</v>
      </c>
      <c r="AG86">
        <f ca="1"/>
        <v>100.19999999999999</v>
      </c>
      <c r="AH86">
        <f ca="1"/>
        <v>100.39999999999999</v>
      </c>
      <c r="AI86">
        <f ca="1"/>
        <v>99.7</v>
      </c>
      <c r="AJ86">
        <f ca="1"/>
        <v>100</v>
      </c>
      <c r="AK86">
        <f ca="1"/>
        <v>99.399999999999991</v>
      </c>
      <c r="AL86">
        <f ca="1"/>
        <v>97.899999999999991</v>
      </c>
      <c r="AM86">
        <f ca="1"/>
        <v>96.5</v>
      </c>
      <c r="AN86">
        <f ca="1"/>
        <v>98.2</v>
      </c>
      <c r="AO86">
        <f ca="1"/>
        <v>95.3</v>
      </c>
      <c r="AP86">
        <f ca="1"/>
        <v>100.1</v>
      </c>
      <c r="AQ86">
        <f ca="1"/>
        <v>105.1</v>
      </c>
      <c r="AR86">
        <f ca="1"/>
        <v>101.6</v>
      </c>
      <c r="AS86">
        <f ca="1"/>
        <v>100.3</v>
      </c>
      <c r="AT86">
        <f ca="1"/>
        <v>107.6</v>
      </c>
      <c r="AU86">
        <f ca="1"/>
        <v>105.8</v>
      </c>
      <c r="AV86">
        <f ca="1"/>
        <v>105.7</v>
      </c>
      <c r="AW86">
        <f ca="1"/>
        <v>105.19999999999999</v>
      </c>
      <c r="AX86">
        <f ca="1"/>
        <v>106.8</v>
      </c>
      <c r="AY86">
        <f ca="1"/>
        <v>109</v>
      </c>
      <c r="AZ86">
        <f ca="1"/>
        <v>108.69999999999999</v>
      </c>
      <c r="BA86">
        <f ca="1"/>
        <v>111.5</v>
      </c>
      <c r="BB86">
        <f ca="1"/>
        <v>113</v>
      </c>
      <c r="BC86">
        <f ca="1"/>
        <v>114.60000000000001</v>
      </c>
      <c r="BD86">
        <f ca="1"/>
        <v>109.39999999999999</v>
      </c>
      <c r="BE86">
        <f ca="1"/>
        <v>111.19999999999999</v>
      </c>
      <c r="BF86">
        <f ca="1"/>
        <v>112.2</v>
      </c>
      <c r="BG86">
        <f ca="1"/>
        <v>110.19999999999999</v>
      </c>
      <c r="BH86">
        <f ca="1"/>
        <v>114.1</v>
      </c>
      <c r="BI86">
        <f ca="1"/>
        <v>114.9</v>
      </c>
      <c r="BJ86">
        <f ca="1"/>
        <v>116.5</v>
      </c>
      <c r="BK86">
        <f ca="1"/>
        <v>117.30000000000001</v>
      </c>
      <c r="BL86">
        <f ca="1"/>
        <v>120.1</v>
      </c>
      <c r="BM86">
        <f ca="1"/>
        <v>120.3</v>
      </c>
      <c r="BN86">
        <f ca="1"/>
        <v>125.8</v>
      </c>
      <c r="BO86">
        <f ca="1"/>
        <v>128.4</v>
      </c>
      <c r="BP86">
        <f ca="1"/>
        <v>127.5</v>
      </c>
      <c r="BQ86">
        <f ca="1"/>
        <v>128</v>
      </c>
      <c r="BR86">
        <f ca="1"/>
        <v>128.5</v>
      </c>
      <c r="BS86">
        <f ca="1"/>
        <v>133.1</v>
      </c>
      <c r="BT86">
        <f ca="1"/>
        <v>135</v>
      </c>
      <c r="BU86">
        <f ca="1"/>
        <v>134.9</v>
      </c>
      <c r="BV86">
        <f ca="1"/>
        <v>137</v>
      </c>
      <c r="BW86">
        <f ca="1"/>
        <v>131.19999999999999</v>
      </c>
      <c r="BX86">
        <f ca="1"/>
        <v>132.6</v>
      </c>
      <c r="BY86">
        <f ca="1"/>
        <v>131.69999999999999</v>
      </c>
      <c r="BZ86">
        <f ca="1"/>
        <v>128.69999999999999</v>
      </c>
      <c r="CA86">
        <f ca="1"/>
        <v>128</v>
      </c>
      <c r="CB86">
        <f ca="1"/>
        <v>127.2</v>
      </c>
      <c r="CC86">
        <f ca="1"/>
        <v>127.89999999999999</v>
      </c>
      <c r="CD86">
        <f ca="1"/>
        <v>118.6</v>
      </c>
      <c r="CE86">
        <f ca="1"/>
        <v>109.1</v>
      </c>
      <c r="CF86">
        <f ca="1"/>
        <v>107.8</v>
      </c>
      <c r="CG86">
        <f ca="1"/>
        <v>112.2</v>
      </c>
      <c r="CH86">
        <f ca="1"/>
        <v>120.5</v>
      </c>
      <c r="CI86">
        <f ca="1"/>
        <v>117.8</v>
      </c>
      <c r="CJ86">
        <f ca="1"/>
        <v>118.5</v>
      </c>
      <c r="CK86">
        <f ca="1"/>
        <v>118.2</v>
      </c>
      <c r="CL86">
        <f ca="1"/>
        <v>115.60000000000001</v>
      </c>
      <c r="CM86">
        <f ca="1"/>
        <v>115.39999999999999</v>
      </c>
      <c r="CN86">
        <f ca="1"/>
        <v>115.85000000000001</v>
      </c>
      <c r="CO86">
        <f ca="1"/>
        <v>120.5</v>
      </c>
      <c r="CP86">
        <f ca="1"/>
        <v>120.39999999999999</v>
      </c>
      <c r="CQ86">
        <f ca="1"/>
        <v>118</v>
      </c>
      <c r="CR86">
        <f ca="1"/>
        <v>121.5</v>
      </c>
      <c r="CS86">
        <f ca="1"/>
        <v>120.55</v>
      </c>
      <c r="CT86">
        <f ca="1"/>
        <v>116.4</v>
      </c>
      <c r="CU86">
        <f ca="1"/>
        <v>116.19999999999999</v>
      </c>
      <c r="CV86">
        <f ca="1"/>
        <v>119.2</v>
      </c>
      <c r="CW86">
        <f ca="1"/>
        <v>117.69999999999999</v>
      </c>
      <c r="CX86">
        <f ca="1"/>
        <v>121.1</v>
      </c>
      <c r="CY86">
        <f ca="1"/>
        <v>123.5</v>
      </c>
      <c r="CZ86">
        <f ca="1"/>
        <v>122.6</v>
      </c>
      <c r="DA86">
        <f ca="1"/>
        <v>125.39999999999999</v>
      </c>
      <c r="DB86">
        <f ca="1"/>
        <v>161.70000000000002</v>
      </c>
      <c r="DC86">
        <f ca="1"/>
        <v>188.70000000000002</v>
      </c>
      <c r="DD86">
        <f ca="1"/>
        <v>194.60000000000002</v>
      </c>
      <c r="DE86">
        <f ca="1"/>
        <v>182.5</v>
      </c>
      <c r="DF86">
        <f ca="1"/>
        <v>179.89999999999998</v>
      </c>
      <c r="DG86">
        <f ca="1"/>
        <v>187</v>
      </c>
      <c r="DH86">
        <f ca="1"/>
        <v>193.29999999999998</v>
      </c>
      <c r="DI86">
        <f ca="1"/>
        <v>196.1</v>
      </c>
      <c r="DJ86">
        <f ca="1"/>
        <v>195.6</v>
      </c>
      <c r="DK86">
        <f ca="1"/>
        <v>198.2</v>
      </c>
      <c r="DL86">
        <f ca="1"/>
        <v>197.8</v>
      </c>
      <c r="DM86">
        <f ca="1"/>
        <v>195.10000000000002</v>
      </c>
      <c r="DN86">
        <f ca="1"/>
        <v>188.64999999999998</v>
      </c>
      <c r="DO86">
        <f ca="1"/>
        <v>195.3</v>
      </c>
      <c r="DP86">
        <f ca="1"/>
        <v>193.5</v>
      </c>
      <c r="DQ86">
        <f ca="1"/>
        <v>192.39999999999998</v>
      </c>
      <c r="DR86">
        <f ca="1"/>
        <v>189.89999999999998</v>
      </c>
      <c r="DS86">
        <f ca="1"/>
        <v>190.79999999999998</v>
      </c>
      <c r="DT86">
        <f ca="1"/>
        <v>186</v>
      </c>
      <c r="DU86">
        <f ca="1"/>
        <v>178.9</v>
      </c>
      <c r="DV86">
        <f ca="1"/>
        <v>176.70000000000002</v>
      </c>
      <c r="DW86">
        <f ca="1"/>
        <v>171</v>
      </c>
      <c r="DX86">
        <f ca="1"/>
        <v>177.8</v>
      </c>
      <c r="DY86">
        <f ca="1"/>
        <v>179.8</v>
      </c>
      <c r="DZ86">
        <f ca="1"/>
        <v>184.5</v>
      </c>
      <c r="EA86">
        <f ca="1"/>
        <v>182.89999999999998</v>
      </c>
      <c r="EB86">
        <f ca="1"/>
        <v>181.9</v>
      </c>
      <c r="EC86">
        <f ca="1"/>
        <v>183.2</v>
      </c>
      <c r="ED86">
        <f ca="1"/>
        <v>203.29999999999998</v>
      </c>
      <c r="EE86">
        <f ca="1"/>
        <v>205.3</v>
      </c>
      <c r="EF86">
        <f ca="1"/>
        <v>212.5</v>
      </c>
      <c r="EG86">
        <f ca="1"/>
        <v>211.5</v>
      </c>
      <c r="EH86">
        <f ca="1"/>
        <v>210.39999999999998</v>
      </c>
      <c r="EI86">
        <f ca="1"/>
        <v>209.89999999999998</v>
      </c>
      <c r="EJ86">
        <f ca="1"/>
        <v>213.4</v>
      </c>
      <c r="EK86">
        <f ca="1"/>
        <v>216.20000000000002</v>
      </c>
      <c r="EL86">
        <f ca="1"/>
        <v>224.5</v>
      </c>
      <c r="EM86">
        <f ca="1"/>
        <v>222.89999999999998</v>
      </c>
      <c r="EN86">
        <f ca="1"/>
        <v>226</v>
      </c>
      <c r="EO86">
        <f ca="1"/>
        <v>227.60000000000002</v>
      </c>
      <c r="EP86">
        <f ca="1"/>
        <v>224.20000000000002</v>
      </c>
      <c r="EQ86">
        <f ca="1"/>
        <v>226.70000000000002</v>
      </c>
      <c r="ER86">
        <f ca="1"/>
        <v>229.8</v>
      </c>
      <c r="ES86">
        <f ca="1"/>
        <v>230.5</v>
      </c>
      <c r="ET86">
        <f ca="1"/>
        <v>221.9</v>
      </c>
      <c r="EU86">
        <f ca="1"/>
        <v>221.4</v>
      </c>
      <c r="EV86">
        <f ca="1"/>
        <v>230.3</v>
      </c>
      <c r="EW86">
        <f ca="1"/>
        <v>227.39999999999998</v>
      </c>
      <c r="EX86">
        <f ca="1"/>
        <v>236.9</v>
      </c>
      <c r="EY86">
        <f ca="1"/>
        <v>230.9</v>
      </c>
      <c r="EZ86">
        <f ca="1"/>
        <v>228.79999999999998</v>
      </c>
      <c r="FA86">
        <f ca="1"/>
        <v>231.70000000000002</v>
      </c>
      <c r="FB86">
        <f ca="1"/>
        <v>228.6</v>
      </c>
      <c r="FC86">
        <f ca="1"/>
        <v>229.60000000000002</v>
      </c>
      <c r="FD86">
        <f ca="1"/>
        <v>238.79999999999998</v>
      </c>
      <c r="FE86">
        <f ca="1"/>
        <v>240</v>
      </c>
      <c r="FF86">
        <f ca="1"/>
        <v>238.70000000000002</v>
      </c>
      <c r="FG86">
        <f ca="1"/>
        <v>245.3</v>
      </c>
      <c r="FH86">
        <f ca="1"/>
        <v>245.7</v>
      </c>
      <c r="FI86">
        <f ca="1"/>
        <v>245.39999999999998</v>
      </c>
      <c r="FJ86">
        <f ca="1"/>
        <v>260.79999999999995</v>
      </c>
      <c r="FK86">
        <f ca="1"/>
        <v>272.3</v>
      </c>
      <c r="FL86">
        <f ca="1"/>
        <v>282.60000000000002</v>
      </c>
      <c r="FM86">
        <f ca="1"/>
        <v>295.3</v>
      </c>
      <c r="FN86">
        <f ca="1"/>
        <v>294.89999999999998</v>
      </c>
      <c r="FO86">
        <f ca="1"/>
        <v>299.8</v>
      </c>
      <c r="FP86">
        <f ca="1"/>
        <v>297.10000000000002</v>
      </c>
      <c r="FQ86">
        <f ca="1"/>
        <v>289</v>
      </c>
      <c r="FR86">
        <f ca="1"/>
        <v>282.10000000000002</v>
      </c>
      <c r="FS86">
        <f ca="1"/>
        <v>276.10000000000002</v>
      </c>
      <c r="FT86">
        <f ca="1"/>
        <v>277.7</v>
      </c>
      <c r="FU86">
        <f ca="1"/>
        <v>287.5</v>
      </c>
      <c r="FV86">
        <f ca="1"/>
        <v>291.5</v>
      </c>
      <c r="FW86">
        <f ca="1"/>
        <v>292.3</v>
      </c>
      <c r="FX86">
        <f ca="1"/>
        <v>288</v>
      </c>
      <c r="FY86">
        <f ca="1"/>
        <v>287.89999999999998</v>
      </c>
      <c r="FZ86">
        <f ca="1"/>
        <v>289.40000000000003</v>
      </c>
      <c r="GA86">
        <f ca="1"/>
        <v>288.2</v>
      </c>
      <c r="GB86">
        <f ca="1"/>
        <v>285.10000000000002</v>
      </c>
      <c r="GC86">
        <f ca="1"/>
        <v>285.3</v>
      </c>
      <c r="GD86">
        <f ca="1"/>
        <v>284.7</v>
      </c>
      <c r="GE86">
        <f ca="1"/>
        <v>285.89999999999998</v>
      </c>
      <c r="GF86">
        <f ca="1"/>
        <v>283.2</v>
      </c>
      <c r="GG86">
        <f ca="1"/>
        <v>288.85000000000002</v>
      </c>
      <c r="GH86">
        <f ca="1"/>
        <v>284</v>
      </c>
      <c r="GI86">
        <f ca="1"/>
        <v>288.60000000000002</v>
      </c>
      <c r="GJ86">
        <f ca="1"/>
        <v>286.3</v>
      </c>
      <c r="GK86">
        <f ca="1"/>
        <v>284.89999999999998</v>
      </c>
      <c r="GL86">
        <f ca="1"/>
        <v>285.79999999999995</v>
      </c>
      <c r="GM86">
        <f ca="1"/>
        <v>282.39999999999998</v>
      </c>
      <c r="GN86">
        <f ca="1"/>
        <v>285.3</v>
      </c>
      <c r="GO86">
        <f ca="1"/>
        <v>283.60000000000002</v>
      </c>
      <c r="GP86">
        <f ca="1"/>
        <v>285.79999999999995</v>
      </c>
      <c r="GQ86">
        <f ca="1"/>
        <v>282.39999999999998</v>
      </c>
      <c r="GR86">
        <f ca="1"/>
        <v>280.7</v>
      </c>
      <c r="GS86">
        <f ca="1"/>
        <v>279.8</v>
      </c>
      <c r="GT86">
        <f ca="1"/>
        <v>276</v>
      </c>
      <c r="GU86">
        <f ca="1"/>
        <v>275.39999999999998</v>
      </c>
      <c r="GV86">
        <f ca="1"/>
        <v>275.2</v>
      </c>
      <c r="GW86">
        <f ca="1"/>
        <v>271.90000000000003</v>
      </c>
      <c r="GX86">
        <f ca="1"/>
        <v>270.3</v>
      </c>
      <c r="GY86">
        <f ca="1"/>
        <v>267.60000000000002</v>
      </c>
      <c r="GZ86">
        <f ca="1"/>
        <v>273.60000000000002</v>
      </c>
      <c r="HA86">
        <f ca="1"/>
        <v>272.10000000000002</v>
      </c>
      <c r="HB86">
        <f ca="1"/>
        <v>278</v>
      </c>
      <c r="HC86">
        <f ca="1"/>
        <v>279.89999999999998</v>
      </c>
      <c r="HD86">
        <f ca="1"/>
        <v>281.10000000000002</v>
      </c>
      <c r="HE86">
        <f ca="1"/>
        <v>279.89999999999998</v>
      </c>
      <c r="HF86">
        <f ca="1"/>
        <v>287.5</v>
      </c>
      <c r="HG86">
        <f ca="1"/>
        <v>287.89999999999998</v>
      </c>
      <c r="HH86">
        <f ca="1"/>
        <v>285.3</v>
      </c>
      <c r="HI86">
        <f ca="1"/>
        <v>287.5</v>
      </c>
      <c r="HJ86">
        <f ca="1"/>
        <v>289.20000000000005</v>
      </c>
      <c r="HK86">
        <f ca="1"/>
        <v>291.5</v>
      </c>
      <c r="HL86">
        <f ca="1"/>
        <v>289</v>
      </c>
      <c r="HM86">
        <f ca="1"/>
        <v>288</v>
      </c>
      <c r="HN86">
        <f ca="1"/>
        <v>281.70000000000005</v>
      </c>
      <c r="HO86">
        <f ca="1"/>
        <v>285</v>
      </c>
      <c r="HP86">
        <f ca="1"/>
        <v>282</v>
      </c>
      <c r="HQ86">
        <f ca="1"/>
        <v>279.5</v>
      </c>
      <c r="HR86">
        <f ca="1"/>
        <v>280</v>
      </c>
      <c r="HS86">
        <f ca="1"/>
        <v>279.5</v>
      </c>
      <c r="HT86">
        <f ca="1"/>
        <v>277.5</v>
      </c>
      <c r="HU86">
        <f ca="1"/>
        <v>277.60000000000002</v>
      </c>
      <c r="HV86">
        <f ca="1"/>
        <v>278.09999999999997</v>
      </c>
      <c r="HW86">
        <f ca="1"/>
        <v>274.3</v>
      </c>
      <c r="HX86">
        <f ca="1"/>
        <v>271.39999999999998</v>
      </c>
      <c r="HY86">
        <f ca="1"/>
        <v>275.10000000000002</v>
      </c>
      <c r="HZ86">
        <f ca="1"/>
        <v>276.39999999999998</v>
      </c>
      <c r="IA86">
        <f ca="1"/>
        <v>273.5</v>
      </c>
      <c r="IB86">
        <f ca="1"/>
        <v>276.3</v>
      </c>
      <c r="IC86">
        <f ca="1"/>
        <v>274.20000000000005</v>
      </c>
      <c r="ID86">
        <f ca="1"/>
        <v>274</v>
      </c>
      <c r="IE86">
        <f ca="1"/>
        <v>272.8</v>
      </c>
      <c r="IF86">
        <f ca="1"/>
        <v>272.2</v>
      </c>
      <c r="IG86">
        <f ca="1"/>
        <v>270.7</v>
      </c>
      <c r="IH86">
        <f ca="1"/>
        <v>270.7</v>
      </c>
      <c r="II86">
        <f ca="1"/>
        <v>270.89999999999998</v>
      </c>
      <c r="IJ86">
        <f ca="1"/>
        <v>274.60000000000002</v>
      </c>
      <c r="IK86">
        <f ca="1"/>
        <v>274.89999999999998</v>
      </c>
      <c r="IL86">
        <f ca="1"/>
        <v>273.2</v>
      </c>
      <c r="IM86">
        <f ca="1"/>
        <v>274.10000000000002</v>
      </c>
      <c r="IN86">
        <f ca="1"/>
        <v>273.7</v>
      </c>
      <c r="IO86">
        <f ca="1"/>
        <v>275.5</v>
      </c>
      <c r="IP86">
        <f ca="1"/>
        <v>275.3</v>
      </c>
      <c r="IQ86">
        <f ca="1"/>
        <v>274.40000000000003</v>
      </c>
      <c r="IR86">
        <f ca="1"/>
        <v>273.89999999999998</v>
      </c>
      <c r="IS86">
        <f ca="1"/>
        <v>273.7</v>
      </c>
      <c r="IT86">
        <f ca="1"/>
        <v>272</v>
      </c>
      <c r="IU86">
        <f ca="1"/>
        <v>273.89999999999998</v>
      </c>
      <c r="IV86">
        <f ca="1"/>
        <v>274.7</v>
      </c>
      <c r="IW86">
        <f ca="1"/>
        <v>274.20000000000005</v>
      </c>
    </row>
    <row r="87" spans="2:267" x14ac:dyDescent="0.25">
      <c r="B87" t="str">
        <f t="shared" si="641"/>
        <v>20K6HU7</v>
      </c>
      <c r="C87" t="s">
        <v>162</v>
      </c>
      <c r="D87" t="e" vm="568">
        <v>#VALUE!</v>
      </c>
      <c r="E87" t="str" cm="1">
        <f t="array" aca="1" ref="E87" ca="1">_FV(D87,"Code mnémonique",TRUE)</f>
        <v>WMT</v>
      </c>
      <c r="F87" s="12">
        <f>_xlfn.XLOOKUP(D87,Titres[Action],Titres[Nb d''actions])</f>
        <v>72</v>
      </c>
      <c r="G87" cm="1">
        <f t="array" aca="1" ref="G87:IW87" ca="1">IFERROR(TRANSPOSE(_xlfn.STOCKHISTORY(D87,TODAY()-365,TODAY(),0,0,1))*F87,"")</f>
        <v>6653.5199999999995</v>
      </c>
      <c r="H87">
        <f ca="1"/>
        <v>6829.2</v>
      </c>
      <c r="I87">
        <f ca="1"/>
        <v>6837.12</v>
      </c>
      <c r="J87">
        <f ca="1"/>
        <v>6900.4800000000005</v>
      </c>
      <c r="K87">
        <f ca="1"/>
        <v>6846.4800000000005</v>
      </c>
      <c r="L87">
        <f ca="1"/>
        <v>6855.84</v>
      </c>
      <c r="M87">
        <f ca="1"/>
        <v>6914.88</v>
      </c>
      <c r="N87">
        <f ca="1"/>
        <v>7002</v>
      </c>
      <c r="O87">
        <f ca="1"/>
        <v>7013.5199999999995</v>
      </c>
      <c r="P87">
        <f ca="1"/>
        <v>7110</v>
      </c>
      <c r="Q87">
        <f ca="1"/>
        <v>7151.76</v>
      </c>
      <c r="R87">
        <f ca="1"/>
        <v>7095.5999999999995</v>
      </c>
      <c r="S87">
        <f ca="1"/>
        <v>7115.76</v>
      </c>
      <c r="T87">
        <f ca="1"/>
        <v>7014.9600000000009</v>
      </c>
      <c r="U87">
        <f ca="1"/>
        <v>6963.84</v>
      </c>
      <c r="V87">
        <f ca="1"/>
        <v>6966</v>
      </c>
      <c r="W87">
        <f ca="1"/>
        <v>6903.36</v>
      </c>
      <c r="X87">
        <f ca="1"/>
        <v>6971.76</v>
      </c>
      <c r="Y87">
        <f ca="1"/>
        <v>6937.2</v>
      </c>
      <c r="Z87">
        <f ca="1"/>
        <v>7073.28</v>
      </c>
      <c r="AA87">
        <f ca="1"/>
        <v>7064.64</v>
      </c>
      <c r="AB87">
        <f ca="1"/>
        <v>7041.5999999999995</v>
      </c>
      <c r="AC87">
        <f ca="1"/>
        <v>6942.9600000000009</v>
      </c>
      <c r="AD87">
        <f ca="1"/>
        <v>6906.9600000000009</v>
      </c>
      <c r="AE87">
        <f ca="1"/>
        <v>6936.4800000000005</v>
      </c>
      <c r="AF87">
        <f ca="1"/>
        <v>7025.76</v>
      </c>
      <c r="AG87">
        <f ca="1"/>
        <v>7001.28</v>
      </c>
      <c r="AH87">
        <f ca="1"/>
        <v>6991.2</v>
      </c>
      <c r="AI87">
        <f ca="1"/>
        <v>7107.84</v>
      </c>
      <c r="AJ87">
        <f ca="1"/>
        <v>7183.44</v>
      </c>
      <c r="AK87">
        <f ca="1"/>
        <v>7198.56</v>
      </c>
      <c r="AL87">
        <f ca="1"/>
        <v>7153.2</v>
      </c>
      <c r="AM87">
        <f ca="1"/>
        <v>7053.12</v>
      </c>
      <c r="AN87">
        <f ca="1"/>
        <v>7017.84</v>
      </c>
      <c r="AO87">
        <f ca="1"/>
        <v>7016.4000000000005</v>
      </c>
      <c r="AP87">
        <f ca="1"/>
        <v>7007.0399999999991</v>
      </c>
      <c r="AQ87">
        <f ca="1"/>
        <v>6897.5999999999995</v>
      </c>
      <c r="AR87">
        <f ca="1"/>
        <v>6827.76</v>
      </c>
      <c r="AS87">
        <f ca="1"/>
        <v>6799.68</v>
      </c>
      <c r="AT87">
        <f ca="1"/>
        <v>6788.88</v>
      </c>
      <c r="AU87">
        <f ca="1"/>
        <v>6786</v>
      </c>
      <c r="AV87">
        <f ca="1"/>
        <v>6846.4800000000005</v>
      </c>
      <c r="AW87">
        <f ca="1"/>
        <v>6920.64</v>
      </c>
      <c r="AX87">
        <f ca="1"/>
        <v>7046.64</v>
      </c>
      <c r="AY87">
        <f ca="1"/>
        <v>7056</v>
      </c>
      <c r="AZ87">
        <f ca="1"/>
        <v>7002.72</v>
      </c>
      <c r="BA87">
        <f ca="1"/>
        <v>6913.44</v>
      </c>
      <c r="BB87">
        <f ca="1"/>
        <v>7003.44</v>
      </c>
      <c r="BC87">
        <f ca="1"/>
        <v>7040.16</v>
      </c>
      <c r="BD87">
        <f ca="1"/>
        <v>7073.28</v>
      </c>
      <c r="BE87">
        <f ca="1"/>
        <v>7027.92</v>
      </c>
      <c r="BF87">
        <f ca="1"/>
        <v>7081.92</v>
      </c>
      <c r="BG87">
        <f ca="1"/>
        <v>7153.2</v>
      </c>
      <c r="BH87">
        <f ca="1"/>
        <v>6990.4800000000005</v>
      </c>
      <c r="BI87">
        <f ca="1"/>
        <v>6970.32</v>
      </c>
      <c r="BJ87">
        <f ca="1"/>
        <v>6829.92</v>
      </c>
      <c r="BK87">
        <f ca="1"/>
        <v>6796.8</v>
      </c>
      <c r="BL87">
        <f ca="1"/>
        <v>6896.16</v>
      </c>
      <c r="BM87">
        <f ca="1"/>
        <v>6868.08</v>
      </c>
      <c r="BN87">
        <f ca="1"/>
        <v>6850.8</v>
      </c>
      <c r="BO87">
        <f ca="1"/>
        <v>6846.4800000000005</v>
      </c>
      <c r="BP87">
        <f ca="1"/>
        <v>6843.5999999999995</v>
      </c>
      <c r="BQ87">
        <f ca="1"/>
        <v>6888.24</v>
      </c>
      <c r="BR87">
        <f ca="1"/>
        <v>6901.2</v>
      </c>
      <c r="BS87">
        <f ca="1"/>
        <v>6888.9600000000009</v>
      </c>
      <c r="BT87">
        <f ca="1"/>
        <v>6955.2</v>
      </c>
      <c r="BU87">
        <f ca="1"/>
        <v>7017.84</v>
      </c>
      <c r="BV87">
        <f ca="1"/>
        <v>7027.92</v>
      </c>
      <c r="BW87">
        <f ca="1"/>
        <v>7079.76</v>
      </c>
      <c r="BX87">
        <f ca="1"/>
        <v>7026.4800000000005</v>
      </c>
      <c r="BY87">
        <f ca="1"/>
        <v>7054.56</v>
      </c>
      <c r="BZ87">
        <f ca="1"/>
        <v>7091.28</v>
      </c>
      <c r="CA87">
        <f ca="1"/>
        <v>7170.4800000000005</v>
      </c>
      <c r="CB87">
        <f ca="1"/>
        <v>7150.32</v>
      </c>
      <c r="CC87">
        <f ca="1"/>
        <v>7441.92</v>
      </c>
      <c r="CD87">
        <f ca="1"/>
        <v>7424.64</v>
      </c>
      <c r="CE87">
        <f ca="1"/>
        <v>7468.56</v>
      </c>
      <c r="CF87">
        <f ca="1"/>
        <v>7482.9600000000009</v>
      </c>
      <c r="CG87">
        <f ca="1"/>
        <v>7460.64</v>
      </c>
      <c r="CH87">
        <f ca="1"/>
        <v>7271.28</v>
      </c>
      <c r="CI87">
        <f ca="1"/>
        <v>7261.2</v>
      </c>
      <c r="CJ87">
        <f ca="1"/>
        <v>7200</v>
      </c>
      <c r="CK87">
        <f ca="1"/>
        <v>7250.4000000000005</v>
      </c>
      <c r="CL87">
        <f ca="1"/>
        <v>7292.88</v>
      </c>
      <c r="CM87">
        <f ca="1"/>
        <v>7385.0399999999991</v>
      </c>
      <c r="CN87">
        <f ca="1"/>
        <v>7053.12</v>
      </c>
      <c r="CO87">
        <f ca="1"/>
        <v>6971.76</v>
      </c>
      <c r="CP87">
        <f ca="1"/>
        <v>6917.0399999999991</v>
      </c>
      <c r="CQ87">
        <f ca="1"/>
        <v>6915.5999999999995</v>
      </c>
      <c r="CR87">
        <f ca="1"/>
        <v>6917.76</v>
      </c>
      <c r="CS87">
        <f ca="1"/>
        <v>6919.92</v>
      </c>
      <c r="CT87">
        <f ca="1"/>
        <v>6982.56</v>
      </c>
      <c r="CU87">
        <f ca="1"/>
        <v>7045.2</v>
      </c>
      <c r="CV87">
        <f ca="1"/>
        <v>7159.68</v>
      </c>
      <c r="CW87">
        <f ca="1"/>
        <v>7266.9600000000009</v>
      </c>
      <c r="CX87">
        <f ca="1"/>
        <v>7236.72</v>
      </c>
      <c r="CY87">
        <f ca="1"/>
        <v>7364.16</v>
      </c>
      <c r="CZ87">
        <f ca="1"/>
        <v>7364.88</v>
      </c>
      <c r="DA87">
        <f ca="1"/>
        <v>7229.5199999999995</v>
      </c>
      <c r="DB87">
        <f ca="1"/>
        <v>7390.8</v>
      </c>
      <c r="DC87">
        <f ca="1"/>
        <v>7451.28</v>
      </c>
      <c r="DD87">
        <f ca="1"/>
        <v>7465.68</v>
      </c>
      <c r="DE87">
        <f ca="1"/>
        <v>7446.24</v>
      </c>
      <c r="DF87">
        <f ca="1"/>
        <v>7507.44</v>
      </c>
      <c r="DG87">
        <f ca="1"/>
        <v>7459.2</v>
      </c>
      <c r="DH87">
        <f ca="1"/>
        <v>7367.76</v>
      </c>
      <c r="DI87">
        <f ca="1"/>
        <v>7403.0399999999991</v>
      </c>
      <c r="DJ87">
        <f ca="1"/>
        <v>7381.44</v>
      </c>
      <c r="DK87">
        <f ca="1"/>
        <v>7396.56</v>
      </c>
      <c r="DL87">
        <f ca="1"/>
        <v>7419.5999999999995</v>
      </c>
      <c r="DM87">
        <f ca="1"/>
        <v>7427.5199999999995</v>
      </c>
      <c r="DN87">
        <f ca="1"/>
        <v>7421.76</v>
      </c>
      <c r="DO87">
        <f ca="1"/>
        <v>7420.32</v>
      </c>
      <c r="DP87">
        <f ca="1"/>
        <v>7341.12</v>
      </c>
      <c r="DQ87">
        <f ca="1"/>
        <v>7322.4000000000005</v>
      </c>
      <c r="DR87">
        <f ca="1"/>
        <v>7349.0399999999991</v>
      </c>
      <c r="DS87">
        <f ca="1"/>
        <v>7394.4000000000005</v>
      </c>
      <c r="DT87">
        <f ca="1"/>
        <v>7433.28</v>
      </c>
      <c r="DU87">
        <f ca="1"/>
        <v>7408.8</v>
      </c>
      <c r="DV87">
        <f ca="1"/>
        <v>7327.44</v>
      </c>
      <c r="DW87">
        <f ca="1"/>
        <v>7332.4800000000005</v>
      </c>
      <c r="DX87">
        <f ca="1"/>
        <v>7352.64</v>
      </c>
      <c r="DY87">
        <f ca="1"/>
        <v>7719.12</v>
      </c>
      <c r="DZ87">
        <f ca="1"/>
        <v>7850.16</v>
      </c>
      <c r="EA87">
        <f ca="1"/>
        <v>7665.84</v>
      </c>
      <c r="EB87">
        <f ca="1"/>
        <v>7756.56</v>
      </c>
      <c r="EC87">
        <f ca="1"/>
        <v>7707.5999999999995</v>
      </c>
      <c r="ED87">
        <f ca="1"/>
        <v>7647.84</v>
      </c>
      <c r="EE87">
        <f ca="1"/>
        <v>7714.08</v>
      </c>
      <c r="EF87">
        <f ca="1"/>
        <v>7693.92</v>
      </c>
      <c r="EG87">
        <f ca="1"/>
        <v>7644.24</v>
      </c>
      <c r="EH87">
        <f ca="1"/>
        <v>7521.84</v>
      </c>
      <c r="EI87">
        <f ca="1"/>
        <v>7428.24</v>
      </c>
      <c r="EJ87">
        <f ca="1"/>
        <v>7377.12</v>
      </c>
      <c r="EK87">
        <f ca="1"/>
        <v>7360.56</v>
      </c>
      <c r="EL87">
        <f ca="1"/>
        <v>7284.9600000000009</v>
      </c>
      <c r="EM87">
        <f ca="1"/>
        <v>7314.4800000000005</v>
      </c>
      <c r="EN87">
        <f ca="1"/>
        <v>7363.44</v>
      </c>
      <c r="EO87">
        <f ca="1"/>
        <v>7305.84</v>
      </c>
      <c r="EP87">
        <f ca="1"/>
        <v>7320.9600000000009</v>
      </c>
      <c r="EQ87">
        <f ca="1"/>
        <v>7386.4800000000005</v>
      </c>
      <c r="ER87">
        <f ca="1"/>
        <v>7374.24</v>
      </c>
      <c r="ES87">
        <f ca="1"/>
        <v>7447.68</v>
      </c>
      <c r="ET87">
        <f ca="1"/>
        <v>7447.68</v>
      </c>
      <c r="EU87">
        <f ca="1"/>
        <v>7382.88</v>
      </c>
      <c r="EV87">
        <f ca="1"/>
        <v>7378.56</v>
      </c>
      <c r="EW87">
        <f ca="1"/>
        <v>7412.4000000000005</v>
      </c>
      <c r="EX87">
        <f ca="1"/>
        <v>7300.08</v>
      </c>
      <c r="EY87">
        <f ca="1"/>
        <v>7243.92</v>
      </c>
      <c r="EZ87">
        <f ca="1"/>
        <v>7711.92</v>
      </c>
      <c r="FA87">
        <f ca="1"/>
        <v>7583.0399999999991</v>
      </c>
      <c r="FB87">
        <f ca="1"/>
        <v>7492.32</v>
      </c>
      <c r="FC87">
        <f ca="1"/>
        <v>7704</v>
      </c>
      <c r="FD87">
        <f ca="1"/>
        <v>7855.2</v>
      </c>
      <c r="FE87">
        <f ca="1"/>
        <v>7956.72</v>
      </c>
      <c r="FF87">
        <f ca="1"/>
        <v>8030.16</v>
      </c>
      <c r="FG87">
        <f ca="1"/>
        <v>8093.5199999999995</v>
      </c>
      <c r="FH87">
        <f ca="1"/>
        <v>8237.52</v>
      </c>
      <c r="FI87">
        <f ca="1"/>
        <v>8268.48</v>
      </c>
      <c r="FJ87">
        <f ca="1"/>
        <v>8287.92</v>
      </c>
      <c r="FK87">
        <f ca="1"/>
        <v>8176.32</v>
      </c>
      <c r="FL87">
        <f ca="1"/>
        <v>8284.32</v>
      </c>
      <c r="FM87">
        <f ca="1"/>
        <v>8148.9600000000009</v>
      </c>
      <c r="FN87">
        <f ca="1"/>
        <v>8317.44</v>
      </c>
      <c r="FO87">
        <f ca="1"/>
        <v>8402.4</v>
      </c>
      <c r="FP87">
        <f ca="1"/>
        <v>8408.880000000001</v>
      </c>
      <c r="FQ87">
        <f ca="1"/>
        <v>8310.24</v>
      </c>
      <c r="FR87">
        <f ca="1"/>
        <v>8327.52</v>
      </c>
      <c r="FS87">
        <f ca="1"/>
        <v>8267.76</v>
      </c>
      <c r="FT87">
        <f ca="1"/>
        <v>8233.92</v>
      </c>
      <c r="FU87">
        <f ca="1"/>
        <v>8107.2</v>
      </c>
      <c r="FV87">
        <f ca="1"/>
        <v>7984.8</v>
      </c>
      <c r="FW87">
        <f ca="1"/>
        <v>8035.92</v>
      </c>
      <c r="FX87">
        <f ca="1"/>
        <v>8045.28</v>
      </c>
      <c r="FY87">
        <f ca="1"/>
        <v>8102.16</v>
      </c>
      <c r="FZ87">
        <f ca="1"/>
        <v>8058.24</v>
      </c>
      <c r="GA87">
        <f ca="1"/>
        <v>8021.5199999999995</v>
      </c>
      <c r="GB87">
        <f ca="1"/>
        <v>8118.72</v>
      </c>
      <c r="GC87">
        <f ca="1"/>
        <v>8115.12</v>
      </c>
      <c r="GD87">
        <f ca="1"/>
        <v>8232.48</v>
      </c>
      <c r="GE87">
        <f ca="1"/>
        <v>8115.84</v>
      </c>
      <c r="GF87">
        <f ca="1"/>
        <v>8141.0399999999991</v>
      </c>
      <c r="GG87">
        <f ca="1"/>
        <v>8246.16</v>
      </c>
      <c r="GH87">
        <f ca="1"/>
        <v>8493.84</v>
      </c>
      <c r="GI87">
        <f ca="1"/>
        <v>8665.92</v>
      </c>
      <c r="GJ87">
        <f ca="1"/>
        <v>8642.880000000001</v>
      </c>
      <c r="GK87">
        <f ca="1"/>
        <v>8582.4</v>
      </c>
      <c r="GL87">
        <f ca="1"/>
        <v>8618.4</v>
      </c>
      <c r="GM87">
        <f ca="1"/>
        <v>8547.119999999999</v>
      </c>
      <c r="GN87">
        <f ca="1"/>
        <v>8593.92</v>
      </c>
      <c r="GO87">
        <f ca="1"/>
        <v>8483.76</v>
      </c>
      <c r="GP87">
        <f ca="1"/>
        <v>8476.56</v>
      </c>
      <c r="GQ87">
        <f ca="1"/>
        <v>8470.08</v>
      </c>
      <c r="GR87">
        <f ca="1"/>
        <v>8419.68</v>
      </c>
      <c r="GS87">
        <f ca="1"/>
        <v>8393.0399999999991</v>
      </c>
      <c r="GT87">
        <f ca="1"/>
        <v>8453.52</v>
      </c>
      <c r="GU87">
        <f ca="1"/>
        <v>8578.08</v>
      </c>
      <c r="GV87">
        <f ca="1"/>
        <v>8932.32</v>
      </c>
      <c r="GW87">
        <f ca="1"/>
        <v>9195.119999999999</v>
      </c>
      <c r="GX87">
        <f ca="1"/>
        <v>9216</v>
      </c>
      <c r="GY87">
        <f ca="1"/>
        <v>9139.68</v>
      </c>
      <c r="GZ87">
        <f ca="1"/>
        <v>9444.9600000000009</v>
      </c>
      <c r="HA87">
        <f ca="1"/>
        <v>9289.44</v>
      </c>
      <c r="HB87">
        <f ca="1"/>
        <v>9122.4</v>
      </c>
      <c r="HC87">
        <f ca="1"/>
        <v>9271.44</v>
      </c>
      <c r="HD87">
        <f ca="1"/>
        <v>9622.0799999999981</v>
      </c>
      <c r="HE87">
        <f ca="1"/>
        <v>9640.0799999999981</v>
      </c>
      <c r="HF87">
        <f ca="1"/>
        <v>9277.1999999999989</v>
      </c>
      <c r="HG87">
        <f ca="1"/>
        <v>9116.64</v>
      </c>
      <c r="HH87">
        <f ca="1"/>
        <v>8990.64</v>
      </c>
      <c r="HI87">
        <f ca="1"/>
        <v>8855.2799999999988</v>
      </c>
      <c r="HJ87">
        <f ca="1"/>
        <v>9058.32</v>
      </c>
      <c r="HK87">
        <f ca="1"/>
        <v>9126</v>
      </c>
      <c r="HL87">
        <f ca="1"/>
        <v>9054</v>
      </c>
      <c r="HM87">
        <f ca="1"/>
        <v>8958.24</v>
      </c>
      <c r="HN87">
        <f ca="1"/>
        <v>9212.4</v>
      </c>
      <c r="HO87">
        <f ca="1"/>
        <v>9151.1999999999989</v>
      </c>
      <c r="HP87">
        <f ca="1"/>
        <v>9209.52</v>
      </c>
      <c r="HQ87">
        <f ca="1"/>
        <v>9202.32</v>
      </c>
      <c r="HR87">
        <f ca="1"/>
        <v>8878.32</v>
      </c>
      <c r="HS87">
        <f ca="1"/>
        <v>8913.6</v>
      </c>
      <c r="HT87">
        <f ca="1"/>
        <v>8952.48</v>
      </c>
      <c r="HU87">
        <f ca="1"/>
        <v>9008.64</v>
      </c>
      <c r="HV87">
        <f ca="1"/>
        <v>8891.2799999999988</v>
      </c>
      <c r="HW87">
        <f ca="1"/>
        <v>9023.76</v>
      </c>
      <c r="HX87">
        <f ca="1"/>
        <v>9109.44</v>
      </c>
      <c r="HY87">
        <f ca="1"/>
        <v>9071.2799999999988</v>
      </c>
      <c r="HZ87">
        <f ca="1"/>
        <v>9005.76</v>
      </c>
      <c r="IA87">
        <f ca="1"/>
        <v>8782.56</v>
      </c>
      <c r="IB87">
        <f ca="1"/>
        <v>8718.48</v>
      </c>
      <c r="IC87">
        <f ca="1"/>
        <v>8569.44</v>
      </c>
      <c r="ID87">
        <f ca="1"/>
        <v>8691.84</v>
      </c>
      <c r="IE87">
        <f ca="1"/>
        <v>8787.6</v>
      </c>
      <c r="IF87">
        <f ca="1"/>
        <v>8860.32</v>
      </c>
      <c r="IG87">
        <f ca="1"/>
        <v>8796.9600000000009</v>
      </c>
      <c r="IH87">
        <f ca="1"/>
        <v>8848.08</v>
      </c>
      <c r="II87">
        <f ca="1"/>
        <v>8892</v>
      </c>
      <c r="IJ87">
        <f ca="1"/>
        <v>8948.16</v>
      </c>
      <c r="IK87">
        <f ca="1"/>
        <v>8981.2799999999988</v>
      </c>
      <c r="IL87">
        <f ca="1"/>
        <v>9056.880000000001</v>
      </c>
      <c r="IM87">
        <f ca="1"/>
        <v>9128.880000000001</v>
      </c>
      <c r="IN87">
        <f ca="1"/>
        <v>8819.2799999999988</v>
      </c>
      <c r="IO87">
        <f ca="1"/>
        <v>9162.7200000000012</v>
      </c>
      <c r="IP87">
        <f ca="1"/>
        <v>9297.36</v>
      </c>
      <c r="IQ87">
        <f ca="1"/>
        <v>9127.44</v>
      </c>
      <c r="IR87">
        <f ca="1"/>
        <v>8969.0399999999991</v>
      </c>
      <c r="IS87">
        <f ca="1"/>
        <v>9003.6</v>
      </c>
      <c r="IT87">
        <f ca="1"/>
        <v>8982.7200000000012</v>
      </c>
      <c r="IU87">
        <f ca="1"/>
        <v>8987.0399999999991</v>
      </c>
      <c r="IV87">
        <f ca="1"/>
        <v>9180</v>
      </c>
      <c r="IW87">
        <f ca="1"/>
        <v>9210.24</v>
      </c>
    </row>
    <row r="88" spans="2:267" ht="15.75" thickBot="1" x14ac:dyDescent="0.3">
      <c r="F88" s="85" t="s">
        <v>12</v>
      </c>
      <c r="G88" s="84">
        <f ca="1">SUM(G67:G87)</f>
        <v>71856.239999999991</v>
      </c>
      <c r="H88" s="84">
        <f t="shared" ref="H88:BS88" ca="1" si="642">SUM(H67:H87)</f>
        <v>73366.42</v>
      </c>
      <c r="I88" s="84">
        <f t="shared" ca="1" si="642"/>
        <v>73399.969999999987</v>
      </c>
      <c r="J88" s="84">
        <f t="shared" ca="1" si="642"/>
        <v>73695.12</v>
      </c>
      <c r="K88" s="84">
        <f t="shared" ca="1" si="642"/>
        <v>73464.490000000005</v>
      </c>
      <c r="L88" s="84">
        <f t="shared" ca="1" si="642"/>
        <v>73551.42</v>
      </c>
      <c r="M88" s="84">
        <f t="shared" ca="1" si="642"/>
        <v>73673.350000000006</v>
      </c>
      <c r="N88" s="84">
        <f t="shared" ca="1" si="642"/>
        <v>73826.53</v>
      </c>
      <c r="O88" s="84">
        <f t="shared" ca="1" si="642"/>
        <v>74040.920000000013</v>
      </c>
      <c r="P88" s="84">
        <f t="shared" ca="1" si="642"/>
        <v>74718.679999999993</v>
      </c>
      <c r="Q88" s="84">
        <f t="shared" ca="1" si="642"/>
        <v>74549.989999999991</v>
      </c>
      <c r="R88" s="84">
        <f t="shared" ca="1" si="642"/>
        <v>74288.450000000012</v>
      </c>
      <c r="S88" s="84">
        <f t="shared" ca="1" si="642"/>
        <v>74448.039999999994</v>
      </c>
      <c r="T88" s="84">
        <f t="shared" ca="1" si="642"/>
        <v>74455.10000000002</v>
      </c>
      <c r="U88" s="84">
        <f t="shared" ca="1" si="642"/>
        <v>74515.189999999988</v>
      </c>
      <c r="V88" s="84">
        <f t="shared" ca="1" si="642"/>
        <v>74989.58</v>
      </c>
      <c r="W88" s="84">
        <f t="shared" ca="1" si="642"/>
        <v>74627.23000000001</v>
      </c>
      <c r="X88" s="84">
        <f t="shared" ca="1" si="642"/>
        <v>74381.099999999991</v>
      </c>
      <c r="Y88" s="84">
        <f t="shared" ca="1" si="642"/>
        <v>75303.189999999988</v>
      </c>
      <c r="Z88" s="84">
        <f t="shared" ca="1" si="642"/>
        <v>76004.440000000017</v>
      </c>
      <c r="AA88" s="84">
        <f t="shared" ca="1" si="642"/>
        <v>76176.330000000016</v>
      </c>
      <c r="AB88" s="84">
        <f t="shared" ca="1" si="642"/>
        <v>76163.230000000025</v>
      </c>
      <c r="AC88" s="84">
        <f t="shared" ca="1" si="642"/>
        <v>75103.64</v>
      </c>
      <c r="AD88" s="84">
        <f t="shared" ca="1" si="642"/>
        <v>74871.570000000007</v>
      </c>
      <c r="AE88" s="84">
        <f t="shared" ca="1" si="642"/>
        <v>74815.539999999994</v>
      </c>
      <c r="AF88" s="84">
        <f t="shared" ca="1" si="642"/>
        <v>75788.12</v>
      </c>
      <c r="AG88" s="84">
        <f t="shared" ca="1" si="642"/>
        <v>75374.349999999977</v>
      </c>
      <c r="AH88" s="84">
        <f t="shared" ca="1" si="642"/>
        <v>75730.62999999999</v>
      </c>
      <c r="AI88" s="84">
        <f t="shared" ca="1" si="642"/>
        <v>76108.51999999999</v>
      </c>
      <c r="AJ88" s="84">
        <f t="shared" ca="1" si="642"/>
        <v>76458.86</v>
      </c>
      <c r="AK88" s="84">
        <f t="shared" ca="1" si="642"/>
        <v>76433.359999999986</v>
      </c>
      <c r="AL88" s="84">
        <f t="shared" ca="1" si="642"/>
        <v>76047.289999999994</v>
      </c>
      <c r="AM88" s="84">
        <f t="shared" ca="1" si="642"/>
        <v>75979.799999999988</v>
      </c>
      <c r="AN88" s="84">
        <f t="shared" ca="1" si="642"/>
        <v>76269.859999999986</v>
      </c>
      <c r="AO88" s="84">
        <f t="shared" ca="1" si="642"/>
        <v>76245.759999999995</v>
      </c>
      <c r="AP88" s="84">
        <f t="shared" ca="1" si="642"/>
        <v>76705.740000000005</v>
      </c>
      <c r="AQ88" s="84">
        <f t="shared" ca="1" si="642"/>
        <v>76577.470000000016</v>
      </c>
      <c r="AR88" s="84">
        <f t="shared" ca="1" si="642"/>
        <v>77007.410000000018</v>
      </c>
      <c r="AS88" s="84">
        <f t="shared" ca="1" si="642"/>
        <v>76222.520000000019</v>
      </c>
      <c r="AT88" s="84">
        <f t="shared" ca="1" si="642"/>
        <v>76038.240000000005</v>
      </c>
      <c r="AU88" s="84">
        <f t="shared" ca="1" si="642"/>
        <v>75766.83</v>
      </c>
      <c r="AV88" s="84">
        <f t="shared" ca="1" si="642"/>
        <v>75642.17</v>
      </c>
      <c r="AW88" s="84">
        <f t="shared" ca="1" si="642"/>
        <v>75728.75</v>
      </c>
      <c r="AX88" s="84">
        <f t="shared" ca="1" si="642"/>
        <v>76354.970000000016</v>
      </c>
      <c r="AY88" s="84">
        <f t="shared" ca="1" si="642"/>
        <v>76618.34</v>
      </c>
      <c r="AZ88" s="84">
        <f t="shared" ca="1" si="642"/>
        <v>75971.28</v>
      </c>
      <c r="BA88" s="84">
        <f t="shared" ca="1" si="642"/>
        <v>76182.55</v>
      </c>
      <c r="BB88" s="84">
        <f t="shared" ca="1" si="642"/>
        <v>76446.559999999998</v>
      </c>
      <c r="BC88" s="84">
        <f t="shared" ca="1" si="642"/>
        <v>76853.090000000011</v>
      </c>
      <c r="BD88" s="84">
        <f t="shared" ca="1" si="642"/>
        <v>77556.179999999993</v>
      </c>
      <c r="BE88" s="84">
        <f t="shared" ca="1" si="642"/>
        <v>77692.510000000009</v>
      </c>
      <c r="BF88" s="84">
        <f t="shared" ca="1" si="642"/>
        <v>77818.649999999994</v>
      </c>
      <c r="BG88" s="84">
        <f t="shared" ca="1" si="642"/>
        <v>77211.599999999991</v>
      </c>
      <c r="BH88" s="84">
        <f t="shared" ca="1" si="642"/>
        <v>77176.009999999995</v>
      </c>
      <c r="BI88" s="84">
        <f t="shared" ca="1" si="642"/>
        <v>77108.59</v>
      </c>
      <c r="BJ88" s="84">
        <f t="shared" ca="1" si="642"/>
        <v>77238.2</v>
      </c>
      <c r="BK88" s="84">
        <f t="shared" ca="1" si="642"/>
        <v>77011.55</v>
      </c>
      <c r="BL88" s="84">
        <f t="shared" ca="1" si="642"/>
        <v>76977.040000000008</v>
      </c>
      <c r="BM88" s="84">
        <f t="shared" ca="1" si="642"/>
        <v>76425.38</v>
      </c>
      <c r="BN88" s="84">
        <f t="shared" ca="1" si="642"/>
        <v>76650.070000000007</v>
      </c>
      <c r="BO88" s="84">
        <f t="shared" ca="1" si="642"/>
        <v>77013.809999999983</v>
      </c>
      <c r="BP88" s="84">
        <f t="shared" ca="1" si="642"/>
        <v>76877.48000000001</v>
      </c>
      <c r="BQ88" s="84">
        <f t="shared" ca="1" si="642"/>
        <v>76849.570000000022</v>
      </c>
      <c r="BR88" s="84">
        <f t="shared" ca="1" si="642"/>
        <v>77613.009999999995</v>
      </c>
      <c r="BS88" s="84">
        <f t="shared" ca="1" si="642"/>
        <v>78027.630000000019</v>
      </c>
      <c r="BT88" s="84">
        <f t="shared" ref="BT88:EE88" ca="1" si="643">SUM(BT67:BT87)</f>
        <v>77835.63</v>
      </c>
      <c r="BU88" s="84">
        <f t="shared" ca="1" si="643"/>
        <v>77736.309999999983</v>
      </c>
      <c r="BV88" s="84">
        <f t="shared" ca="1" si="643"/>
        <v>77197.97</v>
      </c>
      <c r="BW88" s="84">
        <f t="shared" ca="1" si="643"/>
        <v>77504.27</v>
      </c>
      <c r="BX88" s="84">
        <f t="shared" ca="1" si="643"/>
        <v>77168.289999999994</v>
      </c>
      <c r="BY88" s="84">
        <f t="shared" ca="1" si="643"/>
        <v>76769.87999999999</v>
      </c>
      <c r="BZ88" s="84">
        <f t="shared" ca="1" si="643"/>
        <v>76457.959999999992</v>
      </c>
      <c r="CA88" s="84">
        <f t="shared" ca="1" si="643"/>
        <v>76955.94</v>
      </c>
      <c r="CB88" s="84">
        <f t="shared" ca="1" si="643"/>
        <v>76884.69</v>
      </c>
      <c r="CC88" s="84">
        <f t="shared" ca="1" si="643"/>
        <v>77353.460000000006</v>
      </c>
      <c r="CD88" s="84">
        <f t="shared" ca="1" si="643"/>
        <v>77620.67</v>
      </c>
      <c r="CE88" s="84">
        <f t="shared" ca="1" si="643"/>
        <v>78043.649999999994</v>
      </c>
      <c r="CF88" s="84">
        <f t="shared" ca="1" si="643"/>
        <v>78138.87000000001</v>
      </c>
      <c r="CG88" s="84">
        <f t="shared" ca="1" si="643"/>
        <v>78842.650000000009</v>
      </c>
      <c r="CH88" s="84">
        <f t="shared" ca="1" si="643"/>
        <v>78748.41</v>
      </c>
      <c r="CI88" s="84">
        <f t="shared" ca="1" si="643"/>
        <v>79037.61</v>
      </c>
      <c r="CJ88" s="84">
        <f t="shared" ca="1" si="643"/>
        <v>79159.14999999998</v>
      </c>
      <c r="CK88" s="84">
        <f t="shared" ca="1" si="643"/>
        <v>78939.929999999993</v>
      </c>
      <c r="CL88" s="84">
        <f t="shared" ca="1" si="643"/>
        <v>79583.080000000016</v>
      </c>
      <c r="CM88" s="84">
        <f t="shared" ca="1" si="643"/>
        <v>79680.689999999988</v>
      </c>
      <c r="CN88" s="84">
        <f t="shared" ca="1" si="643"/>
        <v>79393.03</v>
      </c>
      <c r="CO88" s="84">
        <f t="shared" ca="1" si="643"/>
        <v>79868.679999999993</v>
      </c>
      <c r="CP88" s="84">
        <f t="shared" ca="1" si="643"/>
        <v>79106.06</v>
      </c>
      <c r="CQ88" s="84">
        <f t="shared" ca="1" si="643"/>
        <v>78932.710000000006</v>
      </c>
      <c r="CR88" s="84">
        <f t="shared" ca="1" si="643"/>
        <v>79285.37999999999</v>
      </c>
      <c r="CS88" s="84">
        <f t="shared" ca="1" si="643"/>
        <v>79112.580000000016</v>
      </c>
      <c r="CT88" s="84">
        <f t="shared" ca="1" si="643"/>
        <v>79583.209999999992</v>
      </c>
      <c r="CU88" s="84">
        <f t="shared" ca="1" si="643"/>
        <v>79374.569999999992</v>
      </c>
      <c r="CV88" s="84">
        <f t="shared" ca="1" si="643"/>
        <v>79363.209999999992</v>
      </c>
      <c r="CW88" s="84">
        <f t="shared" ca="1" si="643"/>
        <v>79755.09</v>
      </c>
      <c r="CX88" s="84">
        <f t="shared" ca="1" si="643"/>
        <v>79394.350000000006</v>
      </c>
      <c r="CY88" s="84">
        <f t="shared" ca="1" si="643"/>
        <v>79104.53</v>
      </c>
      <c r="CZ88" s="84">
        <f t="shared" ca="1" si="643"/>
        <v>79487.140000000014</v>
      </c>
      <c r="DA88" s="84">
        <f t="shared" ca="1" si="643"/>
        <v>79300.98</v>
      </c>
      <c r="DB88" s="84">
        <f t="shared" ca="1" si="643"/>
        <v>79820.600000000006</v>
      </c>
      <c r="DC88" s="84">
        <f t="shared" ca="1" si="643"/>
        <v>79665.659999999989</v>
      </c>
      <c r="DD88" s="84">
        <f t="shared" ca="1" si="643"/>
        <v>79520.299999999988</v>
      </c>
      <c r="DE88" s="84">
        <f t="shared" ca="1" si="643"/>
        <v>79527.660000000018</v>
      </c>
      <c r="DF88" s="84">
        <f t="shared" ca="1" si="643"/>
        <v>79721.03</v>
      </c>
      <c r="DG88" s="84">
        <f t="shared" ca="1" si="643"/>
        <v>80333.66</v>
      </c>
      <c r="DH88" s="84">
        <f t="shared" ca="1" si="643"/>
        <v>80391.34</v>
      </c>
      <c r="DI88" s="84">
        <f t="shared" ca="1" si="643"/>
        <v>79944.990000000005</v>
      </c>
      <c r="DJ88" s="84">
        <f t="shared" ca="1" si="643"/>
        <v>80203.88</v>
      </c>
      <c r="DK88" s="84">
        <f t="shared" ca="1" si="643"/>
        <v>80657.37999999999</v>
      </c>
      <c r="DL88" s="84">
        <f t="shared" ca="1" si="643"/>
        <v>80547.8</v>
      </c>
      <c r="DM88" s="84">
        <f t="shared" ca="1" si="643"/>
        <v>81247.250000000015</v>
      </c>
      <c r="DN88" s="84">
        <f t="shared" ca="1" si="643"/>
        <v>80978.930000000008</v>
      </c>
      <c r="DO88" s="84">
        <f t="shared" ca="1" si="643"/>
        <v>81007.12</v>
      </c>
      <c r="DP88" s="84">
        <f t="shared" ca="1" si="643"/>
        <v>81436.899999999994</v>
      </c>
      <c r="DQ88" s="84">
        <f t="shared" ca="1" si="643"/>
        <v>80927.299999999988</v>
      </c>
      <c r="DR88" s="84">
        <f t="shared" ca="1" si="643"/>
        <v>81027.31</v>
      </c>
      <c r="DS88" s="84">
        <f t="shared" ca="1" si="643"/>
        <v>80788.02</v>
      </c>
      <c r="DT88" s="84">
        <f t="shared" ca="1" si="643"/>
        <v>81153.919999999998</v>
      </c>
      <c r="DU88" s="84">
        <f t="shared" ca="1" si="643"/>
        <v>80686.299999999988</v>
      </c>
      <c r="DV88" s="84">
        <f t="shared" ca="1" si="643"/>
        <v>80547.55</v>
      </c>
      <c r="DW88" s="84">
        <f t="shared" ca="1" si="643"/>
        <v>79891.56</v>
      </c>
      <c r="DX88" s="84">
        <f t="shared" ca="1" si="643"/>
        <v>79900.159999999989</v>
      </c>
      <c r="DY88" s="84">
        <f t="shared" ca="1" si="643"/>
        <v>80772.570000000007</v>
      </c>
      <c r="DZ88" s="84">
        <f t="shared" ca="1" si="643"/>
        <v>81467.44</v>
      </c>
      <c r="EA88" s="84">
        <f t="shared" ca="1" si="643"/>
        <v>81006.289999999979</v>
      </c>
      <c r="EB88" s="84">
        <f t="shared" ca="1" si="643"/>
        <v>81860.639999999985</v>
      </c>
      <c r="EC88" s="84">
        <f t="shared" ca="1" si="643"/>
        <v>82121.89</v>
      </c>
      <c r="ED88" s="84">
        <f t="shared" ca="1" si="643"/>
        <v>81958.809999999983</v>
      </c>
      <c r="EE88" s="84">
        <f t="shared" ca="1" si="643"/>
        <v>82176.260000000009</v>
      </c>
      <c r="EF88" s="84">
        <f t="shared" ref="EF88:GQ88" ca="1" si="644">SUM(EF67:EF87)</f>
        <v>82211.73000000001</v>
      </c>
      <c r="EG88" s="84">
        <f t="shared" ca="1" si="644"/>
        <v>81995.66</v>
      </c>
      <c r="EH88" s="84">
        <f t="shared" ca="1" si="644"/>
        <v>82597.429999999978</v>
      </c>
      <c r="EI88" s="84">
        <f t="shared" ca="1" si="644"/>
        <v>82656.61</v>
      </c>
      <c r="EJ88" s="84">
        <f t="shared" ca="1" si="644"/>
        <v>82024.409999999989</v>
      </c>
      <c r="EK88" s="84">
        <f t="shared" ca="1" si="644"/>
        <v>81408.899999999994</v>
      </c>
      <c r="EL88" s="84">
        <f t="shared" ca="1" si="644"/>
        <v>81206.69</v>
      </c>
      <c r="EM88" s="84">
        <f t="shared" ca="1" si="644"/>
        <v>80676.249999999985</v>
      </c>
      <c r="EN88" s="84">
        <f t="shared" ca="1" si="644"/>
        <v>80366.720000000001</v>
      </c>
      <c r="EO88" s="84">
        <f t="shared" ca="1" si="644"/>
        <v>80188.09</v>
      </c>
      <c r="EP88" s="84">
        <f t="shared" ca="1" si="644"/>
        <v>79901.220000000016</v>
      </c>
      <c r="EQ88" s="84">
        <f t="shared" ca="1" si="644"/>
        <v>80597.199999999983</v>
      </c>
      <c r="ER88" s="84">
        <f t="shared" ca="1" si="644"/>
        <v>80921.710000000006</v>
      </c>
      <c r="ES88" s="84">
        <f t="shared" ca="1" si="644"/>
        <v>81813.890000000014</v>
      </c>
      <c r="ET88" s="84">
        <f t="shared" ca="1" si="644"/>
        <v>81847.09</v>
      </c>
      <c r="EU88" s="84">
        <f t="shared" ca="1" si="644"/>
        <v>81443.210000000006</v>
      </c>
      <c r="EV88" s="84">
        <f t="shared" ca="1" si="644"/>
        <v>81483.5</v>
      </c>
      <c r="EW88" s="84">
        <f t="shared" ca="1" si="644"/>
        <v>81028.299999999988</v>
      </c>
      <c r="EX88" s="84">
        <f t="shared" ca="1" si="644"/>
        <v>80838.78</v>
      </c>
      <c r="EY88" s="84">
        <f t="shared" ca="1" si="644"/>
        <v>80519.95</v>
      </c>
      <c r="EZ88" s="84">
        <f t="shared" ca="1" si="644"/>
        <v>80353.77</v>
      </c>
      <c r="FA88" s="84">
        <f t="shared" ca="1" si="644"/>
        <v>80965.099999999991</v>
      </c>
      <c r="FB88" s="84">
        <f t="shared" ca="1" si="644"/>
        <v>80683.479999999981</v>
      </c>
      <c r="FC88" s="84">
        <f t="shared" ca="1" si="644"/>
        <v>81440.63</v>
      </c>
      <c r="FD88" s="84">
        <f t="shared" ca="1" si="644"/>
        <v>82238.52</v>
      </c>
      <c r="FE88" s="84">
        <f t="shared" ca="1" si="644"/>
        <v>83206.61</v>
      </c>
      <c r="FF88" s="84">
        <f t="shared" ca="1" si="644"/>
        <v>82668.3</v>
      </c>
      <c r="FG88" s="84">
        <f t="shared" ca="1" si="644"/>
        <v>82947.700000000012</v>
      </c>
      <c r="FH88" s="84">
        <f t="shared" ca="1" si="644"/>
        <v>83323.03</v>
      </c>
      <c r="FI88" s="84">
        <f t="shared" ca="1" si="644"/>
        <v>82760.349999999977</v>
      </c>
      <c r="FJ88" s="84">
        <f t="shared" ca="1" si="644"/>
        <v>82467.98</v>
      </c>
      <c r="FK88" s="84">
        <f t="shared" ca="1" si="644"/>
        <v>73413.279999999999</v>
      </c>
      <c r="FL88" s="84">
        <f t="shared" ca="1" si="644"/>
        <v>73308.459999999992</v>
      </c>
      <c r="FM88" s="84">
        <f t="shared" ca="1" si="644"/>
        <v>73454.38</v>
      </c>
      <c r="FN88" s="84">
        <f t="shared" ca="1" si="644"/>
        <v>73768.040000000008</v>
      </c>
      <c r="FO88" s="84">
        <f t="shared" ca="1" si="644"/>
        <v>74023.999999999985</v>
      </c>
      <c r="FP88" s="84">
        <f t="shared" ca="1" si="644"/>
        <v>74231.44</v>
      </c>
      <c r="FQ88" s="84">
        <f t="shared" ca="1" si="644"/>
        <v>73759.710000000006</v>
      </c>
      <c r="FR88" s="84">
        <f t="shared" ca="1" si="644"/>
        <v>73928</v>
      </c>
      <c r="FS88" s="84">
        <f t="shared" ca="1" si="644"/>
        <v>73813.139999999985</v>
      </c>
      <c r="FT88" s="84">
        <f t="shared" ca="1" si="644"/>
        <v>73817.850000000006</v>
      </c>
      <c r="FU88" s="84">
        <f t="shared" ca="1" si="644"/>
        <v>73734.52</v>
      </c>
      <c r="FV88" s="84">
        <f t="shared" ca="1" si="644"/>
        <v>73460.649999999994</v>
      </c>
      <c r="FW88" s="84">
        <f t="shared" ca="1" si="644"/>
        <v>73799.53</v>
      </c>
      <c r="FX88" s="84">
        <f t="shared" ca="1" si="644"/>
        <v>73663.429999999993</v>
      </c>
      <c r="FY88" s="84">
        <f t="shared" ca="1" si="644"/>
        <v>73634.600000000006</v>
      </c>
      <c r="FZ88" s="84">
        <f t="shared" ca="1" si="644"/>
        <v>73666.73</v>
      </c>
      <c r="GA88" s="84">
        <f t="shared" ca="1" si="644"/>
        <v>73295.200000000012</v>
      </c>
      <c r="GB88" s="84">
        <f t="shared" ca="1" si="644"/>
        <v>73538.2</v>
      </c>
      <c r="GC88" s="84">
        <f t="shared" ca="1" si="644"/>
        <v>73242.460000000006</v>
      </c>
      <c r="GD88" s="84">
        <f t="shared" ca="1" si="644"/>
        <v>73505.389999999985</v>
      </c>
      <c r="GE88" s="84">
        <f t="shared" ca="1" si="644"/>
        <v>73300.140000000014</v>
      </c>
      <c r="GF88" s="84">
        <f t="shared" ca="1" si="644"/>
        <v>73610.080000000002</v>
      </c>
      <c r="GG88" s="84">
        <f t="shared" ca="1" si="644"/>
        <v>74586.509999999995</v>
      </c>
      <c r="GH88" s="84">
        <f t="shared" ca="1" si="644"/>
        <v>74542.959999999992</v>
      </c>
      <c r="GI88" s="84">
        <f t="shared" ca="1" si="644"/>
        <v>75321.680000000008</v>
      </c>
      <c r="GJ88" s="84">
        <f t="shared" ca="1" si="644"/>
        <v>75623.510000000009</v>
      </c>
      <c r="GK88" s="84">
        <f t="shared" ca="1" si="644"/>
        <v>75278.39999999998</v>
      </c>
      <c r="GL88" s="84">
        <f t="shared" ca="1" si="644"/>
        <v>74950.459999999992</v>
      </c>
      <c r="GM88" s="84">
        <f t="shared" ca="1" si="644"/>
        <v>74797.989999999991</v>
      </c>
      <c r="GN88" s="84">
        <f t="shared" ca="1" si="644"/>
        <v>75342.05</v>
      </c>
      <c r="GO88" s="84">
        <f t="shared" ca="1" si="644"/>
        <v>75530.97</v>
      </c>
      <c r="GP88" s="84">
        <f t="shared" ca="1" si="644"/>
        <v>74708.88</v>
      </c>
      <c r="GQ88" s="84">
        <f t="shared" ca="1" si="644"/>
        <v>74705.939999999988</v>
      </c>
      <c r="GR88" s="84">
        <f t="shared" ref="GR88:JC88" ca="1" si="645">SUM(GR67:GR87)</f>
        <v>75316.37</v>
      </c>
      <c r="GS88" s="84">
        <f t="shared" ca="1" si="645"/>
        <v>75841.459999999992</v>
      </c>
      <c r="GT88" s="84">
        <f t="shared" ca="1" si="645"/>
        <v>75228.53</v>
      </c>
      <c r="GU88" s="84">
        <f t="shared" ca="1" si="645"/>
        <v>76064.39</v>
      </c>
      <c r="GV88" s="84">
        <f t="shared" ca="1" si="645"/>
        <v>76943.079999999987</v>
      </c>
      <c r="GW88" s="84">
        <f t="shared" ca="1" si="645"/>
        <v>77864.84</v>
      </c>
      <c r="GX88" s="84">
        <f t="shared" ca="1" si="645"/>
        <v>79015.450000000012</v>
      </c>
      <c r="GY88" s="84">
        <f t="shared" ca="1" si="645"/>
        <v>78721.140000000014</v>
      </c>
      <c r="GZ88" s="84">
        <f t="shared" ca="1" si="645"/>
        <v>80046.350000000006</v>
      </c>
      <c r="HA88" s="84">
        <f t="shared" ca="1" si="645"/>
        <v>79709.930000000008</v>
      </c>
      <c r="HB88" s="84">
        <f t="shared" ca="1" si="645"/>
        <v>79087.189999999988</v>
      </c>
      <c r="HC88" s="84">
        <f t="shared" ca="1" si="645"/>
        <v>79455.890000000014</v>
      </c>
      <c r="HD88" s="84">
        <f t="shared" ca="1" si="645"/>
        <v>79471.460000000006</v>
      </c>
      <c r="HE88" s="84">
        <f t="shared" ca="1" si="645"/>
        <v>79481.78</v>
      </c>
      <c r="HF88" s="84">
        <f t="shared" ca="1" si="645"/>
        <v>78519.329999999987</v>
      </c>
      <c r="HG88" s="84">
        <f t="shared" ca="1" si="645"/>
        <v>78488.069999999992</v>
      </c>
      <c r="HH88" s="84">
        <f t="shared" ca="1" si="645"/>
        <v>78157.989999999991</v>
      </c>
      <c r="HI88" s="84">
        <f t="shared" ca="1" si="645"/>
        <v>77976.209999999992</v>
      </c>
      <c r="HJ88" s="84">
        <f t="shared" ca="1" si="645"/>
        <v>78140.28</v>
      </c>
      <c r="HK88" s="84">
        <f t="shared" ca="1" si="645"/>
        <v>78650.309999999983</v>
      </c>
      <c r="HL88" s="84">
        <f t="shared" ca="1" si="645"/>
        <v>78768.959999999992</v>
      </c>
      <c r="HM88" s="84">
        <f t="shared" ca="1" si="645"/>
        <v>78460.680000000022</v>
      </c>
      <c r="HN88" s="84">
        <f t="shared" ca="1" si="645"/>
        <v>78790.75</v>
      </c>
      <c r="HO88" s="84">
        <f t="shared" ca="1" si="645"/>
        <v>78451.05</v>
      </c>
      <c r="HP88" s="84">
        <f t="shared" ca="1" si="645"/>
        <v>77820.010000000009</v>
      </c>
      <c r="HQ88" s="84">
        <f t="shared" ca="1" si="645"/>
        <v>77915.56</v>
      </c>
      <c r="HR88" s="84">
        <f t="shared" ca="1" si="645"/>
        <v>77030.479999999981</v>
      </c>
      <c r="HS88" s="84">
        <f t="shared" ca="1" si="645"/>
        <v>76469.56</v>
      </c>
      <c r="HT88" s="84">
        <f t="shared" ca="1" si="645"/>
        <v>76713.399999999994</v>
      </c>
      <c r="HU88" s="84">
        <f t="shared" ca="1" si="645"/>
        <v>76717.710000000006</v>
      </c>
      <c r="HV88" s="84">
        <f t="shared" ca="1" si="645"/>
        <v>76200.89</v>
      </c>
      <c r="HW88" s="84">
        <f t="shared" ca="1" si="645"/>
        <v>75285.429999999993</v>
      </c>
      <c r="HX88" s="84">
        <f t="shared" ca="1" si="645"/>
        <v>75262.45</v>
      </c>
      <c r="HY88" s="84">
        <f t="shared" ca="1" si="645"/>
        <v>75485.539999999994</v>
      </c>
      <c r="HZ88" s="84">
        <f t="shared" ca="1" si="645"/>
        <v>74998.00999999998</v>
      </c>
      <c r="IA88" s="84">
        <f t="shared" ca="1" si="645"/>
        <v>73727.87999999999</v>
      </c>
      <c r="IB88" s="84">
        <f t="shared" ca="1" si="645"/>
        <v>73600.48000000001</v>
      </c>
      <c r="IC88" s="84">
        <f t="shared" ca="1" si="645"/>
        <v>72719.760000000009</v>
      </c>
      <c r="ID88" s="84">
        <f t="shared" ca="1" si="645"/>
        <v>73091.86</v>
      </c>
      <c r="IE88" s="84">
        <f t="shared" ca="1" si="645"/>
        <v>73029.56</v>
      </c>
      <c r="IF88" s="84">
        <f t="shared" ca="1" si="645"/>
        <v>73874.649999999994</v>
      </c>
      <c r="IG88" s="84">
        <f t="shared" ca="1" si="645"/>
        <v>73007.060000000012</v>
      </c>
      <c r="IH88" s="84">
        <f t="shared" ca="1" si="645"/>
        <v>72878.009999999995</v>
      </c>
      <c r="II88" s="84">
        <f t="shared" ca="1" si="645"/>
        <v>73068.5</v>
      </c>
      <c r="IJ88" s="84">
        <f t="shared" ca="1" si="645"/>
        <v>74094.44</v>
      </c>
      <c r="IK88" s="84">
        <f t="shared" ca="1" si="645"/>
        <v>74532.55</v>
      </c>
      <c r="IL88" s="84">
        <f t="shared" ca="1" si="645"/>
        <v>75140.44</v>
      </c>
      <c r="IM88" s="84">
        <f t="shared" ca="1" si="645"/>
        <v>75513.05</v>
      </c>
      <c r="IN88" s="84">
        <f t="shared" ca="1" si="645"/>
        <v>75016</v>
      </c>
      <c r="IO88" s="84">
        <f t="shared" ca="1" si="645"/>
        <v>76841.39</v>
      </c>
      <c r="IP88" s="84">
        <f t="shared" ca="1" si="645"/>
        <v>77734.44</v>
      </c>
      <c r="IQ88" s="84">
        <f t="shared" ca="1" si="645"/>
        <v>77075.459999999992</v>
      </c>
      <c r="IR88" s="84">
        <f t="shared" ca="1" si="645"/>
        <v>77359.31</v>
      </c>
      <c r="IS88" s="84">
        <f t="shared" ca="1" si="645"/>
        <v>77305.12000000001</v>
      </c>
      <c r="IT88" s="84">
        <f t="shared" ca="1" si="645"/>
        <v>77586.05</v>
      </c>
      <c r="IU88" s="84">
        <f t="shared" ca="1" si="645"/>
        <v>78325.16</v>
      </c>
      <c r="IV88" s="84">
        <f t="shared" ca="1" si="645"/>
        <v>78898.400000000009</v>
      </c>
      <c r="IW88" s="84">
        <f t="shared" ca="1" si="645"/>
        <v>78028.840000000011</v>
      </c>
      <c r="IX88" s="84">
        <f t="shared" si="645"/>
        <v>0</v>
      </c>
      <c r="IY88" s="84">
        <f t="shared" si="645"/>
        <v>0</v>
      </c>
      <c r="IZ88" s="84">
        <f t="shared" si="645"/>
        <v>0</v>
      </c>
      <c r="JA88" s="84">
        <f t="shared" si="645"/>
        <v>0</v>
      </c>
      <c r="JB88" s="84">
        <f t="shared" si="645"/>
        <v>0</v>
      </c>
      <c r="JC88" s="84">
        <f t="shared" si="645"/>
        <v>0</v>
      </c>
      <c r="JD88" s="84">
        <f t="shared" ref="JD88:JG88" si="646">SUM(JD67:JD87)</f>
        <v>0</v>
      </c>
      <c r="JE88" s="84">
        <f t="shared" si="646"/>
        <v>0</v>
      </c>
      <c r="JF88" s="84">
        <f t="shared" si="646"/>
        <v>0</v>
      </c>
      <c r="JG88" s="84">
        <f t="shared" si="646"/>
        <v>0</v>
      </c>
    </row>
    <row r="89" spans="2:267" ht="15.75" thickTop="1" x14ac:dyDescent="0.25"/>
  </sheetData>
  <sortState xmlns:xlrd2="http://schemas.microsoft.com/office/spreadsheetml/2017/richdata2" ref="B19:F87">
    <sortCondition ref="C19:C87"/>
  </sortState>
  <mergeCells count="10">
    <mergeCell ref="B3:E6"/>
    <mergeCell ref="G3:J6"/>
    <mergeCell ref="L3:O6"/>
    <mergeCell ref="Q3:T6"/>
    <mergeCell ref="V3:Y6"/>
    <mergeCell ref="B2:E2"/>
    <mergeCell ref="G2:J2"/>
    <mergeCell ref="L2:O2"/>
    <mergeCell ref="Q2:T2"/>
    <mergeCell ref="V2:Y2"/>
  </mergeCells>
  <dataValidations count="1">
    <dataValidation type="list" allowBlank="1" showInputMessage="1" showErrorMessage="1" sqref="C19:C52 C54:C58 C60:C65 C67:C87" xr:uid="{78229369-08DB-48A4-A10F-0FAED3A33387}">
      <formula1>Type_Compte</formula1>
    </dataValidation>
  </dataValidation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F434A3A1-7E87-496A-9876-40ABC652ED83}">
          <x14:colorSeries rgb="FF376092"/>
          <x14:colorNegative rgb="FFD00000"/>
          <x14:colorAxis rgb="FF000000"/>
          <x14:colorMarkers rgb="FFD00000"/>
          <x14:colorFirst rgb="FFD00000"/>
          <x14:colorLast rgb="FFD00000"/>
          <x14:colorHigh rgb="FFD00000"/>
          <x14:colorLow rgb="FFD00000"/>
          <x14:sparklines>
            <x14:sparkline>
              <xm:f>Performance!G11:NG11</xm:f>
              <xm:sqref>B3</xm:sqref>
            </x14:sparkline>
          </x14:sparklines>
        </x14:sparklineGroup>
        <x14:sparklineGroup displayEmptyCellsAs="gap" xr2:uid="{31D92DC8-B2A7-4442-9B97-90EC4C3CF0AA}">
          <x14:colorSeries rgb="FF376092"/>
          <x14:colorNegative rgb="FFD00000"/>
          <x14:colorAxis rgb="FF000000"/>
          <x14:colorMarkers rgb="FFD00000"/>
          <x14:colorFirst rgb="FFD00000"/>
          <x14:colorLast rgb="FFD00000"/>
          <x14:colorHigh rgb="FFD00000"/>
          <x14:colorLow rgb="FFD00000"/>
          <x14:sparklines>
            <x14:sparkline>
              <xm:f>Performance!G12:NG12</xm:f>
              <xm:sqref>G3</xm:sqref>
            </x14:sparkline>
          </x14:sparklines>
        </x14:sparklineGroup>
        <x14:sparklineGroup displayEmptyCellsAs="gap" xr2:uid="{16B9AC37-FEF1-4CE8-81F9-03CF60B84826}">
          <x14:colorSeries rgb="FF376092"/>
          <x14:colorNegative rgb="FFD00000"/>
          <x14:colorAxis rgb="FF000000"/>
          <x14:colorMarkers rgb="FFD00000"/>
          <x14:colorFirst rgb="FFD00000"/>
          <x14:colorLast rgb="FFD00000"/>
          <x14:colorHigh rgb="FFD00000"/>
          <x14:colorLow rgb="FFD00000"/>
          <x14:sparklines>
            <x14:sparkline>
              <xm:f>Performance!G13:NG13</xm:f>
              <xm:sqref>L3</xm:sqref>
            </x14:sparkline>
          </x14:sparklines>
        </x14:sparklineGroup>
        <x14:sparklineGroup displayEmptyCellsAs="gap" xr2:uid="{B79A6EC7-D873-4C6B-86FC-CFFE4E1A3987}">
          <x14:colorSeries rgb="FF376092"/>
          <x14:colorNegative rgb="FFD00000"/>
          <x14:colorAxis rgb="FF000000"/>
          <x14:colorMarkers rgb="FFD00000"/>
          <x14:colorFirst rgb="FFD00000"/>
          <x14:colorLast rgb="FFD00000"/>
          <x14:colorHigh rgb="FFD00000"/>
          <x14:colorLow rgb="FFD00000"/>
          <x14:sparklines>
            <x14:sparkline>
              <xm:f>Performance!G14:NG14</xm:f>
              <xm:sqref>Q3</xm:sqref>
            </x14:sparkline>
          </x14:sparklines>
        </x14:sparklineGroup>
        <x14:sparklineGroup displayEmptyCellsAs="gap" xr2:uid="{CAB6381A-6965-49A4-ABF4-278AEAB012D9}">
          <x14:colorSeries rgb="FF376092"/>
          <x14:colorNegative rgb="FFD00000"/>
          <x14:colorAxis rgb="FF000000"/>
          <x14:colorMarkers rgb="FFD00000"/>
          <x14:colorFirst rgb="FFD00000"/>
          <x14:colorLast rgb="FFD00000"/>
          <x14:colorHigh rgb="FFD00000"/>
          <x14:colorLow rgb="FFD00000"/>
          <x14:sparklines>
            <x14:sparkline>
              <xm:f>Performance!G15:NG15</xm:f>
              <xm:sqref>V3</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A3DEF-BE8F-4864-9D04-0BADDD2926B4}">
  <sheetPr codeName="Feuil9">
    <tabColor theme="3"/>
  </sheetPr>
  <dimension ref="B1:T14"/>
  <sheetViews>
    <sheetView workbookViewId="0">
      <selection activeCell="R13" sqref="R13"/>
    </sheetView>
  </sheetViews>
  <sheetFormatPr baseColWidth="10" defaultColWidth="11.42578125" defaultRowHeight="15" x14ac:dyDescent="0.25"/>
  <cols>
    <col min="1" max="1" width="1.85546875" customWidth="1"/>
    <col min="2" max="2" width="31" customWidth="1"/>
    <col min="3" max="3" width="10.7109375" customWidth="1"/>
    <col min="4" max="4" width="6.85546875" customWidth="1"/>
    <col min="5" max="5" width="10.7109375" customWidth="1"/>
    <col min="6" max="6" width="12.42578125" customWidth="1"/>
    <col min="7" max="7" width="11.85546875" customWidth="1"/>
    <col min="8" max="8" width="10.7109375" customWidth="1"/>
    <col min="9" max="10" width="11.85546875" customWidth="1"/>
    <col min="11" max="12" width="10.7109375" customWidth="1"/>
    <col min="13" max="13" width="11.85546875" customWidth="1"/>
    <col min="14" max="14" width="12.5703125" customWidth="1"/>
    <col min="15" max="15" width="11.28515625" customWidth="1"/>
    <col min="16" max="16" width="10.7109375" customWidth="1"/>
    <col min="17" max="17" width="10" customWidth="1"/>
    <col min="18" max="18" width="10.7109375" customWidth="1"/>
    <col min="19" max="19" width="11.85546875" customWidth="1"/>
    <col min="20" max="20" width="14" customWidth="1"/>
    <col min="21" max="22" width="10.7109375" customWidth="1"/>
    <col min="23" max="24" width="8.42578125" customWidth="1"/>
    <col min="25" max="25" width="10.7109375" customWidth="1"/>
    <col min="26" max="26" width="8" customWidth="1"/>
    <col min="27" max="27" width="9.5703125" bestFit="1" customWidth="1"/>
    <col min="28" max="28" width="11" bestFit="1" customWidth="1"/>
  </cols>
  <sheetData>
    <row r="1" spans="2:20" ht="22.5" x14ac:dyDescent="0.3">
      <c r="B1" s="31" t="s">
        <v>115</v>
      </c>
      <c r="C1" s="31"/>
    </row>
    <row r="2" spans="2:20" x14ac:dyDescent="0.25">
      <c r="P2" t="s">
        <v>32</v>
      </c>
      <c r="Q2" t="s">
        <v>33</v>
      </c>
    </row>
    <row r="3" spans="2:20" x14ac:dyDescent="0.25">
      <c r="B3" t="s">
        <v>100</v>
      </c>
      <c r="F3" s="24">
        <v>110000</v>
      </c>
      <c r="I3" t="s">
        <v>123</v>
      </c>
      <c r="K3" s="39">
        <f>Tableau410[[#Totals],[Montant - achat (USD)]]</f>
        <v>22277.730599999999</v>
      </c>
      <c r="O3" s="5" t="s">
        <v>114</v>
      </c>
      <c r="P3" s="16">
        <v>6.4500000000000002E-2</v>
      </c>
      <c r="Q3" s="16">
        <v>0.08</v>
      </c>
    </row>
    <row r="4" spans="2:20" x14ac:dyDescent="0.25">
      <c r="B4" t="s">
        <v>102</v>
      </c>
      <c r="F4" s="24">
        <f>G4*F3</f>
        <v>71500</v>
      </c>
      <c r="G4" s="6">
        <v>0.65</v>
      </c>
      <c r="I4" t="s">
        <v>124</v>
      </c>
      <c r="K4" s="39">
        <f>F5-K3</f>
        <v>13472.269400000001</v>
      </c>
      <c r="N4" t="s">
        <v>110</v>
      </c>
      <c r="O4" t="s">
        <v>111</v>
      </c>
      <c r="P4" s="11">
        <f>P3+1.25%</f>
        <v>7.6999999999999999E-2</v>
      </c>
      <c r="Q4" s="34">
        <f>Q3+1.25%</f>
        <v>9.2499999999999999E-2</v>
      </c>
    </row>
    <row r="5" spans="2:20" x14ac:dyDescent="0.25">
      <c r="B5" t="s">
        <v>101</v>
      </c>
      <c r="F5" s="24">
        <f>G5*F4</f>
        <v>35750</v>
      </c>
      <c r="G5" s="6">
        <v>0.5</v>
      </c>
      <c r="O5" t="s">
        <v>112</v>
      </c>
      <c r="P5" s="11">
        <f>P3+0.5%</f>
        <v>6.9500000000000006E-2</v>
      </c>
      <c r="Q5" s="34">
        <f>Q3+0.5%</f>
        <v>8.5000000000000006E-2</v>
      </c>
    </row>
    <row r="6" spans="2:20" x14ac:dyDescent="0.25">
      <c r="B6" t="s">
        <v>103</v>
      </c>
      <c r="F6" s="24">
        <f>G6*F5</f>
        <v>23237.5</v>
      </c>
      <c r="G6" s="6">
        <v>0.65</v>
      </c>
      <c r="O6" t="s">
        <v>113</v>
      </c>
      <c r="P6" s="11">
        <f>P3</f>
        <v>6.4500000000000002E-2</v>
      </c>
      <c r="Q6" s="34">
        <f>Q3</f>
        <v>0.08</v>
      </c>
    </row>
    <row r="8" spans="2:20" x14ac:dyDescent="0.25">
      <c r="F8" s="188" t="s">
        <v>186</v>
      </c>
      <c r="G8" s="188"/>
      <c r="H8" s="188"/>
      <c r="I8" s="188"/>
      <c r="J8" s="188"/>
      <c r="K8" s="184" t="s">
        <v>187</v>
      </c>
      <c r="L8" s="184"/>
      <c r="M8" s="184"/>
      <c r="N8" s="184"/>
      <c r="O8" s="184"/>
      <c r="P8" s="184"/>
      <c r="Q8" s="184"/>
      <c r="R8" t="s">
        <v>269</v>
      </c>
    </row>
    <row r="9" spans="2:20" s="8" customFormat="1" ht="60" customHeight="1" x14ac:dyDescent="0.25">
      <c r="B9" s="82" t="s">
        <v>8</v>
      </c>
      <c r="C9" s="82" t="s">
        <v>1</v>
      </c>
      <c r="D9" s="82" t="s">
        <v>155</v>
      </c>
      <c r="E9" s="82" t="s">
        <v>7</v>
      </c>
      <c r="F9" s="80" t="s">
        <v>85</v>
      </c>
      <c r="G9" s="80" t="s">
        <v>84</v>
      </c>
      <c r="H9" s="80" t="s">
        <v>87</v>
      </c>
      <c r="I9" s="80" t="s">
        <v>83</v>
      </c>
      <c r="J9" s="80" t="s">
        <v>82</v>
      </c>
      <c r="K9" s="81" t="s">
        <v>86</v>
      </c>
      <c r="L9" s="81" t="s">
        <v>188</v>
      </c>
      <c r="M9" s="81" t="s">
        <v>190</v>
      </c>
      <c r="N9" s="81" t="s">
        <v>189</v>
      </c>
      <c r="O9" s="81" t="s">
        <v>193</v>
      </c>
      <c r="P9" s="81" t="s">
        <v>191</v>
      </c>
      <c r="Q9" s="81" t="s">
        <v>88</v>
      </c>
      <c r="R9" s="8" t="s">
        <v>272</v>
      </c>
      <c r="S9" s="8" t="s">
        <v>273</v>
      </c>
      <c r="T9" s="8" t="s">
        <v>274</v>
      </c>
    </row>
    <row r="10" spans="2:20" x14ac:dyDescent="0.25">
      <c r="B10" t="e" vm="566">
        <v>#VALUE!</v>
      </c>
      <c r="C10" s="12" t="str" cm="1">
        <f t="array" aca="1" ref="C10" ca="1">_FV(Tableau410[[#This Row],[Action]],"Code mnémonique",TRUE)</f>
        <v>VFC</v>
      </c>
      <c r="D10" s="12" t="str" cm="1">
        <f t="array" aca="1" ref="D10" ca="1">_FV(Tableau410[[#This Row],[Action]],"Devise")</f>
        <v>USD</v>
      </c>
      <c r="E10" s="12">
        <v>170</v>
      </c>
      <c r="F10" s="49">
        <v>30.8874</v>
      </c>
      <c r="G10" s="49">
        <f>Tableau410[[#This Row],[Nb]]*Tableau410[[#This Row],[Prix - achat (USD)]]</f>
        <v>5250.8580000000002</v>
      </c>
      <c r="H10" s="77">
        <v>1.339</v>
      </c>
      <c r="I10" s="49">
        <f>Tableau410[[#This Row],[Taux de change - achat]]*Tableau410[[#This Row],[Prix - achat (USD)]]</f>
        <v>41.358228599999997</v>
      </c>
      <c r="J10" s="49">
        <f>Tableau410[[#This Row],[Prix - achat (CAD)]]*Tableau410[[#This Row],[Nb]]</f>
        <v>7030.8988619999991</v>
      </c>
      <c r="K10" s="49">
        <v>61</v>
      </c>
      <c r="L10" s="49" cm="1">
        <f t="array" aca="1" ref="L10" ca="1">_FV(Tableau410[[#This Row],[Action]],"Prix")</f>
        <v>21.47</v>
      </c>
      <c r="M10" s="49" cm="1">
        <f t="array" aca="1" ref="M10" ca="1">(_FV(Tableau410[[#This Row],[Action]],"Prix")-_FV(Tableau410[[#This Row],[Action]],"Clôture précédente",TRUE))*Tableau410[[#This Row],[Nb]]</f>
        <v>-5.1000000000001933</v>
      </c>
      <c r="N10" s="40">
        <f ca="1">Tableau410[[#This Row],[Prix actuel (USD)]]/Tableau410[[#This Row],[Cible - vente (USD)]]</f>
        <v>0.3519672131147541</v>
      </c>
      <c r="O10" s="41">
        <f ca="1">(Tableau410[[#This Row],[Prix actuel (USD)]]-Tableau410[[#This Row],[Prix - achat (USD)]])*Tableau410[[#This Row],[Nb]]</f>
        <v>-1600.9580000000001</v>
      </c>
      <c r="P10" s="79">
        <f ca="1">Ressources!$I$3</f>
        <v>1.3660000000000001</v>
      </c>
      <c r="Q10" s="29">
        <f ca="1">Tableau410[[#This Row],[Cible - vente (USD)]]*Tableau410[[#This Row],[Taux de change - actuel]]</f>
        <v>83.326000000000008</v>
      </c>
      <c r="R10" s="1">
        <v>12.72</v>
      </c>
      <c r="S10" s="2">
        <f>Tableau410[[#This Row],[Prix de vente
(CAD)]]*Tableau410[[#This Row],[Nb]]</f>
        <v>2162.4</v>
      </c>
      <c r="T10" s="2">
        <f>IF(Tableau410[[#This Row],[Vente total
(CAD)]]=0,"",Tableau410[[#This Row],[Vente total
(CAD)]]-Tableau410[[#This Row],[Montant - achat (CAD)]])</f>
        <v>-4868.4988619999986</v>
      </c>
    </row>
    <row r="11" spans="2:20" x14ac:dyDescent="0.25">
      <c r="B11" t="e" vm="551">
        <v>#VALUE!</v>
      </c>
      <c r="C11" s="12" t="str" cm="1">
        <f t="array" aca="1" ref="C11" ca="1">_FV(Tableau410[[#This Row],[Action]],"Code mnémonique",TRUE)</f>
        <v>PII</v>
      </c>
      <c r="D11" s="12" t="str" cm="1">
        <f t="array" aca="1" ref="D11" ca="1">_FV(Tableau410[[#This Row],[Action]],"Devise")</f>
        <v>USD</v>
      </c>
      <c r="E11" s="12">
        <v>50</v>
      </c>
      <c r="F11" s="49">
        <v>106.74167199999999</v>
      </c>
      <c r="G11" s="49">
        <f>Tableau410[[#This Row],[Nb]]*Tableau410[[#This Row],[Prix - achat (USD)]]</f>
        <v>5337.0835999999999</v>
      </c>
      <c r="H11" s="77">
        <v>1.339</v>
      </c>
      <c r="I11" s="49">
        <f>Tableau410[[#This Row],[Taux de change - achat]]*Tableau410[[#This Row],[Prix - achat (USD)]]</f>
        <v>142.92709880799998</v>
      </c>
      <c r="J11" s="49">
        <f>Tableau410[[#This Row],[Prix - achat (CAD)]]*Tableau410[[#This Row],[Nb]]</f>
        <v>7146.3549403999987</v>
      </c>
      <c r="K11" s="49">
        <v>175</v>
      </c>
      <c r="L11" s="49" cm="1">
        <f t="array" aca="1" ref="L11" ca="1">_FV(Tableau410[[#This Row],[Action]],"Prix")</f>
        <v>61.41</v>
      </c>
      <c r="M11" s="49" cm="1">
        <f t="array" aca="1" ref="M11" ca="1">(_FV(Tableau410[[#This Row],[Action]],"Prix")-_FV(Tableau410[[#This Row],[Action]],"Clôture précédente",TRUE))*Tableau410[[#This Row],[Nb]]</f>
        <v>36.499999999999844</v>
      </c>
      <c r="N11" s="40">
        <f ca="1">Tableau410[[#This Row],[Prix actuel (USD)]]/Tableau410[[#This Row],[Cible - vente (USD)]]</f>
        <v>0.35091428571428568</v>
      </c>
      <c r="O11" s="41">
        <f ca="1">(Tableau410[[#This Row],[Prix actuel (USD)]]-Tableau410[[#This Row],[Prix - achat (USD)]])*Tableau410[[#This Row],[Nb]]</f>
        <v>-2266.5835999999999</v>
      </c>
      <c r="P11" s="79">
        <f ca="1">Ressources!$I$3</f>
        <v>1.3660000000000001</v>
      </c>
      <c r="Q11" s="29">
        <f ca="1">Tableau410[[#This Row],[Cible - vente (USD)]]*Tableau410[[#This Row],[Taux de change - actuel]]</f>
        <v>239.05</v>
      </c>
      <c r="R11" s="1">
        <v>94.91</v>
      </c>
      <c r="S11" s="2">
        <f>Tableau410[[#This Row],[Prix de vente
(CAD)]]*Tableau410[[#This Row],[Nb]]</f>
        <v>4745.5</v>
      </c>
      <c r="T11" s="2">
        <f>IF(Tableau410[[#This Row],[Vente total
(CAD)]]=0,"",Tableau410[[#This Row],[Vente total
(CAD)]]-Tableau410[[#This Row],[Montant - achat (CAD)]])</f>
        <v>-2400.8549403999987</v>
      </c>
    </row>
    <row r="12" spans="2:20" x14ac:dyDescent="0.25">
      <c r="B12" t="e" vm="521">
        <v>#VALUE!</v>
      </c>
      <c r="C12" s="12" t="str" cm="1">
        <f t="array" aca="1" ref="C12" ca="1">_FV(Tableau410[[#This Row],[Action]],"Code mnémonique",TRUE)</f>
        <v>CMP</v>
      </c>
      <c r="D12" s="12" t="str" cm="1">
        <f t="array" aca="1" ref="D12" ca="1">_FV(Tableau410[[#This Row],[Action]],"Devise")</f>
        <v>USD</v>
      </c>
      <c r="E12" s="12">
        <v>110</v>
      </c>
      <c r="F12" s="49">
        <v>46.479900000000001</v>
      </c>
      <c r="G12" s="49">
        <f>Tableau410[[#This Row],[Nb]]*Tableau410[[#This Row],[Prix - achat (USD)]]</f>
        <v>5112.7889999999998</v>
      </c>
      <c r="H12" s="77">
        <v>1.339</v>
      </c>
      <c r="I12" s="49">
        <f>Tableau410[[#This Row],[Taux de change - achat]]*Tableau410[[#This Row],[Prix - achat (USD)]]</f>
        <v>62.236586099999997</v>
      </c>
      <c r="J12" s="49">
        <f>Tableau410[[#This Row],[Prix - achat (CAD)]]*Tableau410[[#This Row],[Nb]]</f>
        <v>6846.0244709999997</v>
      </c>
      <c r="K12" s="49">
        <v>80</v>
      </c>
      <c r="L12" s="49" cm="1">
        <f t="array" aca="1" ref="L12" ca="1">_FV(Tableau410[[#This Row],[Action]],"Prix")</f>
        <v>25.55</v>
      </c>
      <c r="M12" s="49" cm="1">
        <f t="array" aca="1" ref="M12" ca="1">(_FV(Tableau410[[#This Row],[Action]],"Prix")-_FV(Tableau410[[#This Row],[Action]],"Clôture précédente",TRUE))*Tableau410[[#This Row],[Nb]]</f>
        <v>4.3999999999999062</v>
      </c>
      <c r="N12" s="40">
        <f ca="1">Tableau410[[#This Row],[Prix actuel (USD)]]/Tableau410[[#This Row],[Cible - vente (USD)]]</f>
        <v>0.31937500000000002</v>
      </c>
      <c r="O12" s="41">
        <f ca="1">(Tableau410[[#This Row],[Prix actuel (USD)]]-Tableau410[[#This Row],[Prix - achat (USD)]])*Tableau410[[#This Row],[Nb]]</f>
        <v>-2302.2890000000002</v>
      </c>
      <c r="P12" s="79">
        <f ca="1">Ressources!$I$3</f>
        <v>1.3660000000000001</v>
      </c>
      <c r="Q12" s="29">
        <f ca="1">Tableau410[[#This Row],[Cible - vente (USD)]]*Tableau410[[#This Row],[Taux de change - actuel]]</f>
        <v>109.28</v>
      </c>
      <c r="R12" s="1">
        <v>13.1302</v>
      </c>
      <c r="S12" s="2">
        <f>Tableau410[[#This Row],[Prix de vente
(CAD)]]*Tableau410[[#This Row],[Nb]]</f>
        <v>1444.3220000000001</v>
      </c>
      <c r="T12" s="2">
        <f>IF(Tableau410[[#This Row],[Vente total
(CAD)]]=0,"",Tableau410[[#This Row],[Vente total
(CAD)]]-Tableau410[[#This Row],[Montant - achat (CAD)]])</f>
        <v>-5401.7024709999996</v>
      </c>
    </row>
    <row r="13" spans="2:20" x14ac:dyDescent="0.25">
      <c r="B13" t="e" vm="554">
        <v>#VALUE!</v>
      </c>
      <c r="C13" s="12" t="str" cm="1">
        <f t="array" aca="1" ref="C13" ca="1">_FV(Tableau410[[#This Row],[Action]],"Code mnémonique",TRUE)</f>
        <v>O</v>
      </c>
      <c r="D13" s="12" t="str" cm="1">
        <f t="array" aca="1" ref="D13" ca="1">_FV(Tableau410[[#This Row],[Action]],"Devise")</f>
        <v>USD</v>
      </c>
      <c r="E13" s="12">
        <v>100</v>
      </c>
      <c r="F13" s="49">
        <v>65.77</v>
      </c>
      <c r="G13" s="49">
        <f>Tableau410[[#This Row],[Nb]]*Tableau410[[#This Row],[Prix - achat (USD)]]</f>
        <v>6577</v>
      </c>
      <c r="H13" s="77">
        <v>1.339</v>
      </c>
      <c r="I13" s="49">
        <f>Tableau410[[#This Row],[Taux de change - achat]]*Tableau410[[#This Row],[Prix - achat (USD)]]</f>
        <v>88.066029999999998</v>
      </c>
      <c r="J13" s="49">
        <f>Tableau410[[#This Row],[Prix - achat (CAD)]]*Tableau410[[#This Row],[Nb]]</f>
        <v>8806.6029999999992</v>
      </c>
      <c r="K13" s="49">
        <v>76</v>
      </c>
      <c r="L13" s="49" cm="1">
        <f t="array" aca="1" ref="L13" ca="1">_FV(Tableau410[[#This Row],[Action]],"Prix")</f>
        <v>64.040000000000006</v>
      </c>
      <c r="M13" s="49" cm="1">
        <f t="array" aca="1" ref="M13" ca="1">(_FV(Tableau410[[#This Row],[Action]],"Prix")-_FV(Tableau410[[#This Row],[Action]],"Clôture précédente",TRUE))*Tableau410[[#This Row],[Nb]]</f>
        <v>-87.999999999999545</v>
      </c>
      <c r="N13" s="40">
        <f ca="1">Tableau410[[#This Row],[Prix actuel (USD)]]/Tableau410[[#This Row],[Cible - vente (USD)]]</f>
        <v>0.84263157894736851</v>
      </c>
      <c r="O13" s="41">
        <f ca="1">(Tableau410[[#This Row],[Prix actuel (USD)]]-Tableau410[[#This Row],[Prix - achat (USD)]])*Tableau410[[#This Row],[Nb]]</f>
        <v>-172.99999999999898</v>
      </c>
      <c r="P13" s="79">
        <f ca="1">Ressources!$I$3</f>
        <v>1.3660000000000001</v>
      </c>
      <c r="Q13" s="49">
        <f ca="1">Tableau410[[#This Row],[Cible - vente (USD)]]*Tableau410[[#This Row],[Taux de change - actuel]]</f>
        <v>103.816</v>
      </c>
      <c r="R13" s="1"/>
      <c r="S13" s="2">
        <f>Tableau410[[#This Row],[Prix de vente
(CAD)]]*Tableau410[[#This Row],[Nb]]</f>
        <v>0</v>
      </c>
      <c r="T13" s="2" t="str">
        <f>IF(Tableau410[[#This Row],[Vente total
(CAD)]]=0,"",Tableau410[[#This Row],[Vente total
(CAD)]]-Tableau410[[#This Row],[Montant - achat (CAD)]])</f>
        <v/>
      </c>
    </row>
    <row r="14" spans="2:20" x14ac:dyDescent="0.25">
      <c r="B14" t="s">
        <v>12</v>
      </c>
      <c r="G14" s="2">
        <f>SUBTOTAL(109,Tableau410[Montant - achat (USD)])</f>
        <v>22277.730599999999</v>
      </c>
      <c r="J14" s="2">
        <f>SUBTOTAL(109,Tableau410[Montant - achat (CAD)])</f>
        <v>29829.881273399998</v>
      </c>
      <c r="M14" s="38"/>
      <c r="O14" s="38">
        <f ca="1">SUBTOTAL(109,Tableau410[Profit actuel (USD)])</f>
        <v>-6342.8305999999993</v>
      </c>
      <c r="T14" s="2">
        <f>SUBTOTAL(109,Tableau410[Profit réel
(CAD)])</f>
        <v>-12671.056273399998</v>
      </c>
    </row>
  </sheetData>
  <mergeCells count="2">
    <mergeCell ref="F8:J8"/>
    <mergeCell ref="K8:Q8"/>
  </mergeCells>
  <phoneticPr fontId="5" type="noConversion"/>
  <conditionalFormatting sqref="K4">
    <cfRule type="cellIs" dxfId="1" priority="1" operator="lessThan">
      <formula>0</formula>
    </cfRule>
    <cfRule type="cellIs" dxfId="0" priority="2" operator="greaterThan">
      <formula>0</formula>
    </cfRule>
  </conditionalFormatting>
  <pageMargins left="0.7" right="0.7" top="0.75" bottom="0.75" header="0.3" footer="0.3"/>
  <pageSetup orientation="portrait"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1A960-DAF9-4C1C-A475-9C3B009AC0D9}">
  <sheetPr codeName="Feuil10">
    <tabColor theme="3"/>
  </sheetPr>
  <dimension ref="B1:O20"/>
  <sheetViews>
    <sheetView workbookViewId="0">
      <selection activeCell="I1" sqref="I1"/>
    </sheetView>
  </sheetViews>
  <sheetFormatPr baseColWidth="10" defaultColWidth="11.42578125" defaultRowHeight="15" x14ac:dyDescent="0.25"/>
  <cols>
    <col min="1" max="1" width="3.42578125" customWidth="1"/>
    <col min="2" max="2" width="9.28515625" customWidth="1"/>
    <col min="3" max="3" width="10.42578125" customWidth="1"/>
    <col min="4" max="4" width="40.140625" customWidth="1"/>
    <col min="5" max="5" width="19.42578125" bestFit="1" customWidth="1"/>
    <col min="6" max="6" width="31.140625" bestFit="1" customWidth="1"/>
    <col min="9" max="11" width="10.140625" customWidth="1"/>
    <col min="12" max="12" width="9.85546875" customWidth="1"/>
    <col min="15" max="15" width="58.5703125" customWidth="1"/>
  </cols>
  <sheetData>
    <row r="1" spans="2:15" ht="22.5" x14ac:dyDescent="0.3">
      <c r="B1" s="31" t="s">
        <v>107</v>
      </c>
    </row>
    <row r="2" spans="2:15" x14ac:dyDescent="0.25">
      <c r="B2" s="96">
        <v>1</v>
      </c>
      <c r="C2" s="96" t="s">
        <v>249</v>
      </c>
    </row>
    <row r="3" spans="2:15" x14ac:dyDescent="0.25">
      <c r="B3" s="96">
        <v>2</v>
      </c>
      <c r="C3" s="96" t="s">
        <v>251</v>
      </c>
    </row>
    <row r="4" spans="2:15" x14ac:dyDescent="0.25">
      <c r="B4" s="96">
        <v>3</v>
      </c>
      <c r="C4" s="96" t="s">
        <v>250</v>
      </c>
    </row>
    <row r="5" spans="2:15" x14ac:dyDescent="0.25">
      <c r="O5" s="96" t="s">
        <v>253</v>
      </c>
    </row>
    <row r="6" spans="2:15" x14ac:dyDescent="0.25">
      <c r="B6" t="s">
        <v>26</v>
      </c>
      <c r="C6" t="s">
        <v>1</v>
      </c>
      <c r="D6" t="s">
        <v>2</v>
      </c>
      <c r="E6" t="s">
        <v>106</v>
      </c>
      <c r="F6" t="s">
        <v>79</v>
      </c>
      <c r="G6" t="s">
        <v>89</v>
      </c>
      <c r="H6" t="s">
        <v>90</v>
      </c>
      <c r="I6" t="s">
        <v>60</v>
      </c>
      <c r="J6" t="s">
        <v>104</v>
      </c>
      <c r="K6" t="s">
        <v>99</v>
      </c>
      <c r="L6" t="s">
        <v>105</v>
      </c>
      <c r="M6" t="s">
        <v>108</v>
      </c>
      <c r="N6" t="s">
        <v>109</v>
      </c>
      <c r="O6" t="s">
        <v>98</v>
      </c>
    </row>
    <row r="7" spans="2:15" x14ac:dyDescent="0.25">
      <c r="B7" s="19" t="str" cm="1">
        <f t="array" aca="1" ref="B7" ca="1">_FV(Tableau5[[#This Row],[Symbole]],"Devise")</f>
        <v>USD</v>
      </c>
      <c r="C7" s="19" t="e" vm="566">
        <v>#VALUE!</v>
      </c>
      <c r="D7" s="19" t="str" cm="1">
        <f t="array" aca="1" ref="D7" ca="1">_FV(Tableau5[[#This Row],[Symbole]],"Nom")</f>
        <v>V.F. CORPORATION</v>
      </c>
      <c r="E7" s="19" t="s">
        <v>91</v>
      </c>
      <c r="F7" s="19" t="s">
        <v>81</v>
      </c>
      <c r="G7" s="19" t="s">
        <v>92</v>
      </c>
      <c r="H7" s="19" t="s">
        <v>97</v>
      </c>
      <c r="I7" s="32" cm="1">
        <f t="array" aca="1" ref="I7" ca="1">_FV(Tableau5[[#This Row],[Symbole]],"Prix")</f>
        <v>21.47</v>
      </c>
      <c r="J7" s="32">
        <v>60</v>
      </c>
      <c r="K7" s="33">
        <f ca="1">Tableau5[[#This Row],[Prix]]/Tableau5[[#This Row],[FVE]]</f>
        <v>0.35783333333333334</v>
      </c>
      <c r="L7" s="33" t="str">
        <f ca="1">IF(Tableau5[[#This Row],[P / FVE]]&lt;0.45,"Or",IF(Tableau5[[#This Row],[P / FVE]]&lt;0.55,"Argent",IF(Tableau5[[#This Row],[P / FVE]]&lt;0.65,"Bronze",IF(Tableau5[[#This Row],[P / FVE]]&lt;0.75,"Fer","Plomb"))))</f>
        <v>Or</v>
      </c>
      <c r="M7" s="33">
        <v>7.89</v>
      </c>
      <c r="N7" s="35">
        <v>5.91E-2</v>
      </c>
      <c r="O7" s="7" t="s">
        <v>244</v>
      </c>
    </row>
    <row r="8" spans="2:15" x14ac:dyDescent="0.25">
      <c r="B8" s="19" t="str" cm="1">
        <f t="array" aca="1" ref="B8" ca="1">_FV(Tableau5[[#This Row],[Symbole]],"Devise")</f>
        <v>USD</v>
      </c>
      <c r="C8" s="19" t="e" vm="1911">
        <v>#VALUE!</v>
      </c>
      <c r="D8" s="19" t="str" cm="1">
        <f t="array" aca="1" ref="D8" ca="1">_FV(Tableau5[[#This Row],[Symbole]],"Nom")</f>
        <v>JD.COM, INC.</v>
      </c>
      <c r="E8" s="19" t="s">
        <v>95</v>
      </c>
      <c r="F8" s="19" t="s">
        <v>81</v>
      </c>
      <c r="G8" s="19" t="s">
        <v>92</v>
      </c>
      <c r="H8" s="19" t="s">
        <v>93</v>
      </c>
      <c r="I8" s="32" cm="1">
        <f t="array" aca="1" ref="I8" ca="1">_FV(Tableau5[[#This Row],[Symbole]],"Prix")</f>
        <v>30.52</v>
      </c>
      <c r="J8" s="32">
        <v>90</v>
      </c>
      <c r="K8" s="33">
        <f ca="1">Tableau5[[#This Row],[Prix]]/Tableau5[[#This Row],[FVE]]</f>
        <v>0.33911111111111109</v>
      </c>
      <c r="L8" s="33" t="str">
        <f ca="1">IF(Tableau5[[#This Row],[P / FVE]]&lt;0.45,"Or",IF(Tableau5[[#This Row],[P / FVE]]&lt;0.55,"Argent",IF(Tableau5[[#This Row],[P / FVE]]&lt;0.65,"Bronze",IF(Tableau5[[#This Row],[P / FVE]]&lt;0.75,"Fer","Plomb"))))</f>
        <v>Or</v>
      </c>
      <c r="M8" s="33">
        <v>63.19</v>
      </c>
      <c r="N8" s="35">
        <v>1.54E-2</v>
      </c>
      <c r="O8" s="7"/>
    </row>
    <row r="9" spans="2:15" x14ac:dyDescent="0.25">
      <c r="B9" s="19" t="str" cm="1">
        <f t="array" aca="1" ref="B9" ca="1">_FV(Tableau5[[#This Row],[Symbole]],"Devise")</f>
        <v>USD</v>
      </c>
      <c r="C9" s="19" t="e" vm="1912">
        <v>#VALUE!</v>
      </c>
      <c r="D9" s="19" t="str" cm="1">
        <f t="array" aca="1" ref="D9" ca="1">_FV(Tableau5[[#This Row],[Symbole]],"Nom")</f>
        <v>Televisa</v>
      </c>
      <c r="E9" s="19" t="s">
        <v>95</v>
      </c>
      <c r="F9" s="19" t="s">
        <v>242</v>
      </c>
      <c r="G9" s="19" t="s">
        <v>92</v>
      </c>
      <c r="H9" s="19" t="s">
        <v>97</v>
      </c>
      <c r="I9" s="32" cm="1">
        <f t="array" aca="1" ref="I9" ca="1">_FV(Tableau5[[#This Row],[Symbole]],"Prix")</f>
        <v>3.2149999999999999</v>
      </c>
      <c r="J9" s="32">
        <v>10</v>
      </c>
      <c r="K9" s="33">
        <f ca="1">Tableau5[[#This Row],[Prix]]/Tableau5[[#This Row],[FVE]]</f>
        <v>0.32150000000000001</v>
      </c>
      <c r="L9" s="33" t="str">
        <f ca="1">IF(Tableau5[[#This Row],[P / FVE]]&lt;0.45,"Or",IF(Tableau5[[#This Row],[P / FVE]]&lt;0.55,"Argent",IF(Tableau5[[#This Row],[P / FVE]]&lt;0.65,"Bronze",IF(Tableau5[[#This Row],[P / FVE]]&lt;0.75,"Fer","Plomb"))))</f>
        <v>Or</v>
      </c>
      <c r="M9" s="33">
        <v>2.65</v>
      </c>
      <c r="N9" s="35">
        <v>1.89E-2</v>
      </c>
      <c r="O9" s="7"/>
    </row>
    <row r="10" spans="2:15" x14ac:dyDescent="0.25">
      <c r="B10" s="19" t="str" cm="1">
        <f t="array" aca="1" ref="B10" ca="1">_FV(Tableau5[[#This Row],[Symbole]],"Devise")</f>
        <v>USD</v>
      </c>
      <c r="C10" s="19" t="e" vm="521">
        <v>#VALUE!</v>
      </c>
      <c r="D10" s="19" t="str" cm="1">
        <f t="array" aca="1" ref="D10" ca="1">_FV(Tableau5[[#This Row],[Symbole]],"Nom")</f>
        <v>Compass Min Intl</v>
      </c>
      <c r="E10" s="19" t="s">
        <v>96</v>
      </c>
      <c r="F10" s="19" t="s">
        <v>243</v>
      </c>
      <c r="G10" s="19" t="s">
        <v>252</v>
      </c>
      <c r="H10" s="19" t="s">
        <v>93</v>
      </c>
      <c r="I10" s="32" cm="1">
        <f t="array" aca="1" ref="I10" ca="1">_FV(Tableau5[[#This Row],[Symbole]],"Prix")</f>
        <v>25.55</v>
      </c>
      <c r="J10" s="32">
        <v>65</v>
      </c>
      <c r="K10" s="33">
        <f ca="1">Tableau5[[#This Row],[Prix]]/Tableau5[[#This Row],[FVE]]</f>
        <v>0.3930769230769231</v>
      </c>
      <c r="L10" s="33" t="str">
        <f ca="1">IF(Tableau5[[#This Row],[P / FVE]]&lt;0.45,"Or",IF(Tableau5[[#This Row],[P / FVE]]&lt;0.55,"Argent",IF(Tableau5[[#This Row],[P / FVE]]&lt;0.65,"Bronze",IF(Tableau5[[#This Row],[P / FVE]]&lt;0.75,"Fer","Plomb"))))</f>
        <v>Or</v>
      </c>
      <c r="M10" s="33">
        <v>1.28</v>
      </c>
      <c r="N10" s="35">
        <v>1.9199999999999998E-2</v>
      </c>
      <c r="O10" s="7" t="s">
        <v>244</v>
      </c>
    </row>
    <row r="11" spans="2:15" x14ac:dyDescent="0.25">
      <c r="B11" s="19" t="str" cm="1">
        <f t="array" aca="1" ref="B11" ca="1">_FV(Tableau5[[#This Row],[Symbole]],"Devise")</f>
        <v>USD</v>
      </c>
      <c r="C11" s="19" t="e" vm="1913">
        <v>#VALUE!</v>
      </c>
      <c r="D11" s="19" t="str" cm="1">
        <f t="array" aca="1" ref="D11" ca="1">_FV(Tableau5[[#This Row],[Symbole]],"Nom")</f>
        <v>Alibaba Group Holding Limited</v>
      </c>
      <c r="E11" s="19" t="s">
        <v>96</v>
      </c>
      <c r="F11" s="19" t="s">
        <v>81</v>
      </c>
      <c r="G11" s="19" t="s">
        <v>92</v>
      </c>
      <c r="H11" s="19" t="s">
        <v>93</v>
      </c>
      <c r="I11" s="32" cm="1">
        <f t="array" aca="1" ref="I11" ca="1">_FV(Tableau5[[#This Row],[Symbole]],"Prix")</f>
        <v>135.38</v>
      </c>
      <c r="J11" s="32">
        <v>177</v>
      </c>
      <c r="K11" s="33">
        <f ca="1">Tableau5[[#This Row],[Prix]]/Tableau5[[#This Row],[FVE]]</f>
        <v>0.7648587570621469</v>
      </c>
      <c r="L11" s="33" t="str">
        <f ca="1">IF(Tableau5[[#This Row],[P / FVE]]&lt;0.45,"Or",IF(Tableau5[[#This Row],[P / FVE]]&lt;0.55,"Argent",IF(Tableau5[[#This Row],[P / FVE]]&lt;0.65,"Bronze",IF(Tableau5[[#This Row],[P / FVE]]&lt;0.75,"Fer","Plomb"))))</f>
        <v>Plomb</v>
      </c>
      <c r="M11" s="33">
        <v>224.95</v>
      </c>
      <c r="N11" s="35">
        <v>0</v>
      </c>
      <c r="O11" s="7"/>
    </row>
    <row r="12" spans="2:15" x14ac:dyDescent="0.25">
      <c r="B12" s="19" t="str" cm="1">
        <f t="array" aca="1" ref="B12" ca="1">_FV(Tableau5[[#This Row],[Symbole]],"Devise")</f>
        <v>USD</v>
      </c>
      <c r="C12" s="19" t="e" vm="1914">
        <v>#VALUE!</v>
      </c>
      <c r="D12" s="19" t="str" cm="1">
        <f t="array" aca="1" ref="D12" ca="1">_FV(Tableau5[[#This Row],[Symbole]],"Nom")</f>
        <v>SIRIUS XM HOLDINGS INC.</v>
      </c>
      <c r="E12" s="19" t="s">
        <v>91</v>
      </c>
      <c r="F12" s="19" t="s">
        <v>242</v>
      </c>
      <c r="G12" s="19" t="s">
        <v>92</v>
      </c>
      <c r="H12" s="19" t="s">
        <v>97</v>
      </c>
      <c r="I12" s="32" cm="1">
        <f t="array" aca="1" ref="I12" ca="1">_FV(Tableau5[[#This Row],[Symbole]],"Prix")</f>
        <v>26.18</v>
      </c>
      <c r="J12" s="32">
        <v>7.5</v>
      </c>
      <c r="K12" s="33">
        <f ca="1">Tableau5[[#This Row],[Prix]]/Tableau5[[#This Row],[FVE]]</f>
        <v>3.4906666666666668</v>
      </c>
      <c r="L12" s="33" t="str">
        <f ca="1">IF(Tableau5[[#This Row],[P / FVE]]&lt;0.45,"Or",IF(Tableau5[[#This Row],[P / FVE]]&lt;0.55,"Argent",IF(Tableau5[[#This Row],[P / FVE]]&lt;0.65,"Bronze",IF(Tableau5[[#This Row],[P / FVE]]&lt;0.75,"Fer","Plomb"))))</f>
        <v>Plomb</v>
      </c>
      <c r="M12" s="33">
        <v>14.67</v>
      </c>
      <c r="N12" s="35">
        <v>2.5700000000000001E-2</v>
      </c>
      <c r="O12" s="7"/>
    </row>
    <row r="13" spans="2:15" x14ac:dyDescent="0.25">
      <c r="B13" s="19" t="str" cm="1">
        <f t="array" aca="1" ref="B13" ca="1">_FV(Tableau5[[#This Row],[Symbole]],"Devise")</f>
        <v>USD</v>
      </c>
      <c r="C13" s="19" t="e" vm="1915">
        <v>#VALUE!</v>
      </c>
      <c r="D13" s="19" t="str" cm="1">
        <f t="array" aca="1" ref="D13" ca="1">_FV(Tableau5[[#This Row],[Symbole]],"Nom")</f>
        <v>Tencent Holdings Limited</v>
      </c>
      <c r="E13" s="19" t="s">
        <v>94</v>
      </c>
      <c r="F13" s="19" t="s">
        <v>242</v>
      </c>
      <c r="G13" s="19" t="s">
        <v>92</v>
      </c>
      <c r="H13" s="19" t="s">
        <v>93</v>
      </c>
      <c r="I13" s="32" cm="1">
        <f t="array" aca="1" ref="I13" ca="1">_FV(Tableau5[[#This Row],[Symbole]],"Prix")</f>
        <v>65.099999999999994</v>
      </c>
      <c r="J13" s="32">
        <v>90</v>
      </c>
      <c r="K13" s="33">
        <f ca="1">Tableau5[[#This Row],[Prix]]/Tableau5[[#This Row],[FVE]]</f>
        <v>0.72333333333333327</v>
      </c>
      <c r="L13" s="33" t="str">
        <f ca="1">IF(Tableau5[[#This Row],[P / FVE]]&lt;0.45,"Or",IF(Tableau5[[#This Row],[P / FVE]]&lt;0.55,"Argent",IF(Tableau5[[#This Row],[P / FVE]]&lt;0.65,"Bronze",IF(Tableau5[[#This Row],[P / FVE]]&lt;0.75,"Fer","Plomb"))))</f>
        <v>Fer</v>
      </c>
      <c r="M13" s="33">
        <v>459.3</v>
      </c>
      <c r="N13" s="35">
        <v>6.4000000000000003E-3</v>
      </c>
      <c r="O13" s="7"/>
    </row>
    <row r="14" spans="2:15" x14ac:dyDescent="0.25">
      <c r="B14" s="19" t="str" cm="1">
        <f t="array" aca="1" ref="B14" ca="1">_FV(Tableau5[[#This Row],[Symbole]],"Devise")</f>
        <v>USD</v>
      </c>
      <c r="C14" s="19" t="e" vm="1916">
        <v>#VALUE!</v>
      </c>
      <c r="D14" s="19" t="str" cm="1">
        <f t="array" aca="1" ref="D14" ca="1">_FV(Tableau5[[#This Row],[Symbole]],"Nom")</f>
        <v>THE BOSTON BEER COMPANY, INC.</v>
      </c>
      <c r="E14" s="19" t="s">
        <v>95</v>
      </c>
      <c r="F14" s="19" t="s">
        <v>77</v>
      </c>
      <c r="G14" s="19" t="s">
        <v>92</v>
      </c>
      <c r="H14" s="19" t="s">
        <v>97</v>
      </c>
      <c r="I14" s="32" cm="1">
        <f t="array" aca="1" ref="I14" ca="1">_FV(Tableau5[[#This Row],[Symbole]],"Prix")</f>
        <v>244.59</v>
      </c>
      <c r="J14" s="32">
        <v>610</v>
      </c>
      <c r="K14" s="33">
        <f ca="1">Tableau5[[#This Row],[Prix]]/Tableau5[[#This Row],[FVE]]</f>
        <v>0.40096721311475408</v>
      </c>
      <c r="L14" s="33" t="str">
        <f ca="1">IF(Tableau5[[#This Row],[P / FVE]]&lt;0.45,"Or",IF(Tableau5[[#This Row],[P / FVE]]&lt;0.55,"Argent",IF(Tableau5[[#This Row],[P / FVE]]&lt;0.65,"Bronze",IF(Tableau5[[#This Row],[P / FVE]]&lt;0.75,"Fer","Plomb"))))</f>
        <v>Or</v>
      </c>
      <c r="M14" s="33">
        <v>4</v>
      </c>
      <c r="N14" s="35">
        <v>0</v>
      </c>
      <c r="O14" s="7"/>
    </row>
    <row r="15" spans="2:15" x14ac:dyDescent="0.25">
      <c r="B15" s="19" t="str" cm="1">
        <f t="array" aca="1" ref="B15" ca="1">_FV(Tableau5[[#This Row],[Symbole]],"Devise")</f>
        <v>USD</v>
      </c>
      <c r="C15" s="19" t="e" vm="1917">
        <v>#VALUE!</v>
      </c>
      <c r="D15" s="19" t="str" cm="1">
        <f t="array" aca="1" ref="D15" ca="1">_FV(Tableau5[[#This Row],[Symbole]],"Nom")</f>
        <v>TRANSUNION</v>
      </c>
      <c r="E15" s="19" t="s">
        <v>96</v>
      </c>
      <c r="F15" s="19" t="s">
        <v>241</v>
      </c>
      <c r="G15" s="19" t="s">
        <v>92</v>
      </c>
      <c r="H15" s="19" t="s">
        <v>93</v>
      </c>
      <c r="I15" s="32" cm="1">
        <f t="array" aca="1" ref="I15" ca="1">_FV(Tableau5[[#This Row],[Symbole]],"Prix")</f>
        <v>77.44</v>
      </c>
      <c r="J15" s="32">
        <v>99</v>
      </c>
      <c r="K15" s="33">
        <f ca="1">Tableau5[[#This Row],[Prix]]/Tableau5[[#This Row],[FVE]]</f>
        <v>0.78222222222222215</v>
      </c>
      <c r="L15" s="33" t="str">
        <f ca="1">IF(Tableau5[[#This Row],[P / FVE]]&lt;0.45,"Or",IF(Tableau5[[#This Row],[P / FVE]]&lt;0.55,"Argent",IF(Tableau5[[#This Row],[P / FVE]]&lt;0.65,"Bronze",IF(Tableau5[[#This Row],[P / FVE]]&lt;0.75,"Fer","Plomb"))))</f>
        <v>Plomb</v>
      </c>
      <c r="M15" s="33">
        <v>11.34</v>
      </c>
      <c r="N15" s="35">
        <v>7.1999999999999998E-3</v>
      </c>
      <c r="O15" s="7"/>
    </row>
    <row r="16" spans="2:15" x14ac:dyDescent="0.25">
      <c r="B16" s="19" t="str" cm="1">
        <f t="array" aca="1" ref="B16" ca="1">_FV(Tableau5[[#This Row],[Symbole]],"Devise")</f>
        <v>USD</v>
      </c>
      <c r="C16" s="19" t="e" vm="1918">
        <v>#VALUE!</v>
      </c>
      <c r="D16" s="19" t="str" cm="1">
        <f t="array" aca="1" ref="D16" ca="1">_FV(Tableau5[[#This Row],[Symbole]],"Nom")</f>
        <v>COMCAST CORPORATION</v>
      </c>
      <c r="E16" s="19" t="s">
        <v>91</v>
      </c>
      <c r="F16" s="19" t="s">
        <v>242</v>
      </c>
      <c r="G16" s="19" t="s">
        <v>252</v>
      </c>
      <c r="H16" s="19" t="s">
        <v>93</v>
      </c>
      <c r="I16" s="32" cm="1">
        <f t="array" aca="1" ref="I16" ca="1">_FV(Tableau5[[#This Row],[Symbole]],"Prix")</f>
        <v>29.05</v>
      </c>
      <c r="J16" s="32">
        <v>60</v>
      </c>
      <c r="K16" s="33">
        <f ca="1">Tableau5[[#This Row],[Prix]]/Tableau5[[#This Row],[FVE]]</f>
        <v>0.48416666666666669</v>
      </c>
      <c r="L16" s="33" t="str">
        <f ca="1">IF(Tableau5[[#This Row],[P / FVE]]&lt;0.45,"Or",IF(Tableau5[[#This Row],[P / FVE]]&lt;0.55,"Argent",IF(Tableau5[[#This Row],[P / FVE]]&lt;0.65,"Bronze",IF(Tableau5[[#This Row],[P / FVE]]&lt;0.75,"Fer","Plomb"))))</f>
        <v>Argent</v>
      </c>
      <c r="M16" s="33">
        <v>151.44</v>
      </c>
      <c r="N16" s="35">
        <v>3.2300000000000002E-2</v>
      </c>
      <c r="O16" s="7"/>
    </row>
    <row r="17" spans="2:15" x14ac:dyDescent="0.25">
      <c r="B17" s="19" t="str" cm="1">
        <f t="array" aca="1" ref="B17" ca="1">_FV(Tableau5[[#This Row],[Symbole]],"Devise")</f>
        <v>USD</v>
      </c>
      <c r="C17" s="19" t="e" vm="1919">
        <v>#VALUE!</v>
      </c>
      <c r="D17" s="19" t="str" cm="1">
        <f t="array" aca="1" ref="D17" ca="1">_FV(Tableau5[[#This Row],[Symbole]],"Nom")</f>
        <v>INTERNATIONAL FLAVORS &amp; FRAGRANCES INC.</v>
      </c>
      <c r="E17" s="19" t="s">
        <v>96</v>
      </c>
      <c r="F17" s="19" t="s">
        <v>243</v>
      </c>
      <c r="G17" s="19" t="s">
        <v>252</v>
      </c>
      <c r="H17" s="19" t="s">
        <v>93</v>
      </c>
      <c r="I17" s="32" cm="1">
        <f t="array" aca="1" ref="I17" ca="1">_FV(Tableau5[[#This Row],[Symbole]],"Prix")</f>
        <v>72.430000000000007</v>
      </c>
      <c r="J17" s="32">
        <v>140</v>
      </c>
      <c r="K17" s="33">
        <f ca="1">Tableau5[[#This Row],[Prix]]/Tableau5[[#This Row],[FVE]]</f>
        <v>0.51735714285714296</v>
      </c>
      <c r="L17" s="33" t="str">
        <f ca="1">IF(Tableau5[[#This Row],[P / FVE]]&lt;0.45,"Or",IF(Tableau5[[#This Row],[P / FVE]]&lt;0.55,"Argent",IF(Tableau5[[#This Row],[P / FVE]]&lt;0.65,"Bronze",IF(Tableau5[[#This Row],[P / FVE]]&lt;0.75,"Fer","Plomb"))))</f>
        <v>Argent</v>
      </c>
      <c r="M17" s="33">
        <v>21.49</v>
      </c>
      <c r="N17" s="35">
        <v>3.8399999999999997E-2</v>
      </c>
      <c r="O17" s="7"/>
    </row>
    <row r="18" spans="2:15" x14ac:dyDescent="0.25">
      <c r="B18" s="19" t="str" cm="1">
        <f t="array" aca="1" ref="B18" ca="1">_FV(Tableau5[[#This Row],[Symbole]],"Devise")</f>
        <v>USD</v>
      </c>
      <c r="C18" s="19" t="e" vm="1920">
        <v>#VALUE!</v>
      </c>
      <c r="D18" s="19" t="str" cm="1">
        <f t="array" aca="1" ref="D18" ca="1">_FV(Tableau5[[#This Row],[Symbole]],"Nom")</f>
        <v>Roche Holding Ltd</v>
      </c>
      <c r="E18" s="19" t="s">
        <v>94</v>
      </c>
      <c r="F18" s="19" t="s">
        <v>78</v>
      </c>
      <c r="G18" s="19" t="s">
        <v>92</v>
      </c>
      <c r="H18" s="19" t="s">
        <v>93</v>
      </c>
      <c r="I18" s="32" cm="1">
        <f t="array" aca="1" ref="I18" ca="1">_FV(Tableau5[[#This Row],[Symbole]],"Prix")</f>
        <v>49.93</v>
      </c>
      <c r="J18" s="32">
        <v>57</v>
      </c>
      <c r="K18" s="33">
        <f ca="1">Tableau5[[#This Row],[Prix]]/Tableau5[[#This Row],[FVE]]</f>
        <v>0.87596491228070172</v>
      </c>
      <c r="L18" s="33" t="str">
        <f ca="1">IF(Tableau5[[#This Row],[P / FVE]]&lt;0.45,"Or",IF(Tableau5[[#This Row],[P / FVE]]&lt;0.55,"Argent",IF(Tableau5[[#This Row],[P / FVE]]&lt;0.65,"Bronze",IF(Tableau5[[#This Row],[P / FVE]]&lt;0.75,"Fer","Plomb"))))</f>
        <v>Plomb</v>
      </c>
      <c r="M18" s="33">
        <v>227.39</v>
      </c>
      <c r="N18" s="35">
        <v>3.6200000000000003E-2</v>
      </c>
      <c r="O18" s="7"/>
    </row>
    <row r="19" spans="2:15" x14ac:dyDescent="0.25">
      <c r="B19" s="19" t="str" cm="1">
        <f t="array" aca="1" ref="B19" ca="1">_FV(Tableau5[[#This Row],[Symbole]],"Devise")</f>
        <v>USD</v>
      </c>
      <c r="C19" s="19" t="e" vm="1921">
        <v>#VALUE!</v>
      </c>
      <c r="D19" s="19" t="str" cm="1">
        <f t="array" aca="1" ref="D19" ca="1">_FV(Tableau5[[#This Row],[Symbole]],"Nom")</f>
        <v>EQUIFAX INC.</v>
      </c>
      <c r="E19" s="19" t="s">
        <v>95</v>
      </c>
      <c r="F19" s="19" t="s">
        <v>241</v>
      </c>
      <c r="G19" s="19" t="s">
        <v>92</v>
      </c>
      <c r="H19" s="19" t="s">
        <v>93</v>
      </c>
      <c r="I19" s="32" cm="1">
        <f t="array" aca="1" ref="I19" ca="1">_FV(Tableau5[[#This Row],[Symbole]],"Prix")</f>
        <v>192.59</v>
      </c>
      <c r="J19" s="32">
        <v>315</v>
      </c>
      <c r="K19" s="33">
        <f ca="1">Tableau5[[#This Row],[Prix]]/Tableau5[[#This Row],[FVE]]</f>
        <v>0.61139682539682538</v>
      </c>
      <c r="L19" s="33" t="str">
        <f ca="1">IF(Tableau5[[#This Row],[P / FVE]]&lt;0.45,"Or",IF(Tableau5[[#This Row],[P / FVE]]&lt;0.55,"Argent",IF(Tableau5[[#This Row],[P / FVE]]&lt;0.65,"Bronze",IF(Tableau5[[#This Row],[P / FVE]]&lt;0.75,"Fer","Plomb"))))</f>
        <v>Bronze</v>
      </c>
      <c r="M19" s="33">
        <v>24.35</v>
      </c>
      <c r="N19" s="35">
        <v>7.9000000000000008E-3</v>
      </c>
      <c r="O19" s="7"/>
    </row>
    <row r="20" spans="2:15" x14ac:dyDescent="0.25">
      <c r="B20" s="19" t="str" cm="1">
        <f t="array" aca="1" ref="B20" ca="1">_FV(Tableau5[[#This Row],[Symbole]],"Devise")</f>
        <v>USD</v>
      </c>
      <c r="C20" s="19" t="e" vm="1922">
        <v>#VALUE!</v>
      </c>
      <c r="D20" s="19" t="str" cm="1">
        <f t="array" aca="1" ref="D20" ca="1">_FV(Tableau5[[#This Row],[Symbole]],"Nom")</f>
        <v>Taiwan Semiconductor Manufacturing Company Limited</v>
      </c>
      <c r="E20" s="19" t="s">
        <v>95</v>
      </c>
      <c r="F20" s="19" t="s">
        <v>80</v>
      </c>
      <c r="G20" s="19" t="s">
        <v>92</v>
      </c>
      <c r="H20" s="19" t="s">
        <v>93</v>
      </c>
      <c r="I20" s="32" cm="1">
        <f t="array" aca="1" ref="I20" ca="1">_FV(Tableau5[[#This Row],[Symbole]],"Prix")</f>
        <v>367.95</v>
      </c>
      <c r="J20" s="32">
        <v>140</v>
      </c>
      <c r="K20" s="33">
        <f ca="1">Tableau5[[#This Row],[Prix]]/Tableau5[[#This Row],[FVE]]</f>
        <v>2.6282142857142858</v>
      </c>
      <c r="L20" s="33" t="str">
        <f ca="1">IF(Tableau5[[#This Row],[P / FVE]]&lt;0.45,"Or",IF(Tableau5[[#This Row],[P / FVE]]&lt;0.55,"Argent",IF(Tableau5[[#This Row],[P / FVE]]&lt;0.65,"Bronze",IF(Tableau5[[#This Row],[P / FVE]]&lt;0.75,"Fer","Plomb"))))</f>
        <v>Plomb</v>
      </c>
      <c r="M20" s="33">
        <v>463.52</v>
      </c>
      <c r="N20" s="35">
        <v>1.9300000000000001E-2</v>
      </c>
      <c r="O20" s="7"/>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13F6-F2FE-4115-96FE-8873E9312026}">
  <sheetPr codeName="Feuil12"/>
  <dimension ref="A1:O28"/>
  <sheetViews>
    <sheetView tabSelected="1" workbookViewId="0">
      <selection activeCell="G3" sqref="G3"/>
    </sheetView>
  </sheetViews>
  <sheetFormatPr baseColWidth="10" defaultColWidth="11.42578125" defaultRowHeight="15" x14ac:dyDescent="0.25"/>
  <cols>
    <col min="1" max="1" width="11.85546875" bestFit="1" customWidth="1"/>
    <col min="2" max="2" width="15.140625" bestFit="1" customWidth="1"/>
    <col min="3" max="3" width="4.140625" customWidth="1"/>
    <col min="4" max="4" width="43" customWidth="1"/>
    <col min="5" max="5" width="14" style="38" customWidth="1"/>
    <col min="6" max="6" width="4.140625" customWidth="1"/>
    <col min="7" max="7" width="13.85546875" customWidth="1"/>
    <col min="8" max="8" width="4.140625" customWidth="1"/>
    <col min="9" max="9" width="23.28515625" bestFit="1" customWidth="1"/>
    <col min="10" max="10" width="4.140625" customWidth="1"/>
    <col min="11" max="11" width="21" customWidth="1"/>
    <col min="12" max="12" width="14.28515625" customWidth="1"/>
    <col min="13" max="13" width="4.140625" customWidth="1"/>
    <col min="15" max="15" width="14" customWidth="1"/>
  </cols>
  <sheetData>
    <row r="1" spans="1:15" x14ac:dyDescent="0.25">
      <c r="A1" s="48" t="s">
        <v>153</v>
      </c>
      <c r="B1" s="48" t="s">
        <v>157</v>
      </c>
      <c r="D1" s="48" t="s">
        <v>156</v>
      </c>
      <c r="E1" s="48" t="s">
        <v>29</v>
      </c>
      <c r="G1" s="48" t="s">
        <v>174</v>
      </c>
      <c r="I1" s="48" t="s">
        <v>192</v>
      </c>
      <c r="K1" s="48" t="s">
        <v>25</v>
      </c>
      <c r="L1" s="48" t="s">
        <v>29</v>
      </c>
      <c r="N1" s="48" t="s">
        <v>17</v>
      </c>
      <c r="O1" s="48" t="s">
        <v>109</v>
      </c>
    </row>
    <row r="2" spans="1:15" x14ac:dyDescent="0.25">
      <c r="A2" t="s">
        <v>37</v>
      </c>
      <c r="B2" t="s">
        <v>158</v>
      </c>
      <c r="D2" t="str" cm="1">
        <f t="array" aca="1" ref="D2:D28" ca="1">_xlfn.UNIQUE(Titres[Industrie])</f>
        <v>Consumer Goods Conglomerates</v>
      </c>
      <c r="E2" s="38" cm="1">
        <f t="array" aca="1" ref="E2:E28" ca="1">SUMIF(Titres[Industrie],_xlfn.ANCHORARRAY(Ressources!D2),Titres[Valeur au marché
($ local)])</f>
        <v>4454.3999999999996</v>
      </c>
      <c r="G2" s="38">
        <v>129115.49</v>
      </c>
      <c r="I2" t="e" vm="1923">
        <v>#VALUE!</v>
      </c>
      <c r="K2" t="s">
        <v>206</v>
      </c>
      <c r="L2" s="1">
        <f ca="1">SUMIF(Titres[Catégorie],Ressources!K2,Titres[Valeur au marché
($ local)])</f>
        <v>179111.85500000001</v>
      </c>
      <c r="N2" s="12">
        <v>2019</v>
      </c>
      <c r="O2" s="1">
        <f>SUMIF('Titre et dividendes'!$AB$5:$XFD$5,_xlfn.CONCAT("*",N2),'Titre et dividendes'!$AB$79:$XFD$79)</f>
        <v>3355.03</v>
      </c>
    </row>
    <row r="3" spans="1:15" x14ac:dyDescent="0.25">
      <c r="A3" t="s">
        <v>35</v>
      </c>
      <c r="B3" t="s">
        <v>159</v>
      </c>
      <c r="D3" t="str">
        <f ca="1"/>
        <v>Multiline Utilities</v>
      </c>
      <c r="E3" s="38">
        <f ca="1"/>
        <v>10588</v>
      </c>
      <c r="I3" s="78" cm="1">
        <f t="array" aca="1" ref="I3" ca="1">_FV(I2,"Prix")</f>
        <v>1.3660000000000001</v>
      </c>
      <c r="K3" t="s">
        <v>205</v>
      </c>
      <c r="L3" s="1">
        <f ca="1">SUMIF(Titres[Catégorie],Ressources!K3,Titres[Valeur au marché
($ local)])</f>
        <v>395818.14000000013</v>
      </c>
      <c r="N3" s="12">
        <v>2020</v>
      </c>
      <c r="O3" s="1">
        <f>SUMIF('Titre et dividendes'!$AB$5:$XFD$5,_xlfn.CONCAT("*",N3),'Titre et dividendes'!$AB$79:$XFD$79)</f>
        <v>4521.3600000000006</v>
      </c>
    </row>
    <row r="4" spans="1:15" x14ac:dyDescent="0.25">
      <c r="A4" t="s">
        <v>3</v>
      </c>
      <c r="B4" t="s">
        <v>160</v>
      </c>
      <c r="D4" t="str">
        <f ca="1"/>
        <v>Natural Gas Utilities</v>
      </c>
      <c r="E4" s="38">
        <f ca="1"/>
        <v>4393.8</v>
      </c>
      <c r="K4" t="s">
        <v>207</v>
      </c>
      <c r="L4" s="1">
        <f ca="1">SUMIF(Titres[Catégorie],Ressources!K4,Titres[Valeur au marché
($ local)])</f>
        <v>37477.15</v>
      </c>
      <c r="N4" s="12">
        <v>2021</v>
      </c>
      <c r="O4" s="1">
        <f>SUMIF('Titre et dividendes'!$AB$5:$XFD$5,_xlfn.CONCAT("*",N4),'Titre et dividendes'!$AB$79:$XFD$79)</f>
        <v>6227.6699999999983</v>
      </c>
    </row>
    <row r="5" spans="1:15" x14ac:dyDescent="0.25">
      <c r="A5" t="s">
        <v>4</v>
      </c>
      <c r="B5" t="s">
        <v>161</v>
      </c>
      <c r="D5" t="str">
        <f ca="1"/>
        <v>Food &amp; Tobacco</v>
      </c>
      <c r="E5" s="38">
        <f ca="1"/>
        <v>10703.845000000001</v>
      </c>
      <c r="K5" t="s">
        <v>117</v>
      </c>
      <c r="L5" s="1">
        <f ca="1">SUMIF(Titres[Catégorie],Ressources!K5,Titres[Valeur au marché
($ local)])</f>
        <v>8812.4000000000015</v>
      </c>
      <c r="N5" s="12">
        <v>2022</v>
      </c>
      <c r="O5" s="1">
        <f>SUMIF('Titre et dividendes'!$AB$5:$XFD$5,_xlfn.CONCAT("*",N5),'Titre et dividendes'!$AB$79:$XFD$79)</f>
        <v>8489.619999999999</v>
      </c>
    </row>
    <row r="6" spans="1:15" x14ac:dyDescent="0.25">
      <c r="A6" t="s">
        <v>5</v>
      </c>
      <c r="B6" t="s">
        <v>162</v>
      </c>
      <c r="D6" t="str">
        <f ca="1"/>
        <v>Telecommunications Services</v>
      </c>
      <c r="E6" s="38">
        <f ca="1"/>
        <v>7719.12</v>
      </c>
      <c r="G6" s="38"/>
      <c r="N6" s="12">
        <v>2023</v>
      </c>
      <c r="O6" s="1">
        <f>SUMIF('Titre et dividendes'!$AB$5:$XFD$5,_xlfn.CONCAT("*",N6),'Titre et dividendes'!$AB$79:$XFD$79)</f>
        <v>10511.86</v>
      </c>
    </row>
    <row r="7" spans="1:15" x14ac:dyDescent="0.25">
      <c r="D7" t="str">
        <f ca="1"/>
        <v>Banking Services</v>
      </c>
      <c r="E7" s="38">
        <f ca="1"/>
        <v>79061.34</v>
      </c>
      <c r="N7" s="12">
        <v>2024</v>
      </c>
      <c r="O7" s="1">
        <f>SUMIF('Titre et dividendes'!$AB$5:$XFD$5,_xlfn.CONCAT("*",N7),'Titre et dividendes'!$AB$79:$XFD$79)</f>
        <v>12127.580000000002</v>
      </c>
    </row>
    <row r="8" spans="1:15" x14ac:dyDescent="0.25">
      <c r="D8" t="str">
        <f ca="1"/>
        <v/>
      </c>
      <c r="E8" s="38">
        <f ca="1"/>
        <v>275686.39999999997</v>
      </c>
      <c r="N8" s="12">
        <v>2025</v>
      </c>
      <c r="O8" s="1">
        <f>SUMIF('Titre et dividendes'!$AB$5:$XFD$5,_xlfn.CONCAT("*",N8),'Titre et dividendes'!$AB$79:$XFD$79)</f>
        <v>13549.22</v>
      </c>
    </row>
    <row r="9" spans="1:15" x14ac:dyDescent="0.25">
      <c r="D9" t="str">
        <f ca="1"/>
        <v>Oil &amp; Gas</v>
      </c>
      <c r="E9" s="38">
        <f ca="1"/>
        <v>39976.199999999997</v>
      </c>
      <c r="N9" s="12">
        <v>2026</v>
      </c>
      <c r="O9" s="1">
        <f>SUMIF('Titre et dividendes'!$AB$5:$XFD$5,_xlfn.CONCAT("*",N9),'Titre et dividendes'!$AB$79:$XFD$79)</f>
        <v>2910.24</v>
      </c>
    </row>
    <row r="10" spans="1:15" x14ac:dyDescent="0.25">
      <c r="D10" t="str">
        <f ca="1"/>
        <v>Personal &amp; Household Products &amp; Services</v>
      </c>
      <c r="E10" s="38">
        <f ca="1"/>
        <v>5013.1100000000006</v>
      </c>
      <c r="N10" s="12"/>
      <c r="O10" s="1"/>
    </row>
    <row r="11" spans="1:15" x14ac:dyDescent="0.25">
      <c r="D11" t="str">
        <f ca="1"/>
        <v>Chemicals</v>
      </c>
      <c r="E11" s="38">
        <f ca="1"/>
        <v>5262.37</v>
      </c>
      <c r="N11" s="12"/>
      <c r="O11" s="1"/>
    </row>
    <row r="12" spans="1:15" x14ac:dyDescent="0.25">
      <c r="D12" t="str">
        <f ca="1"/>
        <v>Diversified Retail</v>
      </c>
      <c r="E12" s="38">
        <f ca="1"/>
        <v>5279.76</v>
      </c>
      <c r="N12" s="12"/>
      <c r="O12" s="1"/>
    </row>
    <row r="13" spans="1:15" x14ac:dyDescent="0.25">
      <c r="D13" t="str">
        <f ca="1"/>
        <v>Electrical Utilities &amp; IPPs</v>
      </c>
      <c r="E13" s="38">
        <f ca="1"/>
        <v>11919.759999999998</v>
      </c>
      <c r="N13" s="12"/>
      <c r="O13" s="1"/>
    </row>
    <row r="14" spans="1:15" x14ac:dyDescent="0.25">
      <c r="D14" t="str">
        <f ca="1"/>
        <v>Healthcare Equipment &amp; Supplies</v>
      </c>
      <c r="E14" s="38">
        <f ca="1"/>
        <v>627.59</v>
      </c>
      <c r="N14" s="12"/>
      <c r="O14" s="1"/>
    </row>
    <row r="15" spans="1:15" x14ac:dyDescent="0.25">
      <c r="D15" t="str">
        <f ca="1"/>
        <v>Aerospace &amp; Defense</v>
      </c>
      <c r="E15" s="38">
        <f ca="1"/>
        <v>1720.44</v>
      </c>
    </row>
    <row r="16" spans="1:15" x14ac:dyDescent="0.25">
      <c r="D16" t="str">
        <f ca="1"/>
        <v>Oil &amp; Gas Related Equipment and Services</v>
      </c>
      <c r="E16" s="38">
        <f ca="1"/>
        <v>7846.86</v>
      </c>
    </row>
    <row r="17" spans="4:5" x14ac:dyDescent="0.25">
      <c r="D17" t="str">
        <f ca="1"/>
        <v>Food &amp; Drug Retailing</v>
      </c>
      <c r="E17" s="38">
        <f ca="1"/>
        <v>33260.649999999994</v>
      </c>
    </row>
    <row r="18" spans="4:5" x14ac:dyDescent="0.25">
      <c r="D18" t="str">
        <f ca="1"/>
        <v>Pharmaceuticals</v>
      </c>
      <c r="E18" s="38">
        <f ca="1"/>
        <v>9965.2999999999993</v>
      </c>
    </row>
    <row r="19" spans="4:5" x14ac:dyDescent="0.25">
      <c r="D19" t="str">
        <f ca="1"/>
        <v>Insurance</v>
      </c>
      <c r="E19" s="38">
        <f ca="1"/>
        <v>62812.23</v>
      </c>
    </row>
    <row r="20" spans="4:5" x14ac:dyDescent="0.25">
      <c r="D20" t="str">
        <f ca="1"/>
        <v>Semiconductors &amp; Semiconductor Equipment</v>
      </c>
      <c r="E20" s="38">
        <f ca="1"/>
        <v>9276.4000000000015</v>
      </c>
    </row>
    <row r="21" spans="4:5" x14ac:dyDescent="0.25">
      <c r="D21" t="str">
        <f ca="1"/>
        <v>Investment Banking &amp; Investment Services</v>
      </c>
      <c r="E21" s="38">
        <f ca="1"/>
        <v>11612.7</v>
      </c>
    </row>
    <row r="22" spans="4:5" x14ac:dyDescent="0.25">
      <c r="D22" t="str">
        <f ca="1"/>
        <v>Hotels &amp; Entertainment Services</v>
      </c>
      <c r="E22" s="38">
        <f ca="1"/>
        <v>3923.53</v>
      </c>
    </row>
    <row r="23" spans="4:5" x14ac:dyDescent="0.25">
      <c r="D23" t="str">
        <f ca="1"/>
        <v>Software &amp; IT Services</v>
      </c>
      <c r="E23" s="38">
        <f ca="1"/>
        <v>8483.2000000000007</v>
      </c>
    </row>
    <row r="24" spans="4:5" x14ac:dyDescent="0.25">
      <c r="D24" t="str">
        <f ca="1"/>
        <v>Automobiles &amp; Auto Parts</v>
      </c>
      <c r="E24" s="38">
        <f ca="1"/>
        <v>7.2</v>
      </c>
    </row>
    <row r="25" spans="4:5" x14ac:dyDescent="0.25">
      <c r="D25" t="str">
        <f ca="1"/>
        <v>Beverages</v>
      </c>
      <c r="E25" s="38">
        <f ca="1"/>
        <v>5403.41</v>
      </c>
    </row>
    <row r="26" spans="4:5" x14ac:dyDescent="0.25">
      <c r="D26" t="str">
        <f ca="1"/>
        <v>Residential &amp; Commercial REIT</v>
      </c>
      <c r="E26" s="38">
        <f ca="1"/>
        <v>6404.0000000000009</v>
      </c>
    </row>
    <row r="27" spans="4:5" x14ac:dyDescent="0.25">
      <c r="D27" t="str">
        <f ca="1"/>
        <v>Textiles &amp; Apparel</v>
      </c>
      <c r="E27" s="38">
        <f ca="1"/>
        <v>0</v>
      </c>
    </row>
    <row r="28" spans="4:5" x14ac:dyDescent="0.25">
      <c r="D28" t="str">
        <f ca="1"/>
        <v>Media &amp; Publishing</v>
      </c>
      <c r="E28" s="38">
        <f ca="1"/>
        <v>5592.4000000000005</v>
      </c>
    </row>
  </sheetData>
  <sortState xmlns:xlrd2="http://schemas.microsoft.com/office/spreadsheetml/2017/richdata2" ref="K2:K5">
    <sortCondition ref="K2:K5"/>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EBAB18-B681-4514-AD4F-F6BC48CD1F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3</vt:i4>
      </vt:variant>
    </vt:vector>
  </HeadingPairs>
  <TitlesOfParts>
    <vt:vector size="14" baseType="lpstr">
      <vt:lpstr>Tableau de bord - Portefeuille</vt:lpstr>
      <vt:lpstr>Titre et dividendes</vt:lpstr>
      <vt:lpstr>CRCD</vt:lpstr>
      <vt:lpstr>Watchlist</vt:lpstr>
      <vt:lpstr>Projection</vt:lpstr>
      <vt:lpstr>Cotisations</vt:lpstr>
      <vt:lpstr>RRMD</vt:lpstr>
      <vt:lpstr>Performance</vt:lpstr>
      <vt:lpstr>Pépites</vt:lpstr>
      <vt:lpstr>Prospection</vt:lpstr>
      <vt:lpstr>Ressources</vt:lpstr>
      <vt:lpstr>Categorie</vt:lpstr>
      <vt:lpstr>Num_Compte</vt:lpstr>
      <vt:lpstr>Type_Compte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2006-09-12T15:06:44Z</dcterms:created>
  <dcterms:modified xsi:type="dcterms:W3CDTF">2026-04-21T21:37:59Z</dcterms:modified>
</cp:coreProperties>
</file>